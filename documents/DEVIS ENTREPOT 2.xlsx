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\BAHARI\Doc\"/>
    </mc:Choice>
  </mc:AlternateContent>
  <bookViews>
    <workbookView xWindow="0" yWindow="0" windowWidth="19200" windowHeight="7190"/>
  </bookViews>
  <sheets>
    <sheet name="Feuil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F23" i="1"/>
  <c r="G23" i="1"/>
  <c r="H23" i="1"/>
  <c r="H22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4" i="1"/>
  <c r="E11" i="1"/>
  <c r="E12" i="1"/>
  <c r="E13" i="1"/>
  <c r="E14" i="1"/>
  <c r="E15" i="1"/>
  <c r="E16" i="1"/>
  <c r="E17" i="1"/>
  <c r="E10" i="1"/>
  <c r="E9" i="1"/>
  <c r="E7" i="1"/>
  <c r="E8" i="1"/>
  <c r="E5" i="1"/>
  <c r="E6" i="1"/>
  <c r="E4" i="1"/>
</calcChain>
</file>

<file path=xl/sharedStrings.xml><?xml version="1.0" encoding="utf-8"?>
<sst xmlns="http://schemas.openxmlformats.org/spreadsheetml/2006/main" count="44" uniqueCount="33">
  <si>
    <t>RAPPORT DE CONSTRUCTION PORTE ENTREPOT 2</t>
  </si>
  <si>
    <t>DESIGNATION</t>
  </si>
  <si>
    <t>COUTS PREVU</t>
  </si>
  <si>
    <t xml:space="preserve">REALISATION </t>
  </si>
  <si>
    <t>DISPONIBLE AVANT INCIDENT</t>
  </si>
  <si>
    <t>TOLE</t>
  </si>
  <si>
    <t>CLOUX DE TOLES</t>
  </si>
  <si>
    <t>UNITE</t>
  </si>
  <si>
    <t>QUANTITE</t>
  </si>
  <si>
    <t>PIECE</t>
  </si>
  <si>
    <t>KILO</t>
  </si>
  <si>
    <t>CLOUX DE 8</t>
  </si>
  <si>
    <t>FER A BETON BAR DE 6</t>
  </si>
  <si>
    <t>PU</t>
  </si>
  <si>
    <t>FER A BETON BAR DE 8</t>
  </si>
  <si>
    <t>FER A BETON BAR DE 12</t>
  </si>
  <si>
    <t>LAME DE SCIE</t>
  </si>
  <si>
    <t>FIL A LIGATURE</t>
  </si>
  <si>
    <t>MAIN D'OUVRE MENUISERIE</t>
  </si>
  <si>
    <t>CIMENT</t>
  </si>
  <si>
    <t>POCHE</t>
  </si>
  <si>
    <t>TRANSPORT MATERIEL ET MANUTATION</t>
  </si>
  <si>
    <t>PORTAIL ET FIXATION</t>
  </si>
  <si>
    <t>CADENAT</t>
  </si>
  <si>
    <t>CHARINIER</t>
  </si>
  <si>
    <t>SABLE</t>
  </si>
  <si>
    <t>CANTER</t>
  </si>
  <si>
    <t>GRAVIER</t>
  </si>
  <si>
    <t>FICELLLE</t>
  </si>
  <si>
    <t>PLANCHE</t>
  </si>
  <si>
    <t>PREVISION- REALISATION</t>
  </si>
  <si>
    <t>MAN D'ŒUVRE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</si>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</sst>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center"/>
    </xf>
  </cellXfs>
  <cellStyles count="2">
    <cellStyle name="Monétaire" xfId="1" builtinId="4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topLeftCell="B2" workbookViewId="0">
      <selection sqref="A1:H23"/>
    </sheetView>
  </sheetViews>
  <sheetFormatPr baseColWidth="10" defaultRowHeight="14.5" x14ac:dyDescent="0.35"/>
  <cols>
    <col min="1" max="1" width="34.6328125" bestFit="1" customWidth="1"/>
    <col min="2" max="4" width="14.6328125" customWidth="1"/>
    <col min="5" max="5" width="12.36328125" style="1" bestFit="1" customWidth="1"/>
    <col min="6" max="6" width="12.1796875" bestFit="1" customWidth="1"/>
    <col min="7" max="7" width="25.453125" bestFit="1" customWidth="1"/>
    <col min="8" max="8" width="21.81640625" bestFit="1" customWidth="1"/>
  </cols>
  <sheetData>
    <row r="1" spans="1:8" x14ac:dyDescent="0.35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35">
      <c r="A2" s="3"/>
      <c r="B2" s="3"/>
      <c r="C2" s="3"/>
      <c r="D2" s="3"/>
      <c r="E2" s="3"/>
      <c r="F2" s="3"/>
      <c r="G2" s="3"/>
      <c r="H2" s="3"/>
    </row>
    <row r="3" spans="1:8" x14ac:dyDescent="0.35">
      <c r="A3" t="s">
        <v>1</v>
      </c>
      <c r="B3" t="s">
        <v>7</v>
      </c>
      <c r="C3" t="s">
        <v>8</v>
      </c>
      <c r="D3" t="s">
        <v>13</v>
      </c>
      <c r="E3" s="1" t="s">
        <v>2</v>
      </c>
      <c r="F3" t="s">
        <v>3</v>
      </c>
      <c r="G3" t="s">
        <v>4</v>
      </c>
      <c r="H3" t="s">
        <v>30</v>
      </c>
    </row>
    <row r="4" spans="1:8" x14ac:dyDescent="0.35">
      <c r="A4" t="s">
        <v>5</v>
      </c>
      <c r="B4" t="s">
        <v>9</v>
      </c>
      <c r="C4">
        <v>12</v>
      </c>
      <c r="D4">
        <v>7.5</v>
      </c>
      <c r="E4" s="1">
        <f>C4*D4</f>
        <v>90</v>
      </c>
      <c r="F4" s="2">
        <v>90</v>
      </c>
      <c r="G4">
        <v>1</v>
      </c>
      <c r="H4" s="2">
        <f>E4:E21-F4:F21</f>
        <v>0</v>
      </c>
    </row>
    <row r="5" spans="1:8" x14ac:dyDescent="0.35">
      <c r="A5" t="s">
        <v>6</v>
      </c>
      <c r="B5" t="s">
        <v>10</v>
      </c>
      <c r="C5">
        <v>2</v>
      </c>
      <c r="D5">
        <v>1.8</v>
      </c>
      <c r="E5" s="1">
        <f t="shared" ref="E5:E17" si="0">C5*D5</f>
        <v>3.6</v>
      </c>
      <c r="F5" s="1">
        <v>3.6</v>
      </c>
      <c r="G5">
        <v>0</v>
      </c>
      <c r="H5" s="2">
        <f t="shared" ref="H5:H22" si="1">E5:E22-F5:F22</f>
        <v>0</v>
      </c>
    </row>
    <row r="6" spans="1:8" x14ac:dyDescent="0.35">
      <c r="A6" t="s">
        <v>11</v>
      </c>
      <c r="B6" t="s">
        <v>10</v>
      </c>
      <c r="C6">
        <v>3</v>
      </c>
      <c r="D6">
        <v>1.8</v>
      </c>
      <c r="E6" s="1">
        <f t="shared" si="0"/>
        <v>5.4</v>
      </c>
      <c r="F6" s="1">
        <v>5.4</v>
      </c>
      <c r="G6">
        <v>2</v>
      </c>
      <c r="H6" s="2">
        <f t="shared" si="1"/>
        <v>0</v>
      </c>
    </row>
    <row r="7" spans="1:8" x14ac:dyDescent="0.35">
      <c r="A7" t="s">
        <v>12</v>
      </c>
      <c r="B7" t="s">
        <v>9</v>
      </c>
      <c r="C7">
        <v>15</v>
      </c>
      <c r="D7">
        <v>3</v>
      </c>
      <c r="E7" s="1">
        <f t="shared" si="0"/>
        <v>45</v>
      </c>
      <c r="F7" s="1">
        <v>45</v>
      </c>
      <c r="G7">
        <v>0</v>
      </c>
      <c r="H7" s="2">
        <f t="shared" si="1"/>
        <v>0</v>
      </c>
    </row>
    <row r="8" spans="1:8" x14ac:dyDescent="0.35">
      <c r="A8" t="s">
        <v>14</v>
      </c>
      <c r="B8" t="s">
        <v>9</v>
      </c>
      <c r="C8">
        <v>7</v>
      </c>
      <c r="D8">
        <v>7.5</v>
      </c>
      <c r="E8" s="1">
        <f t="shared" si="0"/>
        <v>52.5</v>
      </c>
      <c r="F8" s="2">
        <v>52.5</v>
      </c>
      <c r="G8">
        <v>0</v>
      </c>
      <c r="H8" s="2">
        <f t="shared" si="1"/>
        <v>0</v>
      </c>
    </row>
    <row r="9" spans="1:8" x14ac:dyDescent="0.35">
      <c r="A9" t="s">
        <v>15</v>
      </c>
      <c r="B9" t="s">
        <v>9</v>
      </c>
      <c r="C9">
        <v>22</v>
      </c>
      <c r="D9">
        <v>13</v>
      </c>
      <c r="E9" s="1">
        <f t="shared" si="0"/>
        <v>286</v>
      </c>
      <c r="F9" s="2">
        <v>286</v>
      </c>
      <c r="G9">
        <v>0</v>
      </c>
      <c r="H9" s="2">
        <f t="shared" si="1"/>
        <v>0</v>
      </c>
    </row>
    <row r="10" spans="1:8" x14ac:dyDescent="0.35">
      <c r="A10" t="s">
        <v>16</v>
      </c>
      <c r="B10" t="s">
        <v>9</v>
      </c>
      <c r="C10">
        <v>3</v>
      </c>
      <c r="D10">
        <v>1.5</v>
      </c>
      <c r="E10" s="1">
        <f t="shared" si="0"/>
        <v>4.5</v>
      </c>
      <c r="F10" s="2">
        <v>4.5</v>
      </c>
      <c r="G10">
        <v>0</v>
      </c>
      <c r="H10" s="2">
        <f t="shared" si="1"/>
        <v>0</v>
      </c>
    </row>
    <row r="11" spans="1:8" x14ac:dyDescent="0.35">
      <c r="A11" t="s">
        <v>29</v>
      </c>
      <c r="B11" t="s">
        <v>9</v>
      </c>
      <c r="C11">
        <v>20</v>
      </c>
      <c r="D11">
        <v>6</v>
      </c>
      <c r="E11" s="1">
        <f t="shared" si="0"/>
        <v>120</v>
      </c>
      <c r="F11" s="2">
        <v>120</v>
      </c>
      <c r="G11">
        <v>0</v>
      </c>
      <c r="H11" s="2">
        <f t="shared" si="1"/>
        <v>0</v>
      </c>
    </row>
    <row r="12" spans="1:8" x14ac:dyDescent="0.35">
      <c r="A12" t="s">
        <v>28</v>
      </c>
      <c r="B12" t="s">
        <v>9</v>
      </c>
      <c r="C12">
        <v>1</v>
      </c>
      <c r="D12">
        <v>2.5</v>
      </c>
      <c r="E12" s="1">
        <f t="shared" si="0"/>
        <v>2.5</v>
      </c>
      <c r="F12" s="2">
        <v>2.5</v>
      </c>
      <c r="G12">
        <v>0</v>
      </c>
      <c r="H12" s="2">
        <f t="shared" si="1"/>
        <v>0</v>
      </c>
    </row>
    <row r="13" spans="1:8" x14ac:dyDescent="0.35">
      <c r="A13" t="s">
        <v>27</v>
      </c>
      <c r="B13" t="s">
        <v>26</v>
      </c>
      <c r="C13">
        <v>2.5</v>
      </c>
      <c r="D13">
        <v>47.5</v>
      </c>
      <c r="E13" s="1">
        <f t="shared" si="0"/>
        <v>118.75</v>
      </c>
      <c r="F13" s="2">
        <v>118.75</v>
      </c>
      <c r="G13">
        <v>0</v>
      </c>
      <c r="H13" s="2">
        <f t="shared" si="1"/>
        <v>0</v>
      </c>
    </row>
    <row r="14" spans="1:8" x14ac:dyDescent="0.35">
      <c r="A14" t="s">
        <v>25</v>
      </c>
      <c r="B14" t="s">
        <v>26</v>
      </c>
      <c r="C14">
        <v>2</v>
      </c>
      <c r="D14">
        <v>12</v>
      </c>
      <c r="E14" s="1">
        <f t="shared" si="0"/>
        <v>24</v>
      </c>
      <c r="F14" s="2">
        <v>24</v>
      </c>
      <c r="G14">
        <v>0</v>
      </c>
      <c r="H14" s="2">
        <f t="shared" si="1"/>
        <v>0</v>
      </c>
    </row>
    <row r="15" spans="1:8" x14ac:dyDescent="0.35">
      <c r="A15" t="s">
        <v>24</v>
      </c>
      <c r="B15" t="s">
        <v>9</v>
      </c>
      <c r="C15">
        <v>4</v>
      </c>
      <c r="D15">
        <v>1.5</v>
      </c>
      <c r="E15" s="1">
        <f t="shared" si="0"/>
        <v>6</v>
      </c>
      <c r="F15" s="2">
        <v>6</v>
      </c>
      <c r="G15">
        <v>0</v>
      </c>
      <c r="H15" s="2">
        <f t="shared" si="1"/>
        <v>0</v>
      </c>
    </row>
    <row r="16" spans="1:8" x14ac:dyDescent="0.35">
      <c r="A16" t="s">
        <v>23</v>
      </c>
      <c r="B16" t="s">
        <v>9</v>
      </c>
      <c r="C16">
        <v>1</v>
      </c>
      <c r="D16">
        <v>5</v>
      </c>
      <c r="E16" s="1">
        <f t="shared" si="0"/>
        <v>5</v>
      </c>
      <c r="F16" s="2">
        <v>5</v>
      </c>
      <c r="G16">
        <v>0</v>
      </c>
      <c r="H16" s="2">
        <f t="shared" si="1"/>
        <v>0</v>
      </c>
    </row>
    <row r="17" spans="1:8" x14ac:dyDescent="0.35">
      <c r="A17" t="s">
        <v>19</v>
      </c>
      <c r="B17" t="s">
        <v>20</v>
      </c>
      <c r="C17">
        <v>20</v>
      </c>
      <c r="D17">
        <v>13.5</v>
      </c>
      <c r="E17" s="1">
        <f t="shared" si="0"/>
        <v>270</v>
      </c>
      <c r="F17" s="2">
        <v>270</v>
      </c>
      <c r="G17">
        <v>0</v>
      </c>
      <c r="H17" s="2">
        <f t="shared" si="1"/>
        <v>0</v>
      </c>
    </row>
    <row r="18" spans="1:8" x14ac:dyDescent="0.35">
      <c r="A18" t="s">
        <v>17</v>
      </c>
      <c r="B18" t="s">
        <v>10</v>
      </c>
      <c r="C18">
        <v>20</v>
      </c>
      <c r="E18" s="1">
        <v>40</v>
      </c>
      <c r="F18" s="2">
        <v>40</v>
      </c>
      <c r="G18">
        <v>0</v>
      </c>
      <c r="H18" s="2">
        <f t="shared" si="1"/>
        <v>0</v>
      </c>
    </row>
    <row r="19" spans="1:8" x14ac:dyDescent="0.35">
      <c r="A19" t="s">
        <v>18</v>
      </c>
      <c r="E19" s="1">
        <v>35</v>
      </c>
      <c r="F19" s="2">
        <v>35</v>
      </c>
      <c r="G19">
        <v>0</v>
      </c>
      <c r="H19" s="2">
        <f t="shared" si="1"/>
        <v>0</v>
      </c>
    </row>
    <row r="20" spans="1:8" x14ac:dyDescent="0.35">
      <c r="A20" t="s">
        <v>21</v>
      </c>
      <c r="E20" s="1">
        <v>20</v>
      </c>
      <c r="F20" s="2">
        <v>20</v>
      </c>
      <c r="G20">
        <v>0</v>
      </c>
      <c r="H20" s="2">
        <f t="shared" si="1"/>
        <v>0</v>
      </c>
    </row>
    <row r="21" spans="1:8" x14ac:dyDescent="0.35">
      <c r="A21" t="s">
        <v>22</v>
      </c>
      <c r="E21" s="1">
        <v>800</v>
      </c>
      <c r="F21" s="2">
        <v>500</v>
      </c>
      <c r="G21">
        <v>0</v>
      </c>
      <c r="H21" s="2">
        <f t="shared" si="1"/>
        <v>300</v>
      </c>
    </row>
    <row r="22" spans="1:8" x14ac:dyDescent="0.35">
      <c r="A22" t="s">
        <v>31</v>
      </c>
      <c r="E22" s="1">
        <v>560</v>
      </c>
      <c r="F22" s="2">
        <v>15.3</v>
      </c>
      <c r="H22" s="2">
        <f t="shared" si="1"/>
        <v>544.70000000000005</v>
      </c>
    </row>
    <row r="23" spans="1:8" x14ac:dyDescent="0.35">
      <c r="A23" s="3" t="s">
        <v>32</v>
      </c>
      <c r="B23" s="3"/>
      <c r="C23" s="3"/>
      <c r="D23" s="3"/>
      <c r="E23" s="1">
        <f>SUM(E4:E22)</f>
        <v>2488.25</v>
      </c>
      <c r="F23" s="2">
        <f>SUM(F4:F22)</f>
        <v>1643.55</v>
      </c>
      <c r="G23">
        <f>SUM(G4:G22)</f>
        <v>3</v>
      </c>
      <c r="H23" s="2">
        <f>SUM(H4:H22)</f>
        <v>844.7</v>
      </c>
    </row>
  </sheetData>
  <mergeCells count="2">
    <mergeCell ref="A1:H2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kelo</dc:creator>
  <cp:lastModifiedBy>sergio kelo</cp:lastModifiedBy>
  <dcterms:created xsi:type="dcterms:W3CDTF">2024-11-28T10:58:50Z</dcterms:created>
  <dcterms:modified xsi:type="dcterms:W3CDTF">2024-12-02T11:52:24Z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a3a41b13-8e9e-40dd-91a9-9e37027e15ac</vt:lpwstr>
  </property>
</Properties>
</file>