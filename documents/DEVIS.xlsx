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oc\BAHARI\Doc\"/>
    </mc:Choice>
  </mc:AlternateContent>
  <bookViews>
    <workbookView xWindow="0" yWindow="0" windowWidth="19200" windowHeight="7190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3" i="1" l="1"/>
  <c r="F15" i="1"/>
  <c r="F16" i="1"/>
  <c r="F17" i="1"/>
  <c r="F18" i="1"/>
  <c r="F19" i="1"/>
  <c r="F20" i="1"/>
  <c r="F21" i="1"/>
  <c r="F14" i="1"/>
  <c r="F6" i="1" l="1"/>
  <c r="F5" i="1"/>
  <c r="F7" i="1"/>
  <c r="F4" i="1"/>
  <c r="F9" i="1" l="1"/>
  <c r="G24" i="1" s="1"/>
</calcChain>
</file>

<file path=xl/sharedStrings.xml><?xml version="1.0" encoding="utf-8"?>
<sst xmlns="http://schemas.openxmlformats.org/spreadsheetml/2006/main" count="41" uniqueCount="31">
  <si>
    <t>N°</t>
  </si>
  <si>
    <t>Designation</t>
  </si>
  <si>
    <t>Unité</t>
  </si>
  <si>
    <t>P.U</t>
  </si>
  <si>
    <t>PT</t>
  </si>
  <si>
    <t>Quantité</t>
  </si>
  <si>
    <t>Mouelon</t>
  </si>
  <si>
    <t>Canter</t>
  </si>
  <si>
    <t>Sable</t>
  </si>
  <si>
    <t>Ciment</t>
  </si>
  <si>
    <t>sac</t>
  </si>
  <si>
    <t>Main d'œuvre</t>
  </si>
  <si>
    <t>DEVIS MACONERIE POUR PAVEMENT ENCARD DEPOT 2</t>
  </si>
  <si>
    <t>Planche de rive</t>
  </si>
  <si>
    <t>PIECE</t>
  </si>
  <si>
    <t>DEVIS PROLONGEMENT ENCARD DEPOT 2</t>
  </si>
  <si>
    <t>DESIGNATION</t>
  </si>
  <si>
    <t>UNITE</t>
  </si>
  <si>
    <t>PU</t>
  </si>
  <si>
    <t>chevron</t>
  </si>
  <si>
    <t>TOLE</t>
  </si>
  <si>
    <t>QUANTITE</t>
  </si>
  <si>
    <t>LINTON</t>
  </si>
  <si>
    <t>PLANCHE</t>
  </si>
  <si>
    <t>CLOU DE TOLE</t>
  </si>
  <si>
    <t>CLOU DE 12</t>
  </si>
  <si>
    <t>KILO</t>
  </si>
  <si>
    <t>CLOU DE 8</t>
  </si>
  <si>
    <t>FISSELE</t>
  </si>
  <si>
    <t>MAIN D'ŒUVRE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</si>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</sst>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[$$-409]* #,##0.00_ ;_-[$$-409]* \-#,##0.00\ ;_-[$$-409]* &quot;-&quot;??_ ;_-@_ 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  <xf numFmtId="164" fontId="3" fillId="0" borderId="0" xfId="0" applyNumberFormat="1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164" fontId="4" fillId="0" borderId="0" xfId="0" applyNumberFormat="1" applyFont="1"/>
  </cellXfs>
  <cellStyles count="1">
    <cellStyle name="Normal" xfId="0" builtinId="0"/>
  </cellStyles>
  <dxfs count="12"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164" formatCode="_-[$$-409]* #,##0.00_ ;_-[$$-409]* \-#,##0.00\ ;_-[$$-409]* &quot;-&quot;??_ ;_-@_ 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164" formatCode="_-[$$-409]* #,##0.00_ ;_-[$$-409]* \-#,##0.00\ ;_-[$$-409]* &quot;-&quot;??_ ;_-@_ 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</dxf>
  </dxfs>
  <tableStyles count="1" defaultTableStyle="TableStyleMedium2" defaultPivotStyle="PivotStyleLight16">
    <tableStyle name="MySqlDefault" pivot="0" table="0" count="2">
      <tableStyleElement type="wholeTable" dxfId="3"/>
      <tableStyleElement type="headerRow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A3:F9" totalsRowShown="0" headerRowDxfId="11" dataDxfId="10">
  <autoFilter ref="A3:F9"/>
  <tableColumns count="6">
    <tableColumn id="1" name="N°" dataDxfId="9"/>
    <tableColumn id="2" name="Designation" dataDxfId="8"/>
    <tableColumn id="3" name="Quantité" dataDxfId="7"/>
    <tableColumn id="4" name="Unité" dataDxfId="6"/>
    <tableColumn id="5" name="P.U" dataDxfId="5"/>
    <tableColumn id="6" name="PT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au2" displayName="Tableau2" ref="A13:F24" totalsRowShown="0">
  <autoFilter ref="A13:F24"/>
  <tableColumns count="6">
    <tableColumn id="1" name="N°"/>
    <tableColumn id="2" name="DESIGNATION"/>
    <tableColumn id="3" name="QUANTITE"/>
    <tableColumn id="4" name="UNITE"/>
    <tableColumn id="5" name="PU" dataDxfId="1"/>
    <tableColumn id="6" name="P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abSelected="1" topLeftCell="A5" workbookViewId="0">
      <selection activeCell="J24" sqref="J24"/>
    </sheetView>
  </sheetViews>
  <sheetFormatPr baseColWidth="10" defaultRowHeight="14.5" x14ac:dyDescent="0.35"/>
  <cols>
    <col min="2" max="2" width="16.6328125" bestFit="1" customWidth="1"/>
    <col min="3" max="3" width="11.453125" customWidth="1"/>
    <col min="5" max="5" width="10.90625" style="1"/>
    <col min="6" max="6" width="13.81640625" style="1" bestFit="1" customWidth="1"/>
  </cols>
  <sheetData>
    <row r="1" spans="1:6" x14ac:dyDescent="0.35">
      <c r="A1" s="5" t="s">
        <v>12</v>
      </c>
      <c r="B1" s="5"/>
      <c r="C1" s="5"/>
      <c r="D1" s="5"/>
      <c r="E1" s="5"/>
      <c r="F1" s="5"/>
    </row>
    <row r="2" spans="1:6" x14ac:dyDescent="0.35">
      <c r="A2" s="5"/>
      <c r="B2" s="5"/>
      <c r="C2" s="5"/>
      <c r="D2" s="5"/>
      <c r="E2" s="5"/>
      <c r="F2" s="5"/>
    </row>
    <row r="3" spans="1:6" ht="15.5" x14ac:dyDescent="0.35">
      <c r="A3" s="2" t="s">
        <v>0</v>
      </c>
      <c r="B3" s="2" t="s">
        <v>1</v>
      </c>
      <c r="C3" s="2" t="s">
        <v>5</v>
      </c>
      <c r="D3" s="2" t="s">
        <v>2</v>
      </c>
      <c r="E3" s="3" t="s">
        <v>3</v>
      </c>
      <c r="F3" s="3" t="s">
        <v>4</v>
      </c>
    </row>
    <row r="4" spans="1:6" ht="15.5" x14ac:dyDescent="0.35">
      <c r="A4" s="2">
        <v>1</v>
      </c>
      <c r="B4" s="2" t="s">
        <v>6</v>
      </c>
      <c r="C4" s="2">
        <v>9</v>
      </c>
      <c r="D4" s="2" t="s">
        <v>7</v>
      </c>
      <c r="E4" s="3">
        <v>23</v>
      </c>
      <c r="F4" s="3">
        <f>Tableau1[[#This Row],[Quantité]]*Tableau1[[#This Row],[P.U]]</f>
        <v>207</v>
      </c>
    </row>
    <row r="5" spans="1:6" ht="15.5" x14ac:dyDescent="0.35">
      <c r="A5" s="2">
        <v>2</v>
      </c>
      <c r="B5" s="2" t="s">
        <v>8</v>
      </c>
      <c r="C5" s="2">
        <v>8</v>
      </c>
      <c r="D5" s="2" t="s">
        <v>7</v>
      </c>
      <c r="E5" s="3">
        <v>10</v>
      </c>
      <c r="F5" s="3">
        <f>Tableau1[[#This Row],[Quantité]]*Tableau1[[#This Row],[P.U]]</f>
        <v>80</v>
      </c>
    </row>
    <row r="6" spans="1:6" ht="15.5" x14ac:dyDescent="0.35">
      <c r="A6" s="2">
        <v>3</v>
      </c>
      <c r="B6" s="2" t="s">
        <v>13</v>
      </c>
      <c r="C6" s="2">
        <v>15</v>
      </c>
      <c r="D6" s="2" t="s">
        <v>14</v>
      </c>
      <c r="E6" s="3">
        <v>9</v>
      </c>
      <c r="F6" s="3">
        <f>Tableau1[[#This Row],[Quantité]]*Tableau1[[#This Row],[P.U]]</f>
        <v>135</v>
      </c>
    </row>
    <row r="7" spans="1:6" ht="15.5" x14ac:dyDescent="0.35">
      <c r="A7" s="2">
        <v>4</v>
      </c>
      <c r="B7" s="2" t="s">
        <v>9</v>
      </c>
      <c r="C7" s="2">
        <v>25</v>
      </c>
      <c r="D7" s="2" t="s">
        <v>10</v>
      </c>
      <c r="E7" s="3">
        <v>12.5</v>
      </c>
      <c r="F7" s="3">
        <f>Tableau1[[#This Row],[Quantité]]*Tableau1[[#This Row],[P.U]]</f>
        <v>312.5</v>
      </c>
    </row>
    <row r="8" spans="1:6" ht="15.5" x14ac:dyDescent="0.35">
      <c r="A8" s="2">
        <v>5</v>
      </c>
      <c r="B8" s="2" t="s">
        <v>11</v>
      </c>
      <c r="C8" s="2"/>
      <c r="D8" s="2"/>
      <c r="E8" s="3"/>
      <c r="F8" s="3">
        <v>170</v>
      </c>
    </row>
    <row r="9" spans="1:6" ht="15.5" x14ac:dyDescent="0.35">
      <c r="A9" s="2"/>
      <c r="B9" s="2"/>
      <c r="C9" s="2"/>
      <c r="D9" s="2"/>
      <c r="E9" s="3"/>
      <c r="F9" s="4">
        <f>SUM(F4:F8)</f>
        <v>904.5</v>
      </c>
    </row>
    <row r="11" spans="1:6" x14ac:dyDescent="0.35">
      <c r="A11" s="7" t="s">
        <v>15</v>
      </c>
      <c r="B11" s="6"/>
      <c r="C11" s="6"/>
      <c r="D11" s="6"/>
      <c r="E11" s="6"/>
      <c r="F11" s="6"/>
    </row>
    <row r="12" spans="1:6" x14ac:dyDescent="0.35">
      <c r="A12" s="6"/>
      <c r="B12" s="6"/>
      <c r="C12" s="6"/>
      <c r="D12" s="6"/>
      <c r="E12" s="6"/>
      <c r="F12" s="6"/>
    </row>
    <row r="13" spans="1:6" x14ac:dyDescent="0.35">
      <c r="A13" t="s">
        <v>0</v>
      </c>
      <c r="B13" t="s">
        <v>16</v>
      </c>
      <c r="C13" t="s">
        <v>21</v>
      </c>
      <c r="D13" t="s">
        <v>17</v>
      </c>
      <c r="E13" s="1" t="s">
        <v>18</v>
      </c>
      <c r="F13" s="1" t="s">
        <v>4</v>
      </c>
    </row>
    <row r="14" spans="1:6" x14ac:dyDescent="0.35">
      <c r="A14">
        <v>1</v>
      </c>
      <c r="B14" t="s">
        <v>19</v>
      </c>
      <c r="C14">
        <v>25</v>
      </c>
      <c r="D14" t="s">
        <v>14</v>
      </c>
      <c r="E14" s="1">
        <v>2.5</v>
      </c>
      <c r="F14" s="1">
        <f>C14*E14</f>
        <v>62.5</v>
      </c>
    </row>
    <row r="15" spans="1:6" x14ac:dyDescent="0.35">
      <c r="A15">
        <v>2</v>
      </c>
      <c r="B15" t="s">
        <v>20</v>
      </c>
      <c r="C15">
        <v>45</v>
      </c>
      <c r="D15" t="s">
        <v>14</v>
      </c>
      <c r="E15" s="1">
        <v>5.5</v>
      </c>
      <c r="F15" s="1">
        <f t="shared" ref="F15:F22" si="0">C15*E15</f>
        <v>247.5</v>
      </c>
    </row>
    <row r="16" spans="1:6" x14ac:dyDescent="0.35">
      <c r="A16">
        <v>3</v>
      </c>
      <c r="B16" t="s">
        <v>22</v>
      </c>
      <c r="C16">
        <v>6</v>
      </c>
      <c r="D16" t="s">
        <v>14</v>
      </c>
      <c r="E16" s="8">
        <v>5</v>
      </c>
      <c r="F16" s="1">
        <f t="shared" si="0"/>
        <v>30</v>
      </c>
    </row>
    <row r="17" spans="1:7" x14ac:dyDescent="0.35">
      <c r="A17">
        <v>4</v>
      </c>
      <c r="B17" t="s">
        <v>23</v>
      </c>
      <c r="C17">
        <v>32</v>
      </c>
      <c r="D17" t="s">
        <v>14</v>
      </c>
      <c r="E17" s="1">
        <v>6</v>
      </c>
      <c r="F17" s="1">
        <f t="shared" si="0"/>
        <v>192</v>
      </c>
    </row>
    <row r="18" spans="1:7" x14ac:dyDescent="0.35">
      <c r="A18">
        <v>5</v>
      </c>
      <c r="B18" t="s">
        <v>24</v>
      </c>
      <c r="C18">
        <v>10</v>
      </c>
      <c r="D18" t="s">
        <v>14</v>
      </c>
      <c r="E18" s="1">
        <v>2</v>
      </c>
      <c r="F18" s="1">
        <f t="shared" si="0"/>
        <v>20</v>
      </c>
    </row>
    <row r="19" spans="1:7" x14ac:dyDescent="0.35">
      <c r="A19">
        <v>6</v>
      </c>
      <c r="B19" t="s">
        <v>25</v>
      </c>
      <c r="C19">
        <v>16</v>
      </c>
      <c r="D19" t="s">
        <v>26</v>
      </c>
      <c r="E19" s="1">
        <v>1.6</v>
      </c>
      <c r="F19" s="1">
        <f t="shared" si="0"/>
        <v>25.6</v>
      </c>
    </row>
    <row r="20" spans="1:7" x14ac:dyDescent="0.35">
      <c r="A20">
        <v>7</v>
      </c>
      <c r="B20" t="s">
        <v>27</v>
      </c>
      <c r="C20">
        <v>10</v>
      </c>
      <c r="D20" t="s">
        <v>26</v>
      </c>
      <c r="E20" s="1">
        <v>1.6</v>
      </c>
      <c r="F20" s="1">
        <f t="shared" si="0"/>
        <v>16</v>
      </c>
    </row>
    <row r="21" spans="1:7" x14ac:dyDescent="0.35">
      <c r="A21">
        <v>8</v>
      </c>
      <c r="B21" t="s">
        <v>28</v>
      </c>
      <c r="C21">
        <v>1</v>
      </c>
      <c r="D21" t="s">
        <v>14</v>
      </c>
      <c r="E21" s="1">
        <v>1.8</v>
      </c>
      <c r="F21" s="1">
        <f t="shared" si="0"/>
        <v>1.8</v>
      </c>
    </row>
    <row r="22" spans="1:7" x14ac:dyDescent="0.35">
      <c r="A22">
        <v>9</v>
      </c>
      <c r="B22" t="s">
        <v>29</v>
      </c>
      <c r="F22" s="1">
        <v>90</v>
      </c>
    </row>
    <row r="23" spans="1:7" x14ac:dyDescent="0.35">
      <c r="F23" s="9">
        <f>SUM(F14:F22)</f>
        <v>685.4</v>
      </c>
    </row>
    <row r="24" spans="1:7" x14ac:dyDescent="0.35">
      <c r="F24" s="9" t="s">
        <v>30</v>
      </c>
      <c r="G24" s="9">
        <f>F9+F23</f>
        <v>1589.9</v>
      </c>
    </row>
  </sheetData>
  <mergeCells count="2">
    <mergeCell ref="A1:F2"/>
    <mergeCell ref="A11:F12"/>
  </mergeCell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kelo</dc:creator>
  <cp:lastModifiedBy>sergio kelo</cp:lastModifiedBy>
  <cp:lastPrinted>2024-10-17T14:18:48Z</cp:lastPrinted>
  <dcterms:created xsi:type="dcterms:W3CDTF">2024-10-17T06:43:05Z</dcterms:created>
  <dcterms:modified xsi:type="dcterms:W3CDTF">2024-10-17T15:14:58Z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bc801eab-c6b5-429d-8f7e-8ab80a173956</vt:lpwstr>
  </property>
</Properties>
</file>