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4.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drawings/drawing5.xml" ContentType="application/vnd.openxmlformats-officedocument.drawing+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drawings/drawing6.xml" ContentType="application/vnd.openxmlformats-officedocument.drawing+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omments1.xml" ContentType="application/vnd.openxmlformats-officedocument.spreadsheetml.comments+xml"/>
  <Override PartName="/xl/drawings/drawing7.xml" ContentType="application/vnd.openxmlformats-officedocument.drawing+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drawings/drawing8.xml" ContentType="application/vnd.openxmlformats-officedocument.drawing+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drawings/drawing9.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https://raorg-my.sharepoint.com/personal/ymboba_ra_org/Documents/Desktop/Dossier pour Kampala/"/>
    </mc:Choice>
  </mc:AlternateContent>
  <xr:revisionPtr revIDLastSave="0" documentId="8_{7D23C35C-66E6-464B-8500-1C66CD13E2BF}" xr6:coauthVersionLast="47" xr6:coauthVersionMax="47" xr10:uidLastSave="{00000000-0000-0000-0000-000000000000}"/>
  <bookViews>
    <workbookView xWindow="-108" yWindow="-108" windowWidth="23256" windowHeight="12576" tabRatio="725" firstSheet="1" activeTab="2" xr2:uid="{00000000-000D-0000-FFFF-FFFF00000000}"/>
  </bookViews>
  <sheets>
    <sheet name="Page de couverture" sheetId="15" r:id="rId1"/>
    <sheet name="Infos générales" sheetId="12" r:id="rId2"/>
    <sheet name="Résumé" sheetId="13" r:id="rId3"/>
    <sheet name="Organisation" sheetId="1" r:id="rId4"/>
    <sheet name="Gestion stratégique" sheetId="3" r:id="rId5"/>
    <sheet name="Financier" sheetId="5" r:id="rId6"/>
    <sheet name="Sociétariat" sheetId="4" r:id="rId7"/>
    <sheet name="Formation et services" sheetId="9" r:id="rId8"/>
    <sheet name="Ventes et marketing" sheetId="10" r:id="rId9"/>
    <sheet name="SGI" sheetId="11" r:id="rId10"/>
    <sheet name="Sheet1" sheetId="14" state="hidden" r:id="rId11"/>
    <sheet name="Sheet2" sheetId="2" state="hidden" r:id="rId12"/>
  </sheets>
  <definedNames>
    <definedName name="_xlnm.Print_Area" localSheetId="0">'Page de couverture'!$A$1:$M$31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3" l="1"/>
  <c r="M2" i="11"/>
  <c r="M2" i="10"/>
  <c r="M2" i="9"/>
  <c r="M2" i="4"/>
  <c r="M2" i="5"/>
  <c r="M2" i="3"/>
  <c r="M2" i="1"/>
  <c r="M13" i="1" l="1"/>
  <c r="M11" i="1"/>
  <c r="M9" i="1"/>
  <c r="M7" i="1"/>
  <c r="M5" i="1"/>
  <c r="M3" i="1" l="1"/>
  <c r="M6" i="14"/>
  <c r="K6" i="14"/>
  <c r="I6" i="14"/>
  <c r="G6" i="14"/>
  <c r="E6" i="14"/>
  <c r="C6" i="14"/>
  <c r="A6" i="14"/>
  <c r="M13" i="11" l="1"/>
  <c r="M11" i="11"/>
  <c r="M9" i="11"/>
  <c r="M7" i="11"/>
  <c r="M5" i="11"/>
  <c r="M13" i="10"/>
  <c r="M11" i="10"/>
  <c r="M9" i="10"/>
  <c r="M7" i="10"/>
  <c r="M5" i="10"/>
  <c r="M13" i="9"/>
  <c r="M11" i="9"/>
  <c r="M9" i="9"/>
  <c r="M7" i="9"/>
  <c r="M5" i="9"/>
  <c r="M13" i="4"/>
  <c r="M11" i="4"/>
  <c r="M9" i="4"/>
  <c r="M7" i="4"/>
  <c r="M5" i="4"/>
  <c r="M13" i="5"/>
  <c r="M11" i="5"/>
  <c r="M9" i="5"/>
  <c r="M7" i="5"/>
  <c r="M5" i="5"/>
  <c r="M13" i="3"/>
  <c r="M11" i="3"/>
  <c r="M9" i="3"/>
  <c r="M7" i="3"/>
  <c r="M5" i="3"/>
  <c r="M3" i="3" l="1"/>
  <c r="C7" i="14" s="1"/>
  <c r="D7" i="14" s="1"/>
  <c r="C8" i="14" s="1"/>
  <c r="M3" i="11"/>
  <c r="M3" i="9"/>
  <c r="I7" i="14" s="1"/>
  <c r="J7" i="14" s="1"/>
  <c r="I8" i="14" s="1"/>
  <c r="M3" i="4"/>
  <c r="G7" i="14" s="1"/>
  <c r="H7" i="14" s="1"/>
  <c r="G8" i="14" s="1"/>
  <c r="M3" i="10"/>
  <c r="K7" i="14" s="1"/>
  <c r="L7" i="14" s="1"/>
  <c r="K8" i="14" s="1"/>
  <c r="M3" i="5"/>
  <c r="E7" i="14" s="1"/>
  <c r="F7" i="14" s="1"/>
  <c r="E8" i="14" s="1"/>
  <c r="M7" i="14"/>
  <c r="N7" i="14" s="1"/>
  <c r="M8" i="14" s="1"/>
  <c r="A7" i="14" l="1"/>
  <c r="J2" i="11"/>
  <c r="B7" i="14" l="1"/>
  <c r="A8" i="14" s="1"/>
  <c r="J2" i="1"/>
  <c r="J2" i="9" l="1"/>
  <c r="D15" i="13" l="1"/>
  <c r="J2" i="4"/>
  <c r="J16" i="13" l="1"/>
  <c r="K16" i="13" s="1"/>
  <c r="D14" i="13" l="1"/>
  <c r="D11" i="13"/>
  <c r="J2" i="5"/>
  <c r="D13" i="13" s="1"/>
  <c r="D17" i="13" l="1"/>
  <c r="J2" i="10"/>
  <c r="D16" i="13" s="1"/>
  <c r="E16" i="13"/>
  <c r="E17" i="13"/>
  <c r="E15" i="13"/>
  <c r="E13" i="13"/>
  <c r="E12" i="13"/>
  <c r="E11" i="13"/>
  <c r="J17" i="13" l="1"/>
  <c r="K17" i="13" s="1"/>
  <c r="J15" i="13" l="1"/>
  <c r="K15" i="13" s="1"/>
  <c r="J2" i="3" l="1"/>
  <c r="D12" i="13" s="1"/>
  <c r="J13" i="13" l="1"/>
  <c r="K13" i="13" s="1"/>
  <c r="J12" i="13" l="1"/>
  <c r="K12" i="13" s="1"/>
  <c r="J14" i="13"/>
  <c r="K14" i="13" s="1"/>
  <c r="J11" i="13" l="1"/>
  <c r="K11" i="13" s="1"/>
  <c r="M10"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ACSERV</author>
  </authors>
  <commentList>
    <comment ref="G12" authorId="0" shapeId="0" xr:uid="{00000000-0006-0000-0600-000001000000}">
      <text>
        <r>
          <rPr>
            <sz val="11"/>
            <color theme="1"/>
            <rFont val="Calibri"/>
            <family val="2"/>
            <scheme val="minor"/>
          </rPr>
          <t>the translation of "new" is omitted in all these segments "clubs d’épargne" another word for word translation</t>
        </r>
      </text>
    </comment>
  </commentList>
</comments>
</file>

<file path=xl/sharedStrings.xml><?xml version="1.0" encoding="utf-8"?>
<sst xmlns="http://schemas.openxmlformats.org/spreadsheetml/2006/main" count="413" uniqueCount="294">
  <si>
    <t>Annexe S2</t>
  </si>
  <si>
    <t>Outil d’évaluation des capacités de gestion</t>
  </si>
  <si>
    <t>Version 1 .1 </t>
  </si>
  <si>
    <t>Décharge de responsabilité concernant la traduction </t>
  </si>
  <si>
    <t>Pour toute question liée à la signification précise des informations contenues dans la traduction, veuillez vous référer à la version officielle en anglais pour en obtenir la clarification. Toute divergence ou différence dans la signification engendrée par la traduction n’est pas contraignante et n’a pas d’effet sur la certification ou les audits.</t>
  </si>
  <si>
    <t>Plus d'informations ? </t>
  </si>
  <si>
    <r>
      <rPr>
        <sz val="10"/>
        <color theme="1"/>
        <rFont val="Century Gothic"/>
        <family val="2"/>
      </rPr>
      <t xml:space="preserve">Pour en savoir plus sur Rainforest Alliance, veuillez visiter </t>
    </r>
    <r>
      <rPr>
        <sz val="10"/>
        <color theme="1"/>
        <rFont val="Century Gothic"/>
        <family val="2"/>
      </rPr>
      <t xml:space="preserve">le site </t>
    </r>
    <r>
      <rPr>
        <sz val="10"/>
        <color rgb="FF1A52C2"/>
        <rFont val="Century Gothic"/>
        <family val="2"/>
      </rPr>
      <t>www.rainforest-alliance.org</t>
    </r>
    <r>
      <rPr>
        <sz val="10"/>
        <color theme="1"/>
        <rFont val="Century Gothic"/>
        <family val="2"/>
      </rPr>
      <t> ou contacter </t>
    </r>
    <r>
      <rPr>
        <sz val="10"/>
        <color rgb="FF1A52C2"/>
        <rFont val="Century Gothic"/>
        <family val="2"/>
      </rPr>
      <t>info@ra.org</t>
    </r>
    <r>
      <rPr>
        <sz val="10"/>
        <color theme="1"/>
        <rFont val="Century Gothic"/>
        <family val="2"/>
      </rPr>
      <t> </t>
    </r>
  </si>
  <si>
    <t>Nom du document :</t>
  </si>
  <si>
    <t>Code du document :</t>
  </si>
  <si>
    <t>Version :</t>
  </si>
  <si>
    <t>SA-G-SD-3-V1</t>
  </si>
  <si>
    <t>1.1</t>
  </si>
  <si>
    <t>Date de la première publication :</t>
  </si>
  <si>
    <t>Date de révision :</t>
  </si>
  <si>
    <t>Valable à partir du :</t>
  </si>
  <si>
    <t>Expire le :</t>
  </si>
  <si>
    <t>1er juillet 2020</t>
  </si>
  <si>
    <t>31 janvier 2020</t>
  </si>
  <si>
    <t>Jusqu’à nouvel ordre</t>
  </si>
  <si>
    <t xml:space="preserve">Élaboré par : </t>
  </si>
  <si>
    <t xml:space="preserve">Approuvé par : </t>
  </si>
  <si>
    <t>Département Standards and Assurance de Rainforest Alliance</t>
  </si>
  <si>
    <t>Directeur des Standards and Assurance</t>
  </si>
  <si>
    <t>Lié à :</t>
  </si>
  <si>
    <t>Remplace :</t>
  </si>
  <si>
    <t>SA-S-SD-3-V1 Annexe 2 : Outil d’évaluation des capacités de gestion</t>
  </si>
  <si>
    <t>Pays/Région :</t>
  </si>
  <si>
    <t>Tous</t>
  </si>
  <si>
    <t>Produit agricole :</t>
  </si>
  <si>
    <t xml:space="preserve">Type de certification : </t>
  </si>
  <si>
    <t>© 2021 Rainforest Alliance. Tous droits réservés.</t>
  </si>
  <si>
    <t>Tous les produits agricoles du champ d’application du système de certification de Rainforest Alliance ; veuillez voir les Règles pour la certification.</t>
  </si>
  <si>
    <t>Certification d’exploitation agricole</t>
  </si>
  <si>
    <t>SA-S-SD-3-V1.1</t>
  </si>
  <si>
    <t>INFORMATIONS GENERALES DU GROUPE</t>
  </si>
  <si>
    <t>Nom du groupe</t>
  </si>
  <si>
    <t>Adresse</t>
  </si>
  <si>
    <t>Année de création</t>
  </si>
  <si>
    <t>Type d’organisation</t>
  </si>
  <si>
    <t>Organisation d’agriculteurs</t>
  </si>
  <si>
    <t>Groupe dirigé/encadré par un exportateur</t>
  </si>
  <si>
    <t>Autre (veuillez expliquer)</t>
  </si>
  <si>
    <t>Nombre de membres :</t>
  </si>
  <si>
    <t>Total</t>
  </si>
  <si>
    <t>Femme</t>
  </si>
  <si>
    <t>Homme</t>
  </si>
  <si>
    <t>à la création</t>
  </si>
  <si>
    <t>à présent</t>
  </si>
  <si>
    <t>Nombre total du personnel :</t>
  </si>
  <si>
    <t>Fonction</t>
  </si>
  <si>
    <t>Formateur</t>
  </si>
  <si>
    <t>Inspecteur</t>
  </si>
  <si>
    <t>Autre</t>
  </si>
  <si>
    <t>Quand a eu lieu la dernière réunion du conseil ?</t>
  </si>
  <si>
    <t>Quand a eu lieu la dernière réunion générale des membres ?</t>
  </si>
  <si>
    <t>Culture(s) agricole(s) certifiée(s)</t>
  </si>
  <si>
    <t>Dernière vente collective ?</t>
  </si>
  <si>
    <t>Est-ce que le groupe possède sa propre installation de transformation ?</t>
  </si>
  <si>
    <t>Est-ce que le groupe possède une installation de stockage des produits ?</t>
  </si>
  <si>
    <t>RESUME DES RESULTATS</t>
  </si>
  <si>
    <t>Score : se réfère aux niveaux du cycle Planifier-Réaliser-Vérifier-Agir (PRVA) :</t>
  </si>
  <si>
    <t>Pas de PRVA : Manque de documentation (processus et politiques). Pas de structure ou d'organisation formalisée.</t>
  </si>
  <si>
    <t>Réactive, mais documentée (PRVA) : La documentation existe avec une structure informelle mettant en œuvre les processus et les politiques. La mise en œuvre a lieu en réaction au système, puisqu’aucune planification n’a été prise en compte quand les politiques et les processus ont été élaborés.</t>
  </si>
  <si>
    <t>Proactive (PRVA) : Une structure et de la documentation formelle pour mettre en œuvre les politiques et les processus sont en place, les parties prenantes et les membres du groupe ont été impliqués durant l’élaboration des politiques et des processus. Cependant, après la mise en œuvre, il y a eu un manque d’évaluation et d’apprentissage.</t>
  </si>
  <si>
    <t>Amélioration continue (PRVA) : Une structure et de la documentation formelle pour mettre en œuvre les politiques et les processus sont en place. Les parties prenantes et les membres du groupe ont été impliqués durant l’élaboration des politiques et des processus. Après la mise en œuvre, les activités ont été vérifiées, évaluées et suivies pour assurer que l’apprentissage et l’amélioration aient lieu.</t>
  </si>
  <si>
    <t>Basé sur : NewForesight (2018)</t>
  </si>
  <si>
    <t>Questions</t>
  </si>
  <si>
    <t>Catégorie</t>
  </si>
  <si>
    <t>Moyenne</t>
  </si>
  <si>
    <t>Score</t>
  </si>
  <si>
    <t>Sujets d’évaluation et Questions</t>
  </si>
  <si>
    <t>Option 1</t>
  </si>
  <si>
    <t>Option 2</t>
  </si>
  <si>
    <t>Option 3</t>
  </si>
  <si>
    <t>Option 4</t>
  </si>
  <si>
    <t>Cette page possède :</t>
  </si>
  <si>
    <t>A. Structure de gestion et Organisation du groupe</t>
  </si>
  <si>
    <t>Documents/preuves de soutien :</t>
  </si>
  <si>
    <t>Commentaires/explications</t>
  </si>
  <si>
    <t>Sélection</t>
  </si>
  <si>
    <t>A.</t>
  </si>
  <si>
    <t>Est-ce qu'il y a une mission ou une déclaration d'intention du groupe ?</t>
  </si>
  <si>
    <t>Aucune mission/déclaration d'intention n’est spécifiquement définie.</t>
  </si>
  <si>
    <t>Une mission/déclaration d'intention existe, mais la direction, le personnel et les membres du groupe n’en ont pas connaissance. Elle n’est pas mise en œuvre.</t>
  </si>
  <si>
    <t>La mission/déclaration d'intention est connue de la direction, du personnel et des membres du groupe et sert occasionnellement de référence.</t>
  </si>
  <si>
    <t>La mission/déclaration d'intention est connue, mise en œuvre et régulièrement révisée.</t>
  </si>
  <si>
    <t>Est-ce que le groupe possède des règles/réglementations internes écrites (ex : règlements, le cas échéant) ? Est-ce que les membres sont consultés pour définir ces réglementations ?</t>
  </si>
  <si>
    <t>Il n'y a pas de règles et de réglementations internes.</t>
  </si>
  <si>
    <t>Il y a des règles et des réglementations internes écrites, mais il s’agit simplement d'une copie de règlements mandatés du gouvernement, ou de règles et réglementations fournies par l’exportateur.</t>
  </si>
  <si>
    <t>Il y a des règles et des réglementations internes qui ont été écrites spécifiquement pour servir les besoins du groupe. Cependant, les membre du groupe n'ont pas été consultés pour l’élaboration de ces règles.</t>
  </si>
  <si>
    <t>Il y a des règles et des réglementations internes qui ont été écrites spécifiquement pour servir les besoins du groupe. Les membres du groupe ont été consultés pour l’élaboration de ces règles.</t>
  </si>
  <si>
    <t>Est-ce que le groupe possède des canaux clairement définis pour communiquer les procédures, les politiques et les autres informations aux membres ?</t>
  </si>
  <si>
    <t>Les procédures, les politiques et les autres informations ne sont pas communiquées aux membres.</t>
  </si>
  <si>
    <t>Les procédures, les politiques et les autres informations sont communiquées aux membres d'une manière informelle.</t>
  </si>
  <si>
    <t>Les procédures, les politiques et les autres informations sont communiquées aux membres via un ou plusieurs canaux clairement identifiés.</t>
  </si>
  <si>
    <t>Les procédures, les politiques et les autres informations sont communiquées aux membres via un ou plusieurs canaux clairement identifiés. La direction sollicite également activement le feedback des membres.</t>
  </si>
  <si>
    <t>Est-ce que le groupe possède un organigramme, attribuant des responsabilités claires à la direction et aux membres du personnel ?</t>
  </si>
  <si>
    <t xml:space="preserve">L’organigramme n’existe pas, aucun rôle ni aucune responsabilité n’est clairement défini pour la direction et les membres du personnel. </t>
  </si>
  <si>
    <t>Est-ce que le groupe possède des politiques et des procédures pour garantir un comportement éthique, l’égalité des genres et prévenir les conflits d'intérêt, la discrimination, etc. ?</t>
  </si>
  <si>
    <t>Il n’y a pas de telles politiques et procédures en place.</t>
  </si>
  <si>
    <t>Les politiques et procédures sont en place mais elles ne sont pas communiquées aux membres. Aucune procédure de traitement n’a été développée en cas de litige avéré.</t>
  </si>
  <si>
    <r>
      <rPr>
        <sz val="10"/>
        <color theme="1"/>
        <rFont val="Calibri"/>
        <family val="2"/>
        <scheme val="minor"/>
      </rPr>
      <t>Les politiques et procédures sont en place et elles sont communiquées aux membres.</t>
    </r>
    <r>
      <rPr>
        <sz val="10"/>
        <color rgb="FFFF0000"/>
        <rFont val="Calibri"/>
        <family val="2"/>
        <scheme val="minor"/>
      </rPr>
      <t xml:space="preserve"> </t>
    </r>
    <r>
      <rPr>
        <sz val="10"/>
        <color rgb="FF000000"/>
        <rFont val="Calibri"/>
        <family val="2"/>
        <scheme val="minor"/>
      </rPr>
      <t>Les litiges sont gérés de manière informelle et ont besoin d'un processus formel étape par étape actuellement manquant.</t>
    </r>
  </si>
  <si>
    <t xml:space="preserve">Les politiques et procédures sont en place et elles sont communiquées aux membres. Une procédure de traitement des litiges a été établie. Elle indique quand et comment la déclencher ainsi que les personnes concernées. </t>
  </si>
  <si>
    <t>B. Gestion stratégique</t>
  </si>
  <si>
    <t>B.</t>
  </si>
  <si>
    <t>Il n’y a pas de plan stratégique.</t>
  </si>
  <si>
    <t>Il y a un plan stratégique, mais il n’est pas à jour et les principes fondamentaux du plan ne sont pas communiqués aux membres.</t>
  </si>
  <si>
    <t>Il y a un plan stratégique à jour qui est utilisé pour définir les priorités du groupe et les activités en cours. Cependant, il n'y a pas de suivi et d’évaluation de la performance du plan et il n’y a pas de communication sur le plan et ses performances aux membres.</t>
  </si>
  <si>
    <t>Il y a un plan stratégique à jour qui est utilisé pour définir les priorités du groupe et les activités en cours. Le suivi et l’évaluation de la performance du plan sont en place. Les principes fondamentaux du plan de même que les résultats principaux sont communiqués aux membres.</t>
  </si>
  <si>
    <t xml:space="preserve">Aucun personnel n’est assigné à des responsabilités spécifiques. </t>
  </si>
  <si>
    <t xml:space="preserve">Les responsabilités ont été allouées en réponse à un événement, plutôt qu’en résultat d'une planification pour gérer certains processus. </t>
  </si>
  <si>
    <t>Les responsabilités ont été attribuées dans le cadre d’une planification visant à garantir la mise en œuvre des processus spécifiques, mais ces responsabilités ne correspondent pas aux compétences spécifiques des membres du personnel.</t>
  </si>
  <si>
    <t>Les responsabilités ont été allouées en réponse à une planification afin d’assurer la mise en œuvre des processus spécifiques, correspondant à l’ensemble des compétences appropriées des membres du personnel.</t>
  </si>
  <si>
    <t>B</t>
  </si>
  <si>
    <t>Est-ce qu’il y a un processus de gestion de la qualité et d’amélioration continue en place ?
(Procédures Normalisées d’Exploitation, PNE)</t>
  </si>
  <si>
    <t>Est-ce que le groupe possède des politiques et structures fonctionnelles en place pour réaliser l’analyse des risques et élaborer un plan de gestion des risques ?</t>
  </si>
  <si>
    <t>Aucune politique ni structure en place pour mener à bien les évaluations des risques, ni pour élaborer un plan de gestion des risques.</t>
  </si>
  <si>
    <t xml:space="preserve">Des politiques et structures informelles sont en place pour répondre aux risques quand ils ont lieu, mais le système est simplement réactif avec des actions lorsque des incidents ont lieu. </t>
  </si>
  <si>
    <t>Des politiques et des structures fonctionnelles sont en place pour réaliser l’analyse des risques et élaborer un plan de gestion des risques. Cependant, l’analyse des risques n’est pas systématiquement réalisée et le plan de gestion des risques n’est pas mis à jour.</t>
  </si>
  <si>
    <t>Des politiques et des structures fonctionnelles sont en place pour réaliser l’analyse des risques et élaborer un plan de gestion des risques. L'analyse des risques est réalisée régulièrement et systématiquement et les résultats sont utilisés pour mettre à jour le plan de gestion des risques.</t>
  </si>
  <si>
    <t>Est-ce que le groupe opère/prend des décisions de manière indépendante ?</t>
  </si>
  <si>
    <t>Le groupe est établi et géré par un exportateur/entreprise et ne prend pas de décision de manière indépendante.</t>
  </si>
  <si>
    <t>Le groupe est basé sur les membres mais les décisions sont principalement prises en fonction des conseils de l’exportateur/entreprise.</t>
  </si>
  <si>
    <t>Le groupe est établi et géré par un négociant/une entreprise mais bénéficie d’une très large indépendance.</t>
  </si>
  <si>
    <t>Le groupe est basé sur les membres et prend ses décisions de manière complètement indépendante de l’exportateur/entreprise ou des autres parties prenantes.</t>
  </si>
  <si>
    <t>C. Gestion financière</t>
  </si>
  <si>
    <t>C.</t>
  </si>
  <si>
    <t>Est-ce que le groupe documente et suit les politiques de gestion financière ?</t>
  </si>
  <si>
    <t>Il n’y a pas de manuel de comptabilité ou de documentation informelle des procédures.</t>
  </si>
  <si>
    <t>Il n’y a pas de manuel de comptabilité, mais plusieurs processus sont documentés.</t>
  </si>
  <si>
    <t>Le groupe dispose d’un manuel de comptabilité qui décrit les processus applicables à toutes les transactions liées aux finances, aux actifs et au produit. Les politiques et le manuel de comptabilité ne sont pas toujours respectés.</t>
  </si>
  <si>
    <t>Est-ce que le groupe réalise une planification financière à long terme et produit des déclarations financières régulières ?</t>
  </si>
  <si>
    <t>Il n’y a pas de planification financière, ni rapport financier régulier.</t>
  </si>
  <si>
    <t>Il n’y a pas de planification financière. Des rapports financiers sont en cours de préparation mais sont uniquement partiels ou ne sont pas rédigés de manière systématique (par exemple, il n’y a pas de rapprochement avec les listes des actifs, des responsabilités et des valeurs nettes).</t>
  </si>
  <si>
    <t>Le groupe a préparé un plan financier à long terme. Des états financiers détaillés réguliers sont en cours de préparation mais ces informations ne sont pas utilisées pour mettre à jour la planification financière.</t>
  </si>
  <si>
    <t>Le groupe réalise une planification financière à long terme. Des états financiers détaillés réguliers sont en cours de préparation et sont aussi utilisés pour mettre à jour la planification financière.</t>
  </si>
  <si>
    <t>Est-ce que la comptabilité et le système de données du groupe produisent des informations qui permettent de contrôler les opérations et de surveiller le rendement financier ?</t>
  </si>
  <si>
    <t>Il n’y a pas de registre précis des revenus, des dépenses et des coûts fixes/administratifs.</t>
  </si>
  <si>
    <t>Il y a un registre précis d'un domaine (des revenus, des dépenses et des coûts fixes/administratifs).</t>
  </si>
  <si>
    <t>Il y a un registre de tous les revenus, dépenses et coûts fixes/administratifs, mais ils n’ont pas été rapprochés des déclarations bancaires ou confirmés par un auditeur externe.</t>
  </si>
  <si>
    <t>Le revenu net des pertes et profits est représenté dans la feuille d’équilibre et est confirmé via le rapprochement des déclarations bancaires ou par un auditeur externe.</t>
  </si>
  <si>
    <t>Est-ce que le groupe est capable de démontrer une bonne performance financière ?</t>
  </si>
  <si>
    <t>Le groupe est peu rentable ou est incapable de déterminer s’il est rentable.</t>
  </si>
  <si>
    <t>Le groupe est capable de démontrer uniquement une année rentable au cours des trois dernières années. Cependant, le groupe n’a pas eu d’audit externe durant cette période.</t>
  </si>
  <si>
    <t>Le groupe est capable de démontrer uniquement une année rentable au cours des trois dernières années. Ces informations sont confirmées via un audit externe.</t>
  </si>
  <si>
    <t>Le groupe est capable de démontrer une tendance à la hausse de rentabilité au cours des trois dernières années. Ces informations sont confirmées via un audit externe.</t>
  </si>
  <si>
    <t>Le groupe a-t-il élaboré un plan qui lui permette d’effectuer les investissements et d’accéder aux ressources financières nécessaires à ses activités commerciales, d’atteindre la compatibilité avec les normes Rainforest Alliance et de mettre en œuvre son Plan de gestion de l’exploitation agricole et de services à ses membres ?</t>
  </si>
  <si>
    <t>Le groupe ne connait pas les exigences et ne dispose d’aucun plan d’investissement ou de financement.</t>
  </si>
  <si>
    <t>Le groupe manque de liquidités et ne dispose d’aucun plan lui permettant d’obtenir de nouveaux financements.</t>
  </si>
  <si>
    <t xml:space="preserve">Le groupe dispose d’un plan d’investissements ou de financement mais ce plan ne se base pas sur une évaluation claire des dépenses nécessaires ou des priorités. </t>
  </si>
  <si>
    <t>D. Implication des membres et planification des adhésions</t>
  </si>
  <si>
    <t>D.</t>
  </si>
  <si>
    <t>Est-ce que le groupe a convoqué une réunion générale des membres (ou assemblée) au cours des trois dernières années ?</t>
  </si>
  <si>
    <t>Il n’y a pas eu de réunions générales durant les trois dernières années.</t>
  </si>
  <si>
    <t>Il y a eu une ou plusieurs réunions générales, mais moins de 50 % des membres ont participé.</t>
  </si>
  <si>
    <t>Il y a eu une réunion générale tous les ans avec au moins 50% des membres participants. Cependant, les réunions se limitent à la présentation des informations aux membres.</t>
  </si>
  <si>
    <t>Il y a eu une réunion générale tous les ans avec au moins 50% des membres participants. Les réunions sont utilisées pour présenter et discuter des problèmes avec les membres.</t>
  </si>
  <si>
    <t>Est-ce que les membres fournissent des ressources financières au groupe (via des frais d’adhésion ou une autre forme de contribution financière) ?</t>
  </si>
  <si>
    <t>Les membres ne contribuent pas financièrement au groupe.</t>
  </si>
  <si>
    <t>Les membres contribuent sur une base volontaire mais ces contributions sont irrégulières et ne viennent pas de tous les membres.</t>
  </si>
  <si>
    <t>Les contributions des adhésions sont collectées chez tous les membres de manière régulière.</t>
  </si>
  <si>
    <t>Les contributions des adhésions sont collectées chez tous les membres de manière régulière et les registres indiquent la date et le montant payé par chaque membre.</t>
  </si>
  <si>
    <t>Quelle a été l’évolution des adhésions au cours des trois dernières années ?</t>
  </si>
  <si>
    <t xml:space="preserve">Il n’y a pas de registres précis des membres ou de la durée de leur adhésion. </t>
  </si>
  <si>
    <t>Il y a des registres précis des membres et de la durée d’adhésion. La participation aux adhésions des membres existants a chuté au cours des trois dernières années.</t>
  </si>
  <si>
    <t>Il y a des registres précis des membres et de la durée d’adhésion. La participation aux adhésions des membres existants n’a pas changé au cours des trois dernières années.</t>
  </si>
  <si>
    <t>Il y a des registres précis des membres et de la durée d’adhésion. Les adhésions de membres actifs ont progressé au cours des trois dernières années.</t>
  </si>
  <si>
    <t>Est-ce que le groupe possède un plan d’adhésion (incluant les communications, les engagements, le recrutement et le maintien des membres) ?</t>
  </si>
  <si>
    <t>Le groupe ne possède pas de plan d’adhésion.</t>
  </si>
  <si>
    <t>Il n’y a pas de plan formel d’adhésion mais des activités sont organisées pour recruter de nouveaux membres.</t>
  </si>
  <si>
    <t>Il y a un plan formel d’adhésion qui se concentre sur le recrutement et le maintien des membres.</t>
  </si>
  <si>
    <t>Il y a un plan formel d’adhésion qui se concentre sur le recrutement et le maintien des membres. Le plan est régulièrement révisé et discuté avec les membres.</t>
  </si>
  <si>
    <r>
      <rPr>
        <sz val="10"/>
        <color theme="1"/>
        <rFont val="Calibri"/>
        <family val="2"/>
        <scheme val="minor"/>
      </rPr>
      <t xml:space="preserve">L’organisation dispose-t-elle de plans ou fait-t-elle systématiquement </t>
    </r>
    <r>
      <rPr>
        <strike/>
        <sz val="10"/>
        <color rgb="FFFF0000"/>
        <rFont val="Calibri"/>
        <family val="2"/>
        <scheme val="minor"/>
      </rPr>
      <t xml:space="preserve"> </t>
    </r>
    <r>
      <rPr>
        <sz val="10"/>
        <color rgb="FF000000"/>
        <rFont val="Calibri"/>
        <family val="2"/>
        <scheme val="minor"/>
      </rPr>
      <t>les efforts nécessaires à la formation et l’information des membres leur permettant de devenir des propriétaires actifs et informés ?</t>
    </r>
  </si>
  <si>
    <t>E. Formation des membres et mise à disposition de services</t>
  </si>
  <si>
    <t>E.</t>
  </si>
  <si>
    <t>Est-ce que le groupe possède un processus ou une structure en place pour fournir de la formation/soutien technique et autres services aux membres ?</t>
  </si>
  <si>
    <t>Pas de processus ou de structure en place pour fournir de la formation/soutien technique et autres services aux membres.</t>
  </si>
  <si>
    <t>Processus et structure informels en place pour fournir de la formation/soutien technique et autres services aux membres, ayant lieu habituellement en réaction à un incident/événement.</t>
  </si>
  <si>
    <t>Processus et structure formels en place pour fournir de la formation/soutien technique et autres services. Ils contiennent un plan formel (annuel) précisant le type de formation et les services à fournir, la fréquence de réalisation, etc. Cependant, les membres n’ont pas été consultés pour la conception du plan (ex : via une évaluation des besoins).</t>
  </si>
  <si>
    <t>Est-ce que le groupe est suffisamment pourvu en personnel pour fournir la formation et les autres services aux membres ?</t>
  </si>
  <si>
    <t>Le groupe manque de personnel pour fournir la formation et les autres services aux membres.</t>
  </si>
  <si>
    <t>Le groupe possède suffisamment de personnel pour remplir tous les postes clés mais la majorité du personnel ne possède pas les qualifications adéquates pour leurs postes.</t>
  </si>
  <si>
    <t>Le groupe possède suffisamment de personnel pour remplir tous les postes clés et tous possèdent les qualifications adéquates pour leurs postes. Cependant, aucune formation avancée/de suivi n’est fournie pour le personnel existant.</t>
  </si>
  <si>
    <t>Le groupe possède suffisamment de personnel pour remplir tous les postes clés et tous possèdent les qualifications adéquates pour leurs postes. Le personnel reçoit régulièrement des formations avancées/de suivi pour les maintenir à jour des évolutions concernées pour leurs postes.</t>
  </si>
  <si>
    <t>Est-ce que toutes les formations ont été documentées et est-ce qu’un système de suivi est disponible ?</t>
  </si>
  <si>
    <t>Aucune formation fournie.</t>
  </si>
  <si>
    <t>Aucune documentation formelle n’existe spécifiant le type de formation fournie, le niveau de compétence du formateur, le nombre de participants et la date et durée de la formation fournie.</t>
  </si>
  <si>
    <t>Une documentation formelle sur la formation est disponible et contient la collecte des données ventilées des genres. Cependant, aucun processus n’existe pour suivre la qualité de la formation et pour collecter le feedback des participants afin d’apprendre et d’améliorer l’efficacité et l’efficience de la formation fournie.</t>
  </si>
  <si>
    <t>Une documentation formelle sur la formation est disponible et contient la collecte des données ventilées des genres. Il existe un processus pour suivre la qualité de la formation et pour collecter le feedback des participants. Les informations recueillies sont utilisées et partagées avec les personnes concernées afin d’améliorer l’efficacité et l’efficience de la formation fournie.</t>
  </si>
  <si>
    <t>Est-ce que la mise à disposition des services (autre que la formation) a été documentée et est-ce qu’un système de suivi est disponible ?</t>
  </si>
  <si>
    <t>Aucun autre service n’est fourni.</t>
  </si>
  <si>
    <t>Aucune documentation formelle n’existe spécifiant le type de services fournis, le nombre d’agriculteurs recevant le service et la date/durée de réalisation du service.</t>
  </si>
  <si>
    <t>Une documentation formelle sur la réalisation du service est disponible et contient la collecte des données ventilées des genres. Cependant, aucun processus n’existe pour suivre la qualité de la mise à disposition des services et pour collecter le feedback des bénéficiaires afin d’améliorer l’efficacité et l’efficience des services fournis.</t>
  </si>
  <si>
    <t>Une documentation formelle sur la réalisation du service est disponible et contient la collecte des données ventilées des genres. Il existe un processus pour suivre la qualité de la mise à disposition des services et pour collecter le feedback des participants. Les informations recueillies sont utilisées et partagées avec les personnes concernées afin d’améliorer l’efficacité et l’efficience des services fournis.</t>
  </si>
  <si>
    <t>Est-ce que le groupe possède un système pour garantir la qualité des intrants agricoles fournis ?</t>
  </si>
  <si>
    <t>Le groupe ne possède pas de système pour garantir la qualité des intrants agricoles fournis.</t>
  </si>
  <si>
    <t>Le groupe ne possède pas de système formel mais des vérifications sont parfois effectuées.</t>
  </si>
  <si>
    <t>Le groupe possède un système formel mais les vérifications ne sont pas effectuées de manière régulière.</t>
  </si>
  <si>
    <t>Le groupe possède un système formel et des vérifications sont effectuées de manière régulière.</t>
  </si>
  <si>
    <t>F. Ventes et marketing</t>
  </si>
  <si>
    <t>F.</t>
  </si>
  <si>
    <t>Est-ce que le groupe a réalisé des ventes collectives ?</t>
  </si>
  <si>
    <t>Le groupe n’a pas réalisé de ventes collectives, ou des ventes collectives ont impliqué moins de 20% des membres.</t>
  </si>
  <si>
    <t>Le groupe a réalisé au moins une vente collective qui comporte au moins 20% des membres.</t>
  </si>
  <si>
    <t>Le groupe a réalisé au moins deux ventes collectives dont chacune impliquant au moins 50% des membres.</t>
  </si>
  <si>
    <t>Le groupe a réalisé au moins trois ventes collectives dont chacune impliquant au moins 75% des membres.</t>
  </si>
  <si>
    <t>Quel est le niveau de participation des membres aux ventes groupées ?</t>
  </si>
  <si>
    <t>La majorité des membres (&gt; 50 %) vend via le groupe, mais ces ventes concernent moins de la moitié de leur production.</t>
  </si>
  <si>
    <t>Une majorité des membres (&gt; 50 %) vend via le groupe et ces ventes concernent plus de la moitié de leur production.</t>
  </si>
  <si>
    <t>Presque tous les membres (&gt; 90 %) vendent via le groupe et ces ventes concernent plus de la moitié de leur production.</t>
  </si>
  <si>
    <t>Le groupe dispose-t-il d’un processus ou d’une structure permettant de mener et de gérer les activités commerciales ?</t>
  </si>
  <si>
    <t>Aucun processus ou structure en place pour réaliser et gérer les activités commerciales.</t>
  </si>
  <si>
    <t>Un processus et une structure informels en place pour réaliser et gérer les activités commerciales.</t>
  </si>
  <si>
    <t>Est-ce que le groupe possède un processus ou une structure en place pour déterminer les prix avec les acheteurs ?</t>
  </si>
  <si>
    <t>Aucun processus ou structure en place.</t>
  </si>
  <si>
    <t>La documentation formelle est absente (système informel uniquement) concernant la détermination des prix.</t>
  </si>
  <si>
    <t>Est-ce que le groupe possède un processus ou une structure en place pour la logistique et le contrôle de la qualité durant la transformation, le stockage et les manipulations ?</t>
  </si>
  <si>
    <t>Aucun processus ou structure en place pour la logistique (transformation, stockage et manipulations) ou le contrôle de la qualité.</t>
  </si>
  <si>
    <t>Le processus de contrôle de la qualité et de la logistique manque de documentation formelle qui stipule les procédures spécifiques pour optimiser la qualité et l’efficacité lors des activités de transformation, de stockage et de manipulation ou la gestion du flux d'informations en interne, en amont et en aval.</t>
  </si>
  <si>
    <t>G. Système de Gestion Interne</t>
  </si>
  <si>
    <t>G.</t>
  </si>
  <si>
    <t>Est-ce que le groupe possède des politiques et structures formelles en place pour gérer la traçabilité et la conformité avec les critères de qualité et de la norme (Manuel du SGI) ?</t>
  </si>
  <si>
    <t>Aucune politique ou structure en place pour gérer la traçabilité et la conformité par rapport aux critères de la norme et de la qualité.</t>
  </si>
  <si>
    <t>Certaines politiques ou structures pour gérer la traçabilité et la conformité par rapport aux critères de la norme et de la qualité sont en place mais elles ne sont pas formellement documentées.</t>
  </si>
  <si>
    <t>Une documentation formelle existe (Manuel du SGI) de toutes les politiques et structures pour gérer la traçabilité et la conformité par rapport aux critères de la norme et de la qualité. Cependant, les politiques et les structures ne sont pas révisées régulièrement.</t>
  </si>
  <si>
    <t>Une documentation formelle existe (Manuel du SGI) de toutes les politiques et structures pour gérer la traçabilité et la conformité par rapport aux critères de la norme et de la qualité. Les politiques et les structures sont régulièrement révisées et mises à jour si nécessaire.</t>
  </si>
  <si>
    <t>Est-ce que le groupe est suffisamment pourvu en personnel pour chaque fonction dans le SGI ?</t>
  </si>
  <si>
    <t xml:space="preserve">Pas d'organigramme pour le SGI, pas de rôles ou responsabilités clairs pour la gestion du SGI et des autres personnels. </t>
  </si>
  <si>
    <t>Un organigramme informel existe. Il y a un responsable du SGI mais les rôles et responsabilités des autres membres du personnel ne sont pas clairs.</t>
  </si>
  <si>
    <t>Un organigramme formel existe avec des rôles et responsabilités clairs pour la gestion du SGI et des autres personnels.</t>
  </si>
  <si>
    <t>Un organigramme formel existe avec des rôles et responsabilités clairs pour la gestion du SGI et des autres personnels. Les rôles et les responsabilités sont régulièrement révisés et ajustés.</t>
  </si>
  <si>
    <t>Est-ce que les inspecteurs reçoivent la formation nécessaire et des mises à jour régulières ?</t>
  </si>
  <si>
    <t xml:space="preserve">Les inspecteurs n’ont pas reçu de formation sur les inspections. </t>
  </si>
  <si>
    <t>Les inspecteurs ont reçu une formation de base, mais aucune remise à niveau/suivi n’est organisé.</t>
  </si>
  <si>
    <t>Les inspecteurs ont reçu une formation de base et également une formation de remise à niveau/suivi.</t>
  </si>
  <si>
    <t>Les inspecteurs ont reçu une formation de base et également une formation de remise à niveau/suivi basée sur leurs besoins individuels.</t>
  </si>
  <si>
    <t>Est-ce que l’organisation possède des politiques et structures formelles en place pour réaliser des inspections internes ?
(Et est-ce que les inspections ont lieu conformément à la politique ?)</t>
  </si>
  <si>
    <t>Aucune politique ou structure en place pour réaliser les inspections.</t>
  </si>
  <si>
    <t>Une politique et une structure d'inspection existent et sont habituellement mises en œuvre en réponse à un incident. Aucune clause formelle précisant qui, quand et comment réaliser l'inspection, ou comment les données doivent être collectées et comment les gérer.</t>
  </si>
  <si>
    <t>Une politique et une structure formelles d'inspection sont en place. La politique stipule par qui, quand et comment l’inspection de même que la collecte des données doivent être réalisées y compris la spécification de l'implication des agricultrices. Cependant, le groupe a des difficultés pour organiser les inspections conformément à la politique.</t>
  </si>
  <si>
    <t>Une politique et une structure formelles d'inspection sont en place et le groupe est capable d'organiser des inspections conformément à la politique. La politique stipule par qui, quand et comment l’inspection de même que la collecte des données doivent être réalisées y compris la spécification de l'implication des agricultrices. Les inspections sont planifiées et réalisées conformément à la politique.</t>
  </si>
  <si>
    <t xml:space="preserve">Est-ce que le groupe possède une structure en place et assez de personnel pour analyser les données des inspections internes et décider/planifier un suivi ? </t>
  </si>
  <si>
    <t>Il n'y a pas de structure en place pour analyser les données des inspections internes et pour décider et planifier le suivi.</t>
  </si>
  <si>
    <t>Il y a une structure en place mais le nombre de personnel est limité (résultant en des délais dans les analyses et aucun suivi planifié).</t>
  </si>
  <si>
    <t>Main aspects based on AMEA guidelines:</t>
  </si>
  <si>
    <t>A. Organizational purpose and Governance practices</t>
  </si>
  <si>
    <t>B. Business management</t>
  </si>
  <si>
    <t>C. Member engagement and planning</t>
  </si>
  <si>
    <t>D. Human resource management</t>
  </si>
  <si>
    <t>E. Financial management</t>
  </si>
  <si>
    <t>F. Community and stakeholder engagement</t>
  </si>
  <si>
    <t>G. Member services and business activiies</t>
  </si>
  <si>
    <t>Red</t>
  </si>
  <si>
    <t>From the AMEA guidelines</t>
  </si>
  <si>
    <t>Yellow</t>
  </si>
  <si>
    <t>From the M4 tool</t>
  </si>
  <si>
    <t>Wit:</t>
  </si>
  <si>
    <t>From the NewForesight tool</t>
  </si>
  <si>
    <t>Beige:</t>
  </si>
  <si>
    <t>From the Adore tool</t>
  </si>
  <si>
    <t xml:space="preserve"> </t>
  </si>
  <si>
    <t>Annexe S2 : Outil d’évaluation des capacités de gestion</t>
  </si>
  <si>
    <t xml:space="preserve">SA-S-SD-1-V1.1Norme pour l’agriculture durable 2020 de Rainforest Alliance, Exigences applicables aux exploitations agricoles (1.1.1, 1.1.2, 1.3.2). SA-G-SD-2-V1 Document d’orientation A : Comment utiliser l’outil d’évaluation des capacités de gestion de Rainforest Alliance
SA-G-SD-3-V1 Document d’orientation B : Modèle de Plan de gestion			</t>
  </si>
  <si>
    <t xml:space="preserve">Applicable à : </t>
  </si>
  <si>
    <t xml:space="preserve">Exploitations agricoles Titulaires de certificats </t>
  </si>
  <si>
    <t>Toute utilisation de ce contenu, y compris la reproduction, la modification, la distribution ou la republication, sans le consentement écrit préalable de Rainforest Alliance, est strictement interdite.</t>
  </si>
  <si>
    <t>Conseiller</t>
  </si>
  <si>
    <t>Un organigramme informel existe, avec les rôles et responsabilités informels de la direction et des membres du personnel.</t>
  </si>
  <si>
    <t xml:space="preserve">Un organigramme formel existe avec les rôles et responsabilités clairs pour la gestion et le personnel. </t>
  </si>
  <si>
    <t>Un organigramme formel existe avec les rôles et responsabilités clairs pour la gestion et le personnel. Les rôles et les responsabilités sont régulièrement révisés et ajustés.</t>
  </si>
  <si>
    <t>Documents/preuves à l'appui :</t>
  </si>
  <si>
    <t>Est-ce que le groupe possède un plan stratégique à moyen terme (3 à 5 ans) et des plans annuels ?
Est-ce que la performance réelle du plan est suivie et les résultats communiqués aux membres ?</t>
  </si>
  <si>
    <t>Est-ce que l’organisation est adéquatement pourvue en personnel pour réaliser ses plans stratégiques (à court et moyen terme) ?</t>
  </si>
  <si>
    <t>Il n’y a pas de PNE documentées.</t>
  </si>
  <si>
    <t>Il y a des PNE documentées (telles que la collecte des frais, la distribution de semences, l’entreposage et le stockage), mais elles ne couvrent pas tous les domaines, elles ne sont pas suivies ou elles ne sont pas facilement accessibles par les membres/personnel.</t>
  </si>
  <si>
    <t>Il y a des PNE accessibles et documentées avec un échantillonnage des procédures apparaissant et qu'il faut suivre en conséquence.</t>
  </si>
  <si>
    <t>Des PNE documentées sont disponibles et conformes aux exigences des inspections de routine et aux mises à jour de ces procédures.</t>
  </si>
  <si>
    <t>Le groupe dispose d’un manuel de comptabilité qui décrit les processus applicables à toutes les transactions liées aux finances, aux actifs et au produit. La conformité des procédures a été soumise à un audit au cours de l’année dernière.</t>
  </si>
  <si>
    <t>Le groupe dispose d’un plan d’investissements ou de financement basé sur une évaluation claire des dépenses nécessaires ou des priorités et est régulièrement mis à jour.</t>
  </si>
  <si>
    <t>Le groupe a mis en œuvre des politiques et des services pour soutenir les membres nouveaux ou en difficulté et cible spécifiquement ces membres pour la fourniture de services supplémentaires (tels qu’une formation supplémentaire sur les clubs d'épargne, etc.) afin de leur permettre de consolider leur situation et de participer plus activement aux activités du groupe.</t>
  </si>
  <si>
    <t>Le groupe n’a mis en place aucune politique ni aucun service destiné aux membres nouveaux ou en difficulté.</t>
  </si>
  <si>
    <t xml:space="preserve">Il n’existe ni politique, ni service d’aide aux membres nouveaux ou en difficulté, mais le groupe fournit différents services d’urgence (par exemple, aide au transport, travail supplémentaire, etc.) à certains membres du groupe. </t>
  </si>
  <si>
    <t>Le groupe a mis en œuvre des politiques et des services couramment fournis aux membres nouveaux ou en difficulté.</t>
  </si>
  <si>
    <t>Processus et structure formels existants de formation/soutien technique et autres services qui comprennent un plan formel (annuel) précisant le type de formation ou de services à fournir, la fréquence de réalisation, etc. Les membres hommes et femmes ont été activement consultés lors de la conception du plan.</t>
  </si>
  <si>
    <t>Peu de membres (&lt; 10 %) vend via le groupe et ces ventes concernent moins de la moitié de leur production.</t>
  </si>
  <si>
    <t>Le groupe a au moins une fois élaboré un plan de marketing qui comporte les cibles de vente, les acheteurs, le volume et la valeur et il a atteint les cibles de ventes du plan de marketing. Cependant, aucun suivi ou évaluation pour apprendre et améliorer l’efficacité et l’efficience de la gestion des activités commerciales.</t>
  </si>
  <si>
    <t>Le groupe a au moins une fois élaboré un plan de marketing qui comporte les cibles de vente, les acheteurs, le volume et la valeur. Il a atteint les cibles de ventes du plan de marketing et il communique ce plan aux membres avant le début de la saison de plantation. Une procédure formalisée de suivi et évaluation est en place pour garantir l’apprentissage et l’amélioration de la gestion des activités commerciales.</t>
  </si>
  <si>
    <t>Politique formelle en place qui stipule la détermination des prix et la communication des prix aux membres, l’utilisation des primes, la distribution et l’attribution au SGI. Les parties prenantes n’ont pas été consultées durant la conception de la politique.</t>
  </si>
  <si>
    <t>Politique formelle en place qui stipule la détermination des prix et la communication des prix aux membres, l’utilisation des primes, la distribution et l’attribution au SGI. La consultation des parties prenantes a eu lieu durant la conception de la politique.</t>
  </si>
  <si>
    <t>Un processus et une politique clairs en place qui stipulent les procédures spécifiques pour optimiser la qualité et l’efficacité lors des activités de transformation, de stockage et de manipulation de même que la gestion du flux d'informations en interne, en amont et en aval. Cependant, aucun suivi ou évaluation pour apprendre et améliorer l’efficacité et l’efficience de la logistique et du contrôle de la qualité.</t>
  </si>
  <si>
    <t>Un processus et une politique clairs en place qui stipulent les procédures spécifiques pour optimiser la qualité et l’efficacité lors des activités de transformation, de stockage et de manipulation de même que la gestion du flux d'informations en interne, en amont et en aval. Un système est en place pour le suivi et l’évaluation afin d’apprendre et d’améliorer l’efficacité et l’efficience de la logistique et du contrôle de la qualité.</t>
  </si>
  <si>
    <t>Il y a une structure en place et le groupe possède assez de personnel pour réaliser l’analyse et planifier le suivi concernant les sanctions et pour résoudre les non-conformités en indiquant des délais et responsabilités clairs. Cependant, aucun processus n’est en place pour l’évaluation pour apprendre et améliorer l’efficacité et l’efficience du processus.</t>
  </si>
  <si>
    <t>Il y a une structure en place et le groupe possède assez de personnel pour réaliser l’analyse et planifier le suivi concernant les sanctions et pour résoudre les non-conformités en indiquant des délais et responsabilités clairs. Il y a un système en place pour l’évaluation pour apprendre et améliorer l’efficacité et l’efficience du processus.</t>
  </si>
  <si>
    <t>Manuel du SGI disponilble avec toutes les politiques et procédures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</si>
</sst>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questions&quot;"/>
    <numFmt numFmtId="165" formatCode="00"/>
    <numFmt numFmtId="166" formatCode="0.0"/>
  </numFmts>
  <fonts count="38" x14ac:knownFonts="1">
    <font>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11"/>
      <color rgb="FFFF0000"/>
      <name val="Calibri"/>
      <family val="2"/>
      <scheme val="minor"/>
    </font>
    <font>
      <b/>
      <sz val="11"/>
      <color theme="1"/>
      <name val="Calibri"/>
      <family val="2"/>
      <scheme val="minor"/>
    </font>
    <font>
      <sz val="10"/>
      <name val="Calibri"/>
      <family val="2"/>
      <scheme val="minor"/>
    </font>
    <font>
      <sz val="8"/>
      <color rgb="FF000000"/>
      <name val="Tahoma"/>
      <family val="2"/>
    </font>
    <font>
      <sz val="10"/>
      <name val="Arial"/>
      <family val="2"/>
    </font>
    <font>
      <sz val="11"/>
      <color indexed="8"/>
      <name val="Calibri"/>
      <family val="2"/>
    </font>
    <font>
      <sz val="8"/>
      <color rgb="FF000000"/>
      <name val="Segoe UI"/>
      <family val="2"/>
    </font>
    <font>
      <b/>
      <sz val="12"/>
      <name val="Calibri"/>
      <family val="2"/>
      <scheme val="minor"/>
    </font>
    <font>
      <sz val="11"/>
      <color theme="1"/>
      <name val="Wingdings"/>
      <charset val="2"/>
    </font>
    <font>
      <sz val="10"/>
      <color rgb="FFFF0000"/>
      <name val="Calibri"/>
      <family val="2"/>
      <scheme val="minor"/>
    </font>
    <font>
      <b/>
      <sz val="10"/>
      <name val="Calibri"/>
      <family val="2"/>
      <scheme val="minor"/>
    </font>
    <font>
      <b/>
      <sz val="10"/>
      <color rgb="FFFF0000"/>
      <name val="Calibri"/>
      <family val="2"/>
      <scheme val="minor"/>
    </font>
    <font>
      <sz val="11"/>
      <name val="Calibri"/>
      <family val="2"/>
      <scheme val="minor"/>
    </font>
    <font>
      <sz val="9"/>
      <name val="Calibri"/>
      <family val="2"/>
      <scheme val="minor"/>
    </font>
    <font>
      <b/>
      <sz val="11"/>
      <name val="Calibri"/>
      <family val="2"/>
      <scheme val="minor"/>
    </font>
    <font>
      <b/>
      <sz val="9"/>
      <name val="Calibri"/>
      <family val="2"/>
      <scheme val="minor"/>
    </font>
    <font>
      <sz val="12"/>
      <name val="Calibri"/>
      <family val="2"/>
      <scheme val="minor"/>
    </font>
    <font>
      <sz val="11"/>
      <color theme="9"/>
      <name val="Calibri"/>
      <family val="2"/>
      <scheme val="minor"/>
    </font>
    <font>
      <i/>
      <sz val="10"/>
      <name val="Calibri"/>
      <family val="2"/>
      <scheme val="minor"/>
    </font>
    <font>
      <b/>
      <sz val="36"/>
      <color rgb="FF175259"/>
      <name val="Century Gothic"/>
      <family val="2"/>
    </font>
    <font>
      <b/>
      <sz val="20"/>
      <color rgb="FFF53D1C"/>
      <name val="Century Gothic"/>
      <family val="2"/>
    </font>
    <font>
      <i/>
      <sz val="14"/>
      <color rgb="FF94BA29"/>
      <name val="Century Gothic"/>
      <family val="2"/>
    </font>
    <font>
      <sz val="11"/>
      <color rgb="FF94BA29"/>
      <name val="Century Gothic"/>
      <family val="2"/>
    </font>
    <font>
      <sz val="10"/>
      <color theme="1"/>
      <name val="Century Gothic"/>
      <family val="2"/>
    </font>
    <font>
      <sz val="10"/>
      <color rgb="FF1A52C2"/>
      <name val="Century Gothic"/>
      <family val="2"/>
    </font>
    <font>
      <b/>
      <sz val="10"/>
      <color theme="1"/>
      <name val="Century Gothic"/>
      <family val="2"/>
    </font>
    <font>
      <b/>
      <sz val="10"/>
      <name val="Century Gothic"/>
      <family val="2"/>
    </font>
    <font>
      <b/>
      <sz val="10"/>
      <color rgb="FF000000"/>
      <name val="Century Gothic"/>
      <family val="2"/>
    </font>
    <font>
      <sz val="9"/>
      <color rgb="FF000000"/>
      <name val="Calibri"/>
      <family val="2"/>
      <scheme val="minor"/>
    </font>
    <font>
      <sz val="11"/>
      <color rgb="FFF53D1C"/>
      <name val="Calibri"/>
      <family val="2"/>
      <scheme val="minor"/>
    </font>
    <font>
      <i/>
      <sz val="9"/>
      <color theme="1"/>
      <name val="Century Gothic"/>
      <family val="2"/>
    </font>
    <font>
      <sz val="9"/>
      <color theme="1"/>
      <name val="Century Gothic"/>
      <family val="2"/>
    </font>
    <font>
      <strike/>
      <sz val="10"/>
      <color rgb="FFFF0000"/>
      <name val="Calibri"/>
      <family val="2"/>
      <scheme val="minor"/>
    </font>
    <font>
      <sz val="10"/>
      <color rgb="FF000000"/>
      <name val="Calibri"/>
      <family val="2"/>
      <scheme val="minor"/>
    </font>
  </fonts>
  <fills count="1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6DA945"/>
        <bgColor indexed="64"/>
      </patternFill>
    </fill>
    <fill>
      <patternFill patternType="solid">
        <fgColor rgb="FFFFC000"/>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E2EFDA"/>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BFBFBF"/>
        <bgColor indexed="64"/>
      </patternFill>
    </fill>
    <fill>
      <patternFill patternType="solid">
        <fgColor rgb="FFF5B224"/>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thick">
        <color rgb="FFFF0000"/>
      </bottom>
      <diagonal/>
    </border>
  </borders>
  <cellStyleXfs count="3">
    <xf numFmtId="0" fontId="0" fillId="0" borderId="0"/>
    <xf numFmtId="0" fontId="8" fillId="0" borderId="0"/>
    <xf numFmtId="9" fontId="9" fillId="0" borderId="0" applyFont="0" applyFill="0" applyBorder="0" applyAlignment="0" applyProtection="0"/>
  </cellStyleXfs>
  <cellXfs count="285">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0" fontId="2" fillId="0" borderId="0" xfId="0" applyFont="1"/>
    <xf numFmtId="0" fontId="3" fillId="6" borderId="5" xfId="0" applyFont="1" applyFill="1" applyBorder="1" applyAlignment="1">
      <alignment vertical="center"/>
    </xf>
    <xf numFmtId="0" fontId="1" fillId="6" borderId="6" xfId="0" applyFont="1" applyFill="1" applyBorder="1" applyAlignment="1">
      <alignment vertical="center" wrapText="1"/>
    </xf>
    <xf numFmtId="0" fontId="1" fillId="6" borderId="7" xfId="0" applyFont="1" applyFill="1" applyBorder="1" applyAlignment="1">
      <alignment vertical="center" wrapText="1"/>
    </xf>
    <xf numFmtId="0" fontId="3" fillId="0" borderId="0" xfId="0" applyFont="1" applyAlignment="1">
      <alignment vertical="center"/>
    </xf>
    <xf numFmtId="0" fontId="4" fillId="0" borderId="0" xfId="0" applyFont="1"/>
    <xf numFmtId="0" fontId="0" fillId="7" borderId="0" xfId="0" applyFill="1"/>
    <xf numFmtId="0" fontId="0" fillId="0" borderId="0" xfId="0" applyAlignment="1">
      <alignment horizontal="center" vertical="center"/>
    </xf>
    <xf numFmtId="0" fontId="0" fillId="8" borderId="0" xfId="0" applyFill="1"/>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vertical="center" wrapText="1"/>
    </xf>
    <xf numFmtId="0" fontId="6" fillId="9" borderId="11" xfId="1" applyFont="1" applyFill="1" applyBorder="1" applyAlignment="1">
      <alignment vertical="center" wrapText="1"/>
    </xf>
    <xf numFmtId="0" fontId="6" fillId="9" borderId="12" xfId="1" applyFont="1" applyFill="1" applyBorder="1" applyAlignment="1">
      <alignment vertical="center" wrapText="1"/>
    </xf>
    <xf numFmtId="0" fontId="6" fillId="9" borderId="13" xfId="1" applyFont="1" applyFill="1" applyBorder="1" applyAlignment="1">
      <alignment vertical="center" wrapText="1"/>
    </xf>
    <xf numFmtId="0" fontId="6" fillId="0" borderId="2" xfId="0" applyFont="1" applyFill="1" applyBorder="1" applyAlignment="1">
      <alignment vertical="center" wrapText="1"/>
    </xf>
    <xf numFmtId="0" fontId="1" fillId="0" borderId="2" xfId="0" applyFont="1" applyFill="1" applyBorder="1" applyAlignment="1">
      <alignment vertical="center" wrapText="1"/>
    </xf>
    <xf numFmtId="0" fontId="1" fillId="0" borderId="0" xfId="0" applyFont="1" applyFill="1" applyAlignment="1">
      <alignment vertical="center"/>
    </xf>
    <xf numFmtId="0" fontId="1" fillId="0" borderId="0" xfId="0" applyFont="1" applyFill="1"/>
    <xf numFmtId="0" fontId="1" fillId="8" borderId="2" xfId="0" applyFont="1" applyFill="1" applyBorder="1" applyAlignment="1">
      <alignment horizontal="center" wrapText="1"/>
    </xf>
    <xf numFmtId="164" fontId="1" fillId="8" borderId="3" xfId="0" applyNumberFormat="1" applyFont="1" applyFill="1" applyBorder="1" applyAlignment="1">
      <alignment horizontal="center" vertical="center" wrapText="1"/>
    </xf>
    <xf numFmtId="0" fontId="1" fillId="6" borderId="0" xfId="0" applyFont="1" applyFill="1" applyBorder="1" applyAlignment="1">
      <alignment vertical="center" wrapText="1"/>
    </xf>
    <xf numFmtId="0" fontId="1" fillId="0" borderId="0" xfId="0" applyFont="1" applyFill="1" applyAlignment="1">
      <alignment horizontal="center" vertical="center"/>
    </xf>
    <xf numFmtId="0" fontId="1" fillId="0" borderId="0" xfId="0" applyFont="1" applyBorder="1"/>
    <xf numFmtId="0" fontId="1" fillId="0" borderId="0" xfId="0" applyFont="1" applyBorder="1" applyAlignment="1">
      <alignment horizontal="center" vertical="center" wrapText="1"/>
    </xf>
    <xf numFmtId="165" fontId="2" fillId="0" borderId="0" xfId="0" applyNumberFormat="1" applyFont="1" applyBorder="1"/>
    <xf numFmtId="0" fontId="3" fillId="10" borderId="2" xfId="0" applyFont="1" applyFill="1" applyBorder="1" applyAlignment="1">
      <alignment horizontal="center" vertical="center" wrapText="1"/>
    </xf>
    <xf numFmtId="0" fontId="11" fillId="6" borderId="11" xfId="0" applyFont="1" applyFill="1" applyBorder="1" applyAlignment="1">
      <alignment vertical="center"/>
    </xf>
    <xf numFmtId="0" fontId="6" fillId="0" borderId="0" xfId="0" applyFont="1" applyBorder="1" applyAlignment="1"/>
    <xf numFmtId="165" fontId="2" fillId="6" borderId="6" xfId="0" applyNumberFormat="1" applyFont="1" applyFill="1" applyBorder="1" applyAlignment="1">
      <alignment vertical="center" wrapText="1"/>
    </xf>
    <xf numFmtId="165" fontId="2" fillId="0" borderId="0" xfId="0" applyNumberFormat="1" applyFont="1"/>
    <xf numFmtId="0" fontId="1" fillId="6" borderId="6" xfId="0" applyFont="1" applyFill="1" applyBorder="1"/>
    <xf numFmtId="165" fontId="2" fillId="6" borderId="6" xfId="0" applyNumberFormat="1" applyFont="1" applyFill="1" applyBorder="1"/>
    <xf numFmtId="0" fontId="12" fillId="0" borderId="0" xfId="0" applyFont="1"/>
    <xf numFmtId="0" fontId="5" fillId="0" borderId="0" xfId="0" applyFont="1"/>
    <xf numFmtId="0" fontId="6" fillId="0" borderId="2" xfId="0" applyFont="1" applyBorder="1" applyAlignment="1">
      <alignment vertical="center" wrapText="1"/>
    </xf>
    <xf numFmtId="0" fontId="6" fillId="0" borderId="0" xfId="0" applyFont="1" applyAlignment="1">
      <alignment vertical="center" wrapText="1"/>
    </xf>
    <xf numFmtId="0" fontId="1" fillId="0" borderId="0" xfId="0" applyFont="1" applyFill="1" applyBorder="1" applyAlignment="1">
      <alignment vertical="center" wrapText="1"/>
    </xf>
    <xf numFmtId="0" fontId="0" fillId="0" borderId="0" xfId="0" applyAlignment="1"/>
    <xf numFmtId="0" fontId="0" fillId="0" borderId="0" xfId="0" applyBorder="1" applyAlignment="1">
      <alignment horizontal="left" vertical="center"/>
    </xf>
    <xf numFmtId="0" fontId="5" fillId="0" borderId="0" xfId="0" applyFont="1" applyAlignment="1">
      <alignment horizontal="left"/>
    </xf>
    <xf numFmtId="0" fontId="1" fillId="0" borderId="0" xfId="0" applyFont="1" applyBorder="1" applyAlignment="1">
      <alignment vertical="center" wrapText="1"/>
    </xf>
    <xf numFmtId="0" fontId="1" fillId="0" borderId="2" xfId="0" applyFont="1" applyFill="1" applyBorder="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9" fontId="6" fillId="0" borderId="0" xfId="0" applyNumberFormat="1" applyFont="1" applyAlignment="1">
      <alignment horizontal="center" vertical="center" wrapText="1"/>
    </xf>
    <xf numFmtId="0" fontId="0" fillId="0" borderId="0" xfId="0" applyFont="1" applyAlignment="1">
      <alignment horizontal="center" vertical="center"/>
    </xf>
    <xf numFmtId="165" fontId="1" fillId="0" borderId="0" xfId="0" applyNumberFormat="1" applyFont="1"/>
    <xf numFmtId="0" fontId="6" fillId="0" borderId="0" xfId="0" applyFont="1" applyAlignment="1">
      <alignment vertical="center"/>
    </xf>
    <xf numFmtId="0" fontId="14" fillId="0" borderId="0" xfId="0" applyFont="1" applyAlignment="1">
      <alignment horizontal="center"/>
    </xf>
    <xf numFmtId="9" fontId="14" fillId="0" borderId="0" xfId="0" applyNumberFormat="1" applyFont="1" applyAlignment="1">
      <alignment horizontal="center"/>
    </xf>
    <xf numFmtId="0" fontId="14" fillId="0" borderId="0" xfId="0" applyFont="1" applyAlignment="1">
      <alignment horizontal="center" vertical="center" wrapText="1"/>
    </xf>
    <xf numFmtId="0" fontId="6" fillId="0" borderId="0" xfId="0" applyFont="1" applyAlignment="1">
      <alignment horizontal="center"/>
    </xf>
    <xf numFmtId="9" fontId="6" fillId="0" borderId="0" xfId="0" applyNumberFormat="1" applyFont="1" applyAlignment="1">
      <alignment horizontal="center"/>
    </xf>
    <xf numFmtId="9" fontId="6" fillId="0" borderId="0" xfId="0" applyNumberFormat="1" applyFont="1" applyAlignment="1">
      <alignment horizontal="center" vertical="center"/>
    </xf>
    <xf numFmtId="0" fontId="17" fillId="0" borderId="0" xfId="0" applyFont="1" applyAlignment="1">
      <alignment horizontal="center"/>
    </xf>
    <xf numFmtId="9" fontId="17" fillId="0" borderId="0" xfId="0" applyNumberFormat="1" applyFont="1" applyAlignment="1">
      <alignment horizontal="center"/>
    </xf>
    <xf numFmtId="0" fontId="14" fillId="0" borderId="0" xfId="0" applyFont="1" applyAlignment="1">
      <alignment horizontal="center" vertical="center"/>
    </xf>
    <xf numFmtId="0" fontId="6" fillId="0" borderId="0" xfId="0" applyFont="1" applyFill="1" applyAlignment="1">
      <alignment horizontal="center" vertical="center"/>
    </xf>
    <xf numFmtId="0" fontId="6" fillId="0" borderId="0" xfId="0" applyFont="1" applyFill="1" applyAlignment="1">
      <alignment horizontal="center"/>
    </xf>
    <xf numFmtId="0" fontId="18" fillId="0" borderId="0" xfId="0" applyFont="1"/>
    <xf numFmtId="0" fontId="16" fillId="0" borderId="0" xfId="0" applyFont="1"/>
    <xf numFmtId="0" fontId="16" fillId="0" borderId="12" xfId="0" applyFont="1" applyBorder="1"/>
    <xf numFmtId="0" fontId="16" fillId="0" borderId="6" xfId="0" applyFont="1" applyBorder="1"/>
    <xf numFmtId="0" fontId="6" fillId="0" borderId="0" xfId="0" applyFont="1" applyAlignment="1"/>
    <xf numFmtId="0" fontId="6" fillId="0" borderId="0" xfId="0" applyFont="1"/>
    <xf numFmtId="3" fontId="16" fillId="0" borderId="0" xfId="0" applyNumberFormat="1" applyFont="1" applyAlignment="1">
      <alignment horizontal="center"/>
    </xf>
    <xf numFmtId="3" fontId="16" fillId="0" borderId="0" xfId="0" applyNumberFormat="1" applyFont="1"/>
    <xf numFmtId="0" fontId="6" fillId="8" borderId="2" xfId="0" applyFont="1" applyFill="1" applyBorder="1" applyAlignment="1">
      <alignment horizontal="center" wrapText="1"/>
    </xf>
    <xf numFmtId="0" fontId="14" fillId="0" borderId="0" xfId="0" applyFont="1"/>
    <xf numFmtId="164" fontId="6" fillId="8" borderId="3" xfId="0" applyNumberFormat="1" applyFont="1" applyFill="1" applyBorder="1" applyAlignment="1">
      <alignment horizontal="center" vertical="center" wrapText="1"/>
    </xf>
    <xf numFmtId="0" fontId="14" fillId="6" borderId="5" xfId="0" applyFont="1" applyFill="1" applyBorder="1" applyAlignment="1">
      <alignment vertical="center"/>
    </xf>
    <xf numFmtId="0" fontId="14" fillId="6" borderId="6" xfId="0" applyFont="1" applyFill="1" applyBorder="1" applyAlignment="1">
      <alignment vertical="center"/>
    </xf>
    <xf numFmtId="0" fontId="6" fillId="6" borderId="6" xfId="0" applyFont="1" applyFill="1" applyBorder="1" applyAlignment="1">
      <alignment vertical="center" wrapText="1"/>
    </xf>
    <xf numFmtId="0" fontId="6" fillId="6" borderId="7" xfId="0" applyFont="1" applyFill="1" applyBorder="1" applyAlignment="1">
      <alignment vertical="center" wrapText="1"/>
    </xf>
    <xf numFmtId="0" fontId="14" fillId="10" borderId="1" xfId="0" applyFont="1" applyFill="1" applyBorder="1" applyAlignment="1">
      <alignment horizontal="center" vertical="center" wrapText="1"/>
    </xf>
    <xf numFmtId="0" fontId="14" fillId="0" borderId="0" xfId="0" applyFont="1" applyFill="1" applyBorder="1" applyAlignment="1">
      <alignment vertical="center"/>
    </xf>
    <xf numFmtId="0" fontId="19" fillId="0" borderId="0" xfId="0" applyFont="1" applyBorder="1"/>
    <xf numFmtId="0" fontId="17" fillId="0" borderId="0" xfId="0" applyFont="1" applyBorder="1"/>
    <xf numFmtId="0" fontId="17" fillId="0" borderId="0" xfId="0" applyFont="1"/>
    <xf numFmtId="0" fontId="17" fillId="0" borderId="0" xfId="0" applyFont="1" applyFill="1"/>
    <xf numFmtId="0" fontId="11" fillId="6" borderId="15" xfId="0" applyFont="1" applyFill="1" applyBorder="1" applyAlignment="1">
      <alignment vertical="center"/>
    </xf>
    <xf numFmtId="165" fontId="14" fillId="6" borderId="0" xfId="0" applyNumberFormat="1" applyFont="1" applyFill="1" applyBorder="1" applyAlignment="1">
      <alignment vertical="center"/>
    </xf>
    <xf numFmtId="0" fontId="6" fillId="6" borderId="0" xfId="0" applyFont="1" applyFill="1" applyBorder="1" applyAlignment="1">
      <alignment vertical="center"/>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6" fillId="0" borderId="2" xfId="0" applyFont="1" applyFill="1" applyBorder="1" applyAlignment="1">
      <alignment vertical="center"/>
    </xf>
    <xf numFmtId="0" fontId="6" fillId="0" borderId="10" xfId="0" applyFont="1" applyFill="1" applyBorder="1" applyAlignment="1">
      <alignment vertical="center" wrapText="1"/>
    </xf>
    <xf numFmtId="165" fontId="14" fillId="0" borderId="0" xfId="0" applyNumberFormat="1" applyFont="1" applyBorder="1"/>
    <xf numFmtId="0" fontId="6" fillId="0" borderId="0" xfId="0" applyFont="1" applyBorder="1"/>
    <xf numFmtId="0" fontId="16" fillId="0" borderId="0" xfId="0" applyFont="1" applyAlignment="1">
      <alignment horizontal="center" vertical="center"/>
    </xf>
    <xf numFmtId="0" fontId="11" fillId="6" borderId="5" xfId="0" applyFont="1" applyFill="1" applyBorder="1" applyAlignment="1">
      <alignment vertical="center"/>
    </xf>
    <xf numFmtId="165" fontId="14" fillId="6" borderId="6" xfId="0" applyNumberFormat="1" applyFont="1" applyFill="1" applyBorder="1" applyAlignment="1">
      <alignment vertical="center"/>
    </xf>
    <xf numFmtId="0" fontId="6" fillId="6" borderId="6" xfId="0" applyFont="1" applyFill="1" applyBorder="1" applyAlignment="1">
      <alignment vertical="center"/>
    </xf>
    <xf numFmtId="0" fontId="6" fillId="0" borderId="4" xfId="0" applyFont="1" applyFill="1" applyBorder="1" applyAlignment="1">
      <alignment vertical="center" wrapText="1"/>
    </xf>
    <xf numFmtId="0" fontId="14" fillId="0" borderId="0" xfId="0" applyFont="1" applyBorder="1"/>
    <xf numFmtId="165" fontId="14" fillId="6" borderId="6" xfId="0" applyNumberFormat="1" applyFont="1" applyFill="1" applyBorder="1" applyAlignment="1">
      <alignment horizontal="center" vertical="center" wrapText="1"/>
    </xf>
    <xf numFmtId="0" fontId="6" fillId="6" borderId="0" xfId="0" applyFont="1" applyFill="1" applyBorder="1" applyAlignment="1">
      <alignment vertical="center" wrapText="1"/>
    </xf>
    <xf numFmtId="0" fontId="20" fillId="6" borderId="6" xfId="0" applyFont="1" applyFill="1" applyBorder="1" applyAlignment="1">
      <alignment vertical="center" wrapText="1"/>
    </xf>
    <xf numFmtId="0" fontId="20" fillId="6" borderId="7" xfId="0" applyFont="1" applyFill="1" applyBorder="1" applyAlignment="1">
      <alignment vertical="center" wrapText="1"/>
    </xf>
    <xf numFmtId="0" fontId="11" fillId="10" borderId="1" xfId="0" applyFont="1" applyFill="1" applyBorder="1" applyAlignment="1">
      <alignment horizontal="center" vertical="center" wrapText="1"/>
    </xf>
    <xf numFmtId="0" fontId="6" fillId="0" borderId="0" xfId="0" applyFont="1" applyFill="1"/>
    <xf numFmtId="165" fontId="14" fillId="0" borderId="0" xfId="0" applyNumberFormat="1" applyFont="1" applyBorder="1" applyAlignment="1">
      <alignment horizontal="center"/>
    </xf>
    <xf numFmtId="0" fontId="6" fillId="0" borderId="4" xfId="0" applyFont="1" applyBorder="1" applyAlignment="1">
      <alignment vertical="center" wrapText="1"/>
    </xf>
    <xf numFmtId="0" fontId="16" fillId="0" borderId="0" xfId="0" applyFont="1" applyAlignment="1">
      <alignment vertical="center"/>
    </xf>
    <xf numFmtId="0" fontId="16" fillId="0" borderId="1" xfId="0" applyFont="1" applyBorder="1" applyAlignment="1">
      <alignment vertical="center"/>
    </xf>
    <xf numFmtId="0" fontId="21" fillId="0" borderId="1" xfId="0" applyFont="1" applyBorder="1" applyAlignment="1">
      <alignment vertical="center"/>
    </xf>
    <xf numFmtId="0" fontId="1" fillId="0" borderId="0" xfId="0" applyFont="1" applyFill="1" applyBorder="1" applyAlignment="1">
      <alignment vertical="center"/>
    </xf>
    <xf numFmtId="0" fontId="1" fillId="13" borderId="0" xfId="0" applyFont="1" applyFill="1" applyAlignment="1">
      <alignment horizontal="center"/>
    </xf>
    <xf numFmtId="0" fontId="0" fillId="13" borderId="0" xfId="0" applyFill="1"/>
    <xf numFmtId="0" fontId="1" fillId="13" borderId="0" xfId="0" applyFont="1" applyFill="1" applyAlignment="1"/>
    <xf numFmtId="0" fontId="1" fillId="13" borderId="0" xfId="0" applyFont="1" applyFill="1"/>
    <xf numFmtId="0" fontId="0" fillId="0" borderId="0" xfId="0" applyFill="1"/>
    <xf numFmtId="0" fontId="1" fillId="13" borderId="0" xfId="0" applyFont="1" applyFill="1" applyAlignment="1">
      <alignment horizontal="left"/>
    </xf>
    <xf numFmtId="0" fontId="22" fillId="0" borderId="0" xfId="0" applyFont="1"/>
    <xf numFmtId="0" fontId="1" fillId="13" borderId="16" xfId="0" applyFont="1" applyFill="1" applyBorder="1" applyAlignment="1">
      <alignment horizontal="center"/>
    </xf>
    <xf numFmtId="0" fontId="1" fillId="13" borderId="0" xfId="0" applyFont="1" applyFill="1" applyBorder="1" applyAlignment="1">
      <alignment horizontal="center"/>
    </xf>
    <xf numFmtId="0" fontId="1" fillId="13" borderId="0" xfId="0" applyFont="1" applyFill="1" applyBorder="1"/>
    <xf numFmtId="0" fontId="0" fillId="0" borderId="0" xfId="0" applyBorder="1"/>
    <xf numFmtId="0" fontId="1" fillId="0" borderId="0" xfId="0" applyFont="1" applyBorder="1" applyAlignment="1">
      <alignment horizontal="center"/>
    </xf>
    <xf numFmtId="166" fontId="0" fillId="0" borderId="0" xfId="0" applyNumberFormat="1"/>
    <xf numFmtId="166" fontId="6" fillId="0" borderId="0" xfId="0" applyNumberFormat="1" applyFont="1" applyAlignment="1">
      <alignment horizontal="center" vertical="center" wrapText="1"/>
    </xf>
    <xf numFmtId="166" fontId="14" fillId="0" borderId="0" xfId="0" applyNumberFormat="1" applyFont="1" applyAlignment="1">
      <alignment horizontal="center" vertical="center" wrapText="1"/>
    </xf>
    <xf numFmtId="166" fontId="1" fillId="13" borderId="0" xfId="0" applyNumberFormat="1" applyFont="1" applyFill="1" applyAlignment="1">
      <alignment horizontal="center"/>
    </xf>
    <xf numFmtId="166" fontId="1" fillId="13" borderId="0" xfId="0" applyNumberFormat="1" applyFont="1" applyFill="1" applyBorder="1" applyAlignment="1">
      <alignment horizontal="center"/>
    </xf>
    <xf numFmtId="2" fontId="0" fillId="0" borderId="0" xfId="0" applyNumberFormat="1"/>
    <xf numFmtId="166" fontId="0" fillId="0" borderId="0" xfId="0" applyNumberFormat="1" applyBorder="1"/>
    <xf numFmtId="2" fontId="0" fillId="0" borderId="0" xfId="0" applyNumberFormat="1" applyBorder="1"/>
    <xf numFmtId="0" fontId="0" fillId="0" borderId="0" xfId="0" applyAlignment="1">
      <alignment horizontal="right"/>
    </xf>
    <xf numFmtId="0" fontId="1" fillId="0" borderId="0" xfId="0" applyFont="1" applyFill="1" applyAlignment="1">
      <alignment horizontal="center"/>
    </xf>
    <xf numFmtId="166" fontId="1" fillId="0" borderId="0" xfId="0" applyNumberFormat="1" applyFont="1" applyFill="1" applyAlignment="1">
      <alignment horizontal="center"/>
    </xf>
    <xf numFmtId="1" fontId="1" fillId="0" borderId="0" xfId="0" applyNumberFormat="1" applyFont="1" applyFill="1" applyAlignment="1">
      <alignment horizontal="center"/>
    </xf>
    <xf numFmtId="1" fontId="1" fillId="0" borderId="0" xfId="0" applyNumberFormat="1" applyFont="1" applyFill="1"/>
    <xf numFmtId="0" fontId="1" fillId="0" borderId="9" xfId="0" applyFont="1" applyBorder="1" applyAlignment="1">
      <alignment horizontal="center"/>
    </xf>
    <xf numFmtId="0" fontId="1" fillId="0" borderId="10" xfId="0" applyFont="1" applyBorder="1"/>
    <xf numFmtId="166" fontId="1" fillId="0" borderId="15" xfId="0" applyNumberFormat="1" applyFont="1" applyBorder="1" applyAlignment="1">
      <alignment horizontal="center"/>
    </xf>
    <xf numFmtId="0" fontId="1" fillId="0" borderId="14" xfId="0" applyFont="1" applyBorder="1" applyAlignment="1">
      <alignment horizontal="center"/>
    </xf>
    <xf numFmtId="0" fontId="1" fillId="0" borderId="11" xfId="0" applyFont="1" applyBorder="1" applyAlignment="1">
      <alignment horizontal="center"/>
    </xf>
    <xf numFmtId="0" fontId="1" fillId="0" borderId="13" xfId="0" applyFont="1" applyBorder="1"/>
    <xf numFmtId="0" fontId="1" fillId="13" borderId="17" xfId="0" applyFont="1" applyFill="1" applyBorder="1" applyAlignment="1">
      <alignment horizontal="center"/>
    </xf>
    <xf numFmtId="0" fontId="1" fillId="13" borderId="18" xfId="0" applyFont="1" applyFill="1" applyBorder="1" applyAlignment="1">
      <alignment horizontal="center"/>
    </xf>
    <xf numFmtId="1" fontId="6" fillId="0" borderId="0" xfId="0" applyNumberFormat="1" applyFont="1" applyAlignment="1">
      <alignment horizontal="center" vertical="center" wrapText="1"/>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horizontal="left" vertical="center" wrapText="1"/>
    </xf>
    <xf numFmtId="0" fontId="0" fillId="0" borderId="0" xfId="0" applyAlignment="1">
      <alignment vertical="center"/>
    </xf>
    <xf numFmtId="0" fontId="32" fillId="0" borderId="0" xfId="0" applyFont="1"/>
    <xf numFmtId="0" fontId="33" fillId="0" borderId="0" xfId="0" applyFont="1"/>
    <xf numFmtId="0" fontId="27" fillId="0" borderId="0" xfId="0" applyFont="1" applyAlignment="1">
      <alignment vertical="center"/>
    </xf>
    <xf numFmtId="0" fontId="18" fillId="15" borderId="1" xfId="0" applyFont="1" applyFill="1" applyBorder="1" applyAlignment="1">
      <alignment horizontal="center"/>
    </xf>
    <xf numFmtId="0" fontId="18" fillId="15" borderId="1" xfId="0" applyFont="1" applyFill="1" applyBorder="1"/>
    <xf numFmtId="0" fontId="35" fillId="0" borderId="1" xfId="0" applyFont="1" applyBorder="1" applyAlignment="1">
      <alignment horizontal="left" vertical="center" wrapText="1"/>
    </xf>
    <xf numFmtId="0" fontId="27" fillId="0" borderId="0" xfId="0" applyFont="1" applyAlignment="1">
      <alignment horizontal="left" vertical="top" wrapText="1"/>
    </xf>
    <xf numFmtId="0" fontId="27" fillId="0" borderId="0" xfId="0" applyFont="1" applyAlignment="1">
      <alignment horizontal="left" vertical="center" wrapText="1"/>
    </xf>
    <xf numFmtId="0" fontId="29" fillId="14" borderId="1" xfId="0" applyFont="1" applyFill="1" applyBorder="1" applyAlignment="1">
      <alignment horizontal="left" vertical="center" wrapText="1"/>
    </xf>
    <xf numFmtId="0" fontId="27" fillId="14" borderId="1" xfId="0" applyFont="1" applyFill="1" applyBorder="1" applyAlignment="1">
      <alignment horizontal="left" vertical="center" wrapText="1"/>
    </xf>
    <xf numFmtId="0" fontId="30" fillId="14" borderId="1" xfId="0" applyFont="1" applyFill="1" applyBorder="1" applyAlignment="1">
      <alignment horizontal="left" vertical="center" wrapText="1"/>
    </xf>
    <xf numFmtId="0" fontId="29" fillId="14" borderId="1" xfId="0" applyFont="1" applyFill="1" applyBorder="1" applyAlignment="1">
      <alignment horizontal="center" vertical="center" wrapText="1"/>
    </xf>
    <xf numFmtId="0" fontId="31" fillId="14" borderId="1" xfId="0" applyFont="1" applyFill="1" applyBorder="1" applyAlignment="1">
      <alignment horizontal="left" vertical="center" wrapText="1"/>
    </xf>
    <xf numFmtId="14" fontId="35" fillId="0" borderId="1" xfId="0" applyNumberFormat="1" applyFont="1" applyBorder="1" applyAlignment="1">
      <alignment horizontal="left" vertical="center" wrapText="1"/>
    </xf>
    <xf numFmtId="0" fontId="35" fillId="0" borderId="1" xfId="0" applyFont="1" applyBorder="1" applyAlignment="1">
      <alignment horizontal="left" vertical="top" wrapText="1"/>
    </xf>
    <xf numFmtId="0" fontId="35" fillId="0" borderId="9" xfId="0" applyFont="1" applyBorder="1" applyAlignment="1">
      <alignment horizontal="left" vertical="top" wrapText="1"/>
    </xf>
    <xf numFmtId="0" fontId="35" fillId="0" borderId="8" xfId="0" applyFont="1" applyBorder="1" applyAlignment="1">
      <alignment horizontal="left" vertical="top" wrapText="1"/>
    </xf>
    <xf numFmtId="0" fontId="35" fillId="0" borderId="10" xfId="0" applyFont="1" applyBorder="1" applyAlignment="1">
      <alignment horizontal="left" vertical="top" wrapText="1"/>
    </xf>
    <xf numFmtId="0" fontId="35" fillId="0" borderId="15" xfId="0" applyFont="1" applyBorder="1" applyAlignment="1">
      <alignment horizontal="left" vertical="top" wrapText="1"/>
    </xf>
    <xf numFmtId="0" fontId="35" fillId="0" borderId="0" xfId="0" applyFont="1" applyAlignment="1">
      <alignment horizontal="left" vertical="top" wrapText="1"/>
    </xf>
    <xf numFmtId="0" fontId="35" fillId="0" borderId="14" xfId="0" applyFont="1" applyBorder="1" applyAlignment="1">
      <alignment horizontal="left" vertical="top" wrapText="1"/>
    </xf>
    <xf numFmtId="0" fontId="34" fillId="0" borderId="0" xfId="0" applyFont="1" applyAlignment="1">
      <alignment horizontal="center" vertical="center" wrapText="1"/>
    </xf>
    <xf numFmtId="0" fontId="1" fillId="2" borderId="0" xfId="0" applyFont="1" applyFill="1" applyBorder="1" applyAlignment="1">
      <alignment horizontal="left" vertical="center"/>
    </xf>
    <xf numFmtId="0" fontId="1" fillId="3" borderId="0" xfId="0"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5" borderId="0" xfId="0" applyFont="1" applyFill="1" applyBorder="1" applyAlignment="1">
      <alignment horizontal="left" vertical="center" wrapText="1"/>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165" fontId="14" fillId="0" borderId="8" xfId="0" applyNumberFormat="1" applyFont="1" applyBorder="1" applyAlignment="1">
      <alignment horizontal="center" vertical="center"/>
    </xf>
    <xf numFmtId="165" fontId="14" fillId="0" borderId="12" xfId="0" applyNumberFormat="1" applyFont="1" applyBorder="1" applyAlignment="1">
      <alignment horizontal="center" vertical="center"/>
    </xf>
    <xf numFmtId="165" fontId="14" fillId="0" borderId="8" xfId="0" applyNumberFormat="1" applyFont="1" applyBorder="1" applyAlignment="1">
      <alignment horizontal="center" vertical="center" wrapText="1"/>
    </xf>
    <xf numFmtId="165" fontId="14" fillId="0" borderId="12" xfId="0" applyNumberFormat="1" applyFont="1" applyBorder="1" applyAlignment="1">
      <alignment horizontal="center" vertical="center" wrapText="1"/>
    </xf>
    <xf numFmtId="0" fontId="6" fillId="12" borderId="10" xfId="0" applyFont="1" applyFill="1" applyBorder="1" applyAlignment="1">
      <alignment vertical="center" wrapText="1"/>
    </xf>
    <xf numFmtId="0" fontId="6" fillId="12" borderId="13" xfId="0" applyFont="1" applyFill="1" applyBorder="1" applyAlignment="1">
      <alignment vertical="center" wrapText="1"/>
    </xf>
    <xf numFmtId="0" fontId="6" fillId="12" borderId="14" xfId="0" applyFont="1" applyFill="1" applyBorder="1" applyAlignment="1">
      <alignment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2" xfId="0" applyFont="1" applyFill="1" applyBorder="1" applyAlignment="1">
      <alignment horizontal="center" vertical="top" wrapText="1"/>
    </xf>
    <xf numFmtId="0" fontId="6" fillId="0" borderId="3" xfId="0" applyFont="1" applyFill="1" applyBorder="1" applyAlignment="1">
      <alignment horizontal="center" vertical="top" wrapText="1"/>
    </xf>
    <xf numFmtId="0" fontId="6" fillId="8" borderId="1" xfId="0" applyFont="1" applyFill="1" applyBorder="1" applyAlignment="1">
      <alignment horizontal="center" wrapText="1"/>
    </xf>
    <xf numFmtId="0" fontId="14" fillId="0" borderId="1" xfId="0" applyFont="1" applyBorder="1" applyAlignment="1">
      <alignment horizontal="left" vertical="center" wrapText="1"/>
    </xf>
    <xf numFmtId="0" fontId="14" fillId="11" borderId="2" xfId="0" applyFont="1" applyFill="1" applyBorder="1" applyAlignment="1">
      <alignment vertical="center"/>
    </xf>
    <xf numFmtId="0" fontId="14" fillId="11" borderId="3" xfId="0" applyFont="1" applyFill="1" applyBorder="1" applyAlignment="1">
      <alignment vertical="center"/>
    </xf>
    <xf numFmtId="0" fontId="14" fillId="3" borderId="2" xfId="0" applyFont="1" applyFill="1" applyBorder="1" applyAlignment="1">
      <alignment horizontal="left" vertical="center"/>
    </xf>
    <xf numFmtId="0" fontId="14" fillId="3" borderId="3" xfId="0" applyFont="1" applyFill="1" applyBorder="1" applyAlignment="1">
      <alignment horizontal="left" vertical="center"/>
    </xf>
    <xf numFmtId="0" fontId="14" fillId="4" borderId="2" xfId="0" applyFont="1" applyFill="1" applyBorder="1" applyAlignment="1">
      <alignment horizontal="left" vertical="center"/>
    </xf>
    <xf numFmtId="0" fontId="14" fillId="4" borderId="3" xfId="0" applyFont="1" applyFill="1" applyBorder="1" applyAlignment="1">
      <alignment horizontal="left" vertical="center"/>
    </xf>
    <xf numFmtId="0" fontId="14" fillId="5" borderId="2" xfId="0" applyFont="1" applyFill="1" applyBorder="1" applyAlignment="1">
      <alignment horizontal="left" vertical="center"/>
    </xf>
    <xf numFmtId="0" fontId="14" fillId="5" borderId="3" xfId="0" applyFont="1" applyFill="1" applyBorder="1" applyAlignment="1">
      <alignment horizontal="left" vertical="center"/>
    </xf>
    <xf numFmtId="0" fontId="6" fillId="12" borderId="10" xfId="0" applyFont="1" applyFill="1" applyBorder="1" applyAlignment="1">
      <alignment horizontal="left" vertical="center" wrapText="1"/>
    </xf>
    <xf numFmtId="0" fontId="6" fillId="12" borderId="13" xfId="0" applyFont="1" applyFill="1" applyBorder="1" applyAlignment="1">
      <alignment horizontal="left" vertical="center" wrapText="1"/>
    </xf>
    <xf numFmtId="0" fontId="14" fillId="5" borderId="9" xfId="0" applyFont="1" applyFill="1" applyBorder="1" applyAlignment="1">
      <alignment horizontal="center" vertical="center"/>
    </xf>
    <xf numFmtId="0" fontId="14" fillId="5" borderId="10" xfId="0" applyFont="1" applyFill="1" applyBorder="1" applyAlignment="1">
      <alignment horizontal="center" vertical="center"/>
    </xf>
    <xf numFmtId="0" fontId="14" fillId="5" borderId="11" xfId="0" applyFont="1" applyFill="1" applyBorder="1" applyAlignment="1">
      <alignment horizontal="center" vertical="center"/>
    </xf>
    <xf numFmtId="0" fontId="14" fillId="5" borderId="13" xfId="0" applyFont="1" applyFill="1" applyBorder="1" applyAlignment="1">
      <alignment horizontal="center" vertical="center"/>
    </xf>
    <xf numFmtId="0" fontId="6" fillId="6" borderId="5"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14" fillId="0" borderId="9" xfId="0" applyFont="1" applyFill="1" applyBorder="1" applyAlignment="1">
      <alignment horizontal="center" vertical="center"/>
    </xf>
    <xf numFmtId="0" fontId="14" fillId="0" borderId="11" xfId="0" applyFont="1" applyFill="1" applyBorder="1" applyAlignment="1">
      <alignment horizontal="center" vertical="center"/>
    </xf>
    <xf numFmtId="165" fontId="14" fillId="0" borderId="8" xfId="0" applyNumberFormat="1" applyFont="1" applyFill="1" applyBorder="1" applyAlignment="1">
      <alignment horizontal="center" vertical="center"/>
    </xf>
    <xf numFmtId="165" fontId="14" fillId="0" borderId="12" xfId="0" applyNumberFormat="1" applyFont="1" applyFill="1" applyBorder="1" applyAlignment="1">
      <alignment horizontal="center" vertical="center"/>
    </xf>
    <xf numFmtId="0" fontId="14" fillId="0" borderId="9" xfId="0" applyFont="1" applyBorder="1" applyAlignment="1">
      <alignment horizontal="center" vertical="center"/>
    </xf>
    <xf numFmtId="0" fontId="14" fillId="0" borderId="1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3" xfId="0" applyFont="1" applyFill="1" applyBorder="1" applyAlignment="1">
      <alignment horizontal="center" vertical="center"/>
    </xf>
    <xf numFmtId="0" fontId="1" fillId="6" borderId="5"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11" xfId="0" applyFont="1" applyBorder="1" applyAlignment="1">
      <alignment horizontal="center" vertical="center"/>
    </xf>
    <xf numFmtId="165" fontId="2" fillId="0" borderId="8" xfId="0" applyNumberFormat="1" applyFont="1" applyBorder="1" applyAlignment="1">
      <alignment horizontal="center" vertical="center"/>
    </xf>
    <xf numFmtId="165" fontId="2" fillId="0" borderId="6" xfId="0" applyNumberFormat="1" applyFont="1" applyBorder="1" applyAlignment="1">
      <alignment horizontal="center" vertical="center"/>
    </xf>
    <xf numFmtId="0" fontId="2" fillId="0" borderId="1" xfId="0" applyFont="1" applyBorder="1" applyAlignment="1">
      <alignment horizontal="left" vertical="center" wrapText="1"/>
    </xf>
    <xf numFmtId="165" fontId="2" fillId="0" borderId="12" xfId="0" applyNumberFormat="1" applyFont="1" applyBorder="1" applyAlignment="1">
      <alignment horizontal="center" vertical="center"/>
    </xf>
    <xf numFmtId="0" fontId="13" fillId="0" borderId="2" xfId="0" quotePrefix="1" applyFont="1" applyFill="1" applyBorder="1" applyAlignment="1">
      <alignment horizontal="center" vertical="center" wrapText="1"/>
    </xf>
    <xf numFmtId="0" fontId="13" fillId="0" borderId="3"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6" fillId="0" borderId="2" xfId="0" quotePrefix="1"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165" fontId="14" fillId="0" borderId="6" xfId="0" applyNumberFormat="1" applyFont="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14" fillId="0" borderId="15" xfId="0" applyFont="1" applyBorder="1" applyAlignment="1">
      <alignment horizontal="center" vertical="center"/>
    </xf>
    <xf numFmtId="165" fontId="14" fillId="0" borderId="0" xfId="0" applyNumberFormat="1" applyFont="1" applyBorder="1" applyAlignment="1">
      <alignment horizontal="center" vertical="center"/>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6" fillId="8" borderId="2" xfId="0" applyFont="1" applyFill="1" applyBorder="1" applyAlignment="1">
      <alignment horizontal="center" wrapText="1"/>
    </xf>
    <xf numFmtId="0" fontId="6" fillId="8" borderId="3" xfId="0" applyFont="1" applyFill="1" applyBorder="1" applyAlignment="1">
      <alignment horizont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16" fillId="0" borderId="2" xfId="0" applyFont="1" applyFill="1" applyBorder="1" applyAlignment="1">
      <alignment horizontal="center" vertical="center"/>
    </xf>
    <xf numFmtId="0" fontId="16" fillId="0" borderId="3" xfId="0" applyFont="1" applyFill="1" applyBorder="1" applyAlignment="1">
      <alignment horizontal="center" vertical="center"/>
    </xf>
    <xf numFmtId="0" fontId="6" fillId="0" borderId="2" xfId="0" applyFont="1" applyBorder="1" applyAlignment="1">
      <alignment horizontal="center"/>
    </xf>
    <xf numFmtId="0" fontId="6" fillId="0" borderId="3" xfId="0" applyFont="1" applyBorder="1" applyAlignment="1">
      <alignment horizontal="center"/>
    </xf>
    <xf numFmtId="0" fontId="16" fillId="0" borderId="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20" fillId="6" borderId="5" xfId="0" applyFont="1" applyFill="1" applyBorder="1" applyAlignment="1">
      <alignment horizontal="center" vertical="center" wrapText="1"/>
    </xf>
    <xf numFmtId="0" fontId="20" fillId="6" borderId="7" xfId="0" applyFont="1" applyFill="1" applyBorder="1" applyAlignment="1">
      <alignment horizontal="center" vertical="center" wrapText="1"/>
    </xf>
    <xf numFmtId="0" fontId="2" fillId="0" borderId="9" xfId="0" applyFont="1" applyFill="1" applyBorder="1" applyAlignment="1">
      <alignment horizontal="center" vertical="center"/>
    </xf>
    <xf numFmtId="0" fontId="2" fillId="0" borderId="11" xfId="0" applyFont="1" applyFill="1" applyBorder="1" applyAlignment="1">
      <alignment horizontal="center" vertical="center"/>
    </xf>
    <xf numFmtId="165" fontId="2" fillId="0" borderId="8" xfId="0" applyNumberFormat="1" applyFont="1" applyFill="1" applyBorder="1" applyAlignment="1">
      <alignment horizontal="center" vertical="center"/>
    </xf>
    <xf numFmtId="165" fontId="2" fillId="0" borderId="12" xfId="0" applyNumberFormat="1" applyFont="1" applyFill="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12" borderId="10" xfId="0" applyFont="1" applyFill="1" applyBorder="1" applyAlignment="1">
      <alignment vertical="center" wrapText="1"/>
    </xf>
    <xf numFmtId="0" fontId="1" fillId="12" borderId="13" xfId="0" applyFont="1" applyFill="1" applyBorder="1" applyAlignment="1">
      <alignment vertical="center" wrapText="1"/>
    </xf>
    <xf numFmtId="165" fontId="2" fillId="0" borderId="8" xfId="0" applyNumberFormat="1" applyFont="1" applyFill="1" applyBorder="1" applyAlignment="1">
      <alignment horizontal="center" vertical="center" wrapText="1"/>
    </xf>
    <xf numFmtId="165" fontId="2" fillId="0" borderId="12" xfId="0" applyNumberFormat="1"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Fill="1" applyBorder="1" applyAlignment="1">
      <alignment horizontal="center" vertical="center"/>
    </xf>
    <xf numFmtId="0" fontId="16" fillId="0" borderId="1" xfId="0" applyFont="1" applyBorder="1" applyAlignment="1">
      <alignment horizontal="left" vertical="center" wrapText="1"/>
    </xf>
  </cellXfs>
  <cellStyles count="3">
    <cellStyle name="Normal" xfId="0" builtinId="0"/>
    <cellStyle name="Normal 2" xfId="1" xr:uid="{00000000-0005-0000-0000-000001000000}"/>
    <cellStyle name="Porcentaje 2" xfId="2" xr:uid="{00000000-0005-0000-0000-000002000000}"/>
  </cellStyles>
  <dxfs count="4">
    <dxf>
      <font>
        <color theme="9" tint="0.39994506668294322"/>
      </font>
    </dxf>
    <dxf>
      <font>
        <color theme="9" tint="-0.24994659260841701"/>
      </font>
    </dxf>
    <dxf>
      <font>
        <color theme="0"/>
      </font>
    </dxf>
    <dxf>
      <font>
        <color theme="9" tint="-0.499984740745262"/>
      </font>
    </dxf>
  </dxfs>
  <tableStyles count="0" defaultTableStyle="TableStyleMedium2" defaultPivotStyle="PivotStyleLight16"/>
  <colors>
    <mruColors>
      <color rgb="FFF5B224"/>
      <color rgb="FF85C4E3"/>
      <color rgb="FF94BA29"/>
      <color rgb="FFB2CCA0"/>
      <color rgb="FF6DA945"/>
      <color rgb="FFE2EFDA"/>
      <color rgb="FFA9D0A0"/>
      <color rgb="FFB2D6A0"/>
      <color rgb="FFA9D08E"/>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28624690464928"/>
          <c:y val="0.17613265345218759"/>
          <c:w val="0.5755727442196934"/>
          <c:h val="0.65050445208992613"/>
        </c:manualLayout>
      </c:layout>
      <c:radarChart>
        <c:radarStyle val="marker"/>
        <c:varyColors val="0"/>
        <c:ser>
          <c:idx val="1"/>
          <c:order val="0"/>
          <c:spPr>
            <a:ln w="434975" cap="rnd" cmpd="sng">
              <a:solidFill>
                <a:srgbClr val="6DA945">
                  <a:alpha val="50000"/>
                </a:srgbClr>
              </a:solidFill>
              <a:round/>
            </a:ln>
            <a:effectLst/>
          </c:spPr>
          <c:marker>
            <c:symbol val="circle"/>
            <c:size val="5"/>
            <c:spPr>
              <a:solidFill>
                <a:schemeClr val="accent2"/>
              </a:solidFill>
              <a:ln w="9525">
                <a:solidFill>
                  <a:schemeClr val="accent2"/>
                </a:solidFill>
              </a:ln>
              <a:effectLst/>
            </c:spPr>
          </c:marker>
          <c:val>
            <c:numRef>
              <c:f>Résumé!$L$11:$L$17</c:f>
              <c:numCache>
                <c:formatCode>General</c:formatCode>
                <c:ptCount val="7"/>
                <c:pt idx="0">
                  <c:v>2.5</c:v>
                </c:pt>
                <c:pt idx="1">
                  <c:v>2.5</c:v>
                </c:pt>
                <c:pt idx="2">
                  <c:v>2.5</c:v>
                </c:pt>
                <c:pt idx="3">
                  <c:v>2.5</c:v>
                </c:pt>
                <c:pt idx="4">
                  <c:v>2.5</c:v>
                </c:pt>
                <c:pt idx="5">
                  <c:v>2.5</c:v>
                </c:pt>
                <c:pt idx="6">
                  <c:v>2.5</c:v>
                </c:pt>
              </c:numCache>
            </c:numRef>
          </c:val>
          <c:extLst>
            <c:ext xmlns:c16="http://schemas.microsoft.com/office/drawing/2014/chart" uri="{C3380CC4-5D6E-409C-BE32-E72D297353CC}">
              <c16:uniqueId val="{00000000-42A2-412E-B0A5-8B97563402E8}"/>
            </c:ext>
          </c:extLst>
        </c:ser>
        <c:ser>
          <c:idx val="0"/>
          <c:order val="1"/>
          <c:spPr>
            <a:ln w="28575" cap="rnd">
              <a:solidFill>
                <a:srgbClr val="FF0000"/>
              </a:solidFill>
              <a:round/>
            </a:ln>
            <a:effectLst/>
          </c:spPr>
          <c:marker>
            <c:symbol val="circle"/>
            <c:size val="5"/>
            <c:spPr>
              <a:solidFill>
                <a:srgbClr val="FF0000"/>
              </a:solidFill>
              <a:ln w="9525">
                <a:solidFill>
                  <a:schemeClr val="accent1"/>
                </a:solidFill>
              </a:ln>
              <a:effectLst/>
            </c:spPr>
          </c:marker>
          <c:cat>
            <c:strRef>
              <c:f>Résumé!$E$11:$E$17</c:f>
              <c:strCache>
                <c:ptCount val="7"/>
                <c:pt idx="0">
                  <c:v>A. Structure de gestion et Organisation du groupe</c:v>
                </c:pt>
                <c:pt idx="1">
                  <c:v>B. Gestion stratégique</c:v>
                </c:pt>
                <c:pt idx="2">
                  <c:v>C. Gestion financière</c:v>
                </c:pt>
                <c:pt idx="3">
                  <c:v>D. Implication des membres et planification des adhésions</c:v>
                </c:pt>
                <c:pt idx="4">
                  <c:v>E. Formation des membres et mise à disposition de services</c:v>
                </c:pt>
                <c:pt idx="5">
                  <c:v>F. Ventes et marketing</c:v>
                </c:pt>
                <c:pt idx="6">
                  <c:v>G. Système de Gestion Interne</c:v>
                </c:pt>
              </c:strCache>
            </c:strRef>
          </c:cat>
          <c:val>
            <c:numRef>
              <c:f>Résumé!$K$11:$K$17</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7F57-4304-BE03-FF31BC693134}"/>
            </c:ext>
          </c:extLst>
        </c:ser>
        <c:ser>
          <c:idx val="2"/>
          <c:order val="2"/>
          <c:spPr>
            <a:ln w="434975" cap="rnd">
              <a:solidFill>
                <a:srgbClr val="B2CCA0">
                  <a:alpha val="50000"/>
                </a:srgbClr>
              </a:solidFill>
              <a:round/>
            </a:ln>
            <a:effectLst/>
          </c:spPr>
          <c:marker>
            <c:symbol val="circle"/>
            <c:size val="5"/>
            <c:spPr>
              <a:solidFill>
                <a:schemeClr val="accent3"/>
              </a:solidFill>
              <a:ln w="9525">
                <a:solidFill>
                  <a:schemeClr val="accent3"/>
                </a:solidFill>
              </a:ln>
              <a:effectLst/>
            </c:spPr>
          </c:marker>
          <c:val>
            <c:numRef>
              <c:f>Résumé!$M$11:$M$17</c:f>
              <c:numCache>
                <c:formatCode>General</c:formatCode>
                <c:ptCount val="7"/>
                <c:pt idx="0">
                  <c:v>1.5</c:v>
                </c:pt>
                <c:pt idx="1">
                  <c:v>1.5</c:v>
                </c:pt>
                <c:pt idx="2">
                  <c:v>1.5</c:v>
                </c:pt>
                <c:pt idx="3">
                  <c:v>1.5</c:v>
                </c:pt>
                <c:pt idx="4">
                  <c:v>1.5</c:v>
                </c:pt>
                <c:pt idx="5">
                  <c:v>1.5</c:v>
                </c:pt>
                <c:pt idx="6">
                  <c:v>1.5</c:v>
                </c:pt>
              </c:numCache>
            </c:numRef>
          </c:val>
          <c:extLst>
            <c:ext xmlns:c16="http://schemas.microsoft.com/office/drawing/2014/chart" uri="{C3380CC4-5D6E-409C-BE32-E72D297353CC}">
              <c16:uniqueId val="{00000001-DBB3-4F89-B4B0-A9BFD941324A}"/>
            </c:ext>
          </c:extLst>
        </c:ser>
        <c:dLbls>
          <c:showLegendKey val="0"/>
          <c:showVal val="0"/>
          <c:showCatName val="0"/>
          <c:showSerName val="0"/>
          <c:showPercent val="0"/>
          <c:showBubbleSize val="0"/>
        </c:dLbls>
        <c:axId val="148264832"/>
        <c:axId val="148266368"/>
      </c:radarChart>
      <c:catAx>
        <c:axId val="148264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Abadi" panose="020B0604020202020204" pitchFamily="34" charset="0"/>
                <a:ea typeface="+mn-ea"/>
                <a:cs typeface="+mn-cs"/>
              </a:defRPr>
            </a:pPr>
            <a:endParaRPr lang="fr-FR"/>
          </a:p>
        </c:txPr>
        <c:crossAx val="148266368"/>
        <c:crosses val="autoZero"/>
        <c:auto val="1"/>
        <c:lblAlgn val="ctr"/>
        <c:lblOffset val="100"/>
        <c:noMultiLvlLbl val="0"/>
      </c:catAx>
      <c:valAx>
        <c:axId val="148266368"/>
        <c:scaling>
          <c:orientation val="minMax"/>
          <c:max val="3"/>
        </c:scaling>
        <c:delete val="0"/>
        <c:axPos val="l"/>
        <c:majorGridlines>
          <c:spPr>
            <a:ln w="9525" cap="flat" cmpd="sng" algn="ctr">
              <a:solidFill>
                <a:schemeClr val="bg1">
                  <a:lumMod val="50000"/>
                </a:schemeClr>
              </a:solidFill>
              <a:round/>
            </a:ln>
            <a:effectLst/>
          </c:spPr>
        </c:majorGridlines>
        <c:numFmt formatCode="#,##0" sourceLinked="0"/>
        <c:majorTickMark val="cross"/>
        <c:minorTickMark val="none"/>
        <c:tickLblPos val="low"/>
        <c:spPr>
          <a:noFill/>
          <a:ln w="15875">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fr-FR"/>
          </a:p>
        </c:txPr>
        <c:crossAx val="148264832"/>
        <c:crosses val="autoZero"/>
        <c:crossBetween val="between"/>
        <c:majorUnit val="1"/>
        <c:minorUnit val="0.2"/>
      </c:valAx>
      <c:spPr>
        <a:noFill/>
        <a:ln>
          <a:noFill/>
        </a:ln>
        <a:effectLst>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fr-FR"/>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firstButton="1" fmlaLink="$L$7"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firstButton="1" fmlaLink="$L$13"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Radio" firstButton="1" fmlaLink="$L$11"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Radio" firstButton="1" fmlaLink="$L$9"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checked="Checked" firstButton="1" fmlaLink="$L$5"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firstButton="1" fmlaLink="$L$5"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GBox" noThreeD="1"/>
</file>

<file path=xl/ctrlProps/ctrlProp32.xml><?xml version="1.0" encoding="utf-8"?>
<formControlPr xmlns="http://schemas.microsoft.com/office/spreadsheetml/2009/9/main" objectType="Radio" firstButton="1" fmlaLink="$L$7"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GBox" noThreeD="1"/>
</file>

<file path=xl/ctrlProps/ctrlProp37.xml><?xml version="1.0" encoding="utf-8"?>
<formControlPr xmlns="http://schemas.microsoft.com/office/spreadsheetml/2009/9/main" objectType="Radio" firstButton="1" fmlaLink="$L$9"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GBox" noThreeD="1"/>
</file>

<file path=xl/ctrlProps/ctrlProp42.xml><?xml version="1.0" encoding="utf-8"?>
<formControlPr xmlns="http://schemas.microsoft.com/office/spreadsheetml/2009/9/main" objectType="Radio" firstButton="1" fmlaLink="$L$11"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Radio" firstButton="1" fmlaLink="$L$13"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GBox" noThreeD="1"/>
</file>

<file path=xl/ctrlProps/ctrlProp52.xml><?xml version="1.0" encoding="utf-8"?>
<formControlPr xmlns="http://schemas.microsoft.com/office/spreadsheetml/2009/9/main" objectType="Radio" firstButton="1" fmlaLink="$L$5"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Radio" firstButton="1" fmlaLink="$L$7"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Radio" firstButton="1" fmlaLink="$L$9"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GBox" noThreeD="1"/>
</file>

<file path=xl/ctrlProps/ctrlProp67.xml><?xml version="1.0" encoding="utf-8"?>
<formControlPr xmlns="http://schemas.microsoft.com/office/spreadsheetml/2009/9/main" objectType="Radio" firstButton="1" fmlaLink="$L$11"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GBox" noThreeD="1"/>
</file>

<file path=xl/ctrlProps/ctrlProp72.xml><?xml version="1.0" encoding="utf-8"?>
<formControlPr xmlns="http://schemas.microsoft.com/office/spreadsheetml/2009/9/main" objectType="Radio" firstButton="1" fmlaLink="$L$13"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GBox" noThreeD="1"/>
</file>

<file path=xl/ctrlProps/ctrlProp77.xml><?xml version="1.0" encoding="utf-8"?>
<formControlPr xmlns="http://schemas.microsoft.com/office/spreadsheetml/2009/9/main" objectType="Radio" firstButton="1" fmlaLink="$L$5" lockText="1" noThreeD="1"/>
</file>

<file path=xl/ctrlProps/ctrlProp78.xml><?xml version="1.0" encoding="utf-8"?>
<formControlPr xmlns="http://schemas.microsoft.com/office/spreadsheetml/2009/9/main" objectType="Radio"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GBox" noThreeD="1"/>
</file>

<file path=xl/ctrlProps/ctrlProp82.xml><?xml version="1.0" encoding="utf-8"?>
<formControlPr xmlns="http://schemas.microsoft.com/office/spreadsheetml/2009/9/main" objectType="Radio" firstButton="1" fmlaLink="$L$7"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GBox" noThreeD="1"/>
</file>

<file path=xl/ctrlProps/ctrlProp87.xml><?xml version="1.0" encoding="utf-8"?>
<formControlPr xmlns="http://schemas.microsoft.com/office/spreadsheetml/2009/9/main" objectType="Radio" firstButton="1" fmlaLink="$L$9"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Radio"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GBox" noThreeD="1"/>
</file>

<file path=xl/ctrlProps/ctrlProp92.xml><?xml version="1.0" encoding="utf-8"?>
<formControlPr xmlns="http://schemas.microsoft.com/office/spreadsheetml/2009/9/main" objectType="Radio" firstButton="1" fmlaLink="$L$11" lockText="1" noThreeD="1"/>
</file>

<file path=xl/ctrlProps/ctrlProp93.xml><?xml version="1.0" encoding="utf-8"?>
<formControlPr xmlns="http://schemas.microsoft.com/office/spreadsheetml/2009/9/main" objectType="Radio"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GBox" noThreeD="1"/>
</file>

<file path=xl/ctrlProps/ctrlProp97.xml><?xml version="1.0" encoding="utf-8"?>
<formControlPr xmlns="http://schemas.microsoft.com/office/spreadsheetml/2009/9/main" objectType="Radio" firstButton="1" fmlaLink="$L$13"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Radio" lockText="1" noThreeD="1"/>
</file>

<file path=xl/ctrlProps/ctrlProp101.xml><?xml version="1.0" encoding="utf-8"?>
<formControlPr xmlns="http://schemas.microsoft.com/office/spreadsheetml/2009/9/main" objectType="GBox" noThreeD="1"/>
</file>

<file path=xl/ctrlProps/ctrlProp102.xml><?xml version="1.0" encoding="utf-8"?>
<formControlPr xmlns="http://schemas.microsoft.com/office/spreadsheetml/2009/9/main" objectType="Radio" firstButton="1" fmlaLink="$L$5"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GBox" noThreeD="1"/>
</file>

<file path=xl/ctrlProps/ctrlProp107.xml><?xml version="1.0" encoding="utf-8"?>
<formControlPr xmlns="http://schemas.microsoft.com/office/spreadsheetml/2009/9/main" objectType="Radio" firstButton="1" fmlaLink="$L$7"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Radio"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Radio" firstButton="1" fmlaLink="$L$9" lockText="1"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lockText="1" noThreeD="1"/>
</file>

<file path=xl/ctrlProps/ctrlProp116.xml><?xml version="1.0" encoding="utf-8"?>
<formControlPr xmlns="http://schemas.microsoft.com/office/spreadsheetml/2009/9/main" objectType="GBox" noThreeD="1"/>
</file>

<file path=xl/ctrlProps/ctrlProp117.xml><?xml version="1.0" encoding="utf-8"?>
<formControlPr xmlns="http://schemas.microsoft.com/office/spreadsheetml/2009/9/main" objectType="Radio" firstButton="1" fmlaLink="$L$11" lockText="1"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GBox" noThreeD="1"/>
</file>

<file path=xl/ctrlProps/ctrlProp122.xml><?xml version="1.0" encoding="utf-8"?>
<formControlPr xmlns="http://schemas.microsoft.com/office/spreadsheetml/2009/9/main" objectType="Radio" firstButton="1" fmlaLink="$L$13" lockText="1" noThreeD="1"/>
</file>

<file path=xl/ctrlProps/ctrlProp123.xml><?xml version="1.0" encoding="utf-8"?>
<formControlPr xmlns="http://schemas.microsoft.com/office/spreadsheetml/2009/9/main" objectType="Radio" lockText="1" noThreeD="1"/>
</file>

<file path=xl/ctrlProps/ctrlProp124.xml><?xml version="1.0" encoding="utf-8"?>
<formControlPr xmlns="http://schemas.microsoft.com/office/spreadsheetml/2009/9/main" objectType="Radio" lockText="1"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GBox" noThreeD="1"/>
</file>

<file path=xl/ctrlProps/ctrlProp127.xml><?xml version="1.0" encoding="utf-8"?>
<formControlPr xmlns="http://schemas.microsoft.com/office/spreadsheetml/2009/9/main" objectType="Radio" firstButton="1" fmlaLink="$L$5" lockText="1" noThreeD="1"/>
</file>

<file path=xl/ctrlProps/ctrlProp128.xml><?xml version="1.0" encoding="utf-8"?>
<formControlPr xmlns="http://schemas.microsoft.com/office/spreadsheetml/2009/9/main" objectType="Radio"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Radio" lockText="1" noThreeD="1"/>
</file>

<file path=xl/ctrlProps/ctrlProp131.xml><?xml version="1.0" encoding="utf-8"?>
<formControlPr xmlns="http://schemas.microsoft.com/office/spreadsheetml/2009/9/main" objectType="GBox" noThreeD="1"/>
</file>

<file path=xl/ctrlProps/ctrlProp132.xml><?xml version="1.0" encoding="utf-8"?>
<formControlPr xmlns="http://schemas.microsoft.com/office/spreadsheetml/2009/9/main" objectType="Radio" firstButton="1" fmlaLink="$L$7" lockText="1" noThreeD="1"/>
</file>

<file path=xl/ctrlProps/ctrlProp133.xml><?xml version="1.0" encoding="utf-8"?>
<formControlPr xmlns="http://schemas.microsoft.com/office/spreadsheetml/2009/9/main" objectType="Radio" lockText="1" noThreeD="1"/>
</file>

<file path=xl/ctrlProps/ctrlProp134.xml><?xml version="1.0" encoding="utf-8"?>
<formControlPr xmlns="http://schemas.microsoft.com/office/spreadsheetml/2009/9/main" objectType="Radio" lockText="1" noThreeD="1"/>
</file>

<file path=xl/ctrlProps/ctrlProp135.xml><?xml version="1.0" encoding="utf-8"?>
<formControlPr xmlns="http://schemas.microsoft.com/office/spreadsheetml/2009/9/main" objectType="Radio" lockText="1" noThreeD="1"/>
</file>

<file path=xl/ctrlProps/ctrlProp136.xml><?xml version="1.0" encoding="utf-8"?>
<formControlPr xmlns="http://schemas.microsoft.com/office/spreadsheetml/2009/9/main" objectType="GBox" noThreeD="1"/>
</file>

<file path=xl/ctrlProps/ctrlProp137.xml><?xml version="1.0" encoding="utf-8"?>
<formControlPr xmlns="http://schemas.microsoft.com/office/spreadsheetml/2009/9/main" objectType="Radio" firstButton="1" fmlaLink="$L$9" lockText="1" noThreeD="1"/>
</file>

<file path=xl/ctrlProps/ctrlProp138.xml><?xml version="1.0" encoding="utf-8"?>
<formControlPr xmlns="http://schemas.microsoft.com/office/spreadsheetml/2009/9/main" objectType="Radio" lockText="1" noThreeD="1"/>
</file>

<file path=xl/ctrlProps/ctrlProp139.xml><?xml version="1.0" encoding="utf-8"?>
<formControlPr xmlns="http://schemas.microsoft.com/office/spreadsheetml/2009/9/main" objectType="Radio" lockText="1" noThreeD="1"/>
</file>

<file path=xl/ctrlProps/ctrlProp140.xml><?xml version="1.0" encoding="utf-8"?>
<formControlPr xmlns="http://schemas.microsoft.com/office/spreadsheetml/2009/9/main" objectType="Radio" lockText="1" noThreeD="1"/>
</file>

<file path=xl/ctrlProps/ctrlProp141.xml><?xml version="1.0" encoding="utf-8"?>
<formControlPr xmlns="http://schemas.microsoft.com/office/spreadsheetml/2009/9/main" objectType="GBox" noThreeD="1"/>
</file>

<file path=xl/ctrlProps/ctrlProp142.xml><?xml version="1.0" encoding="utf-8"?>
<formControlPr xmlns="http://schemas.microsoft.com/office/spreadsheetml/2009/9/main" objectType="Radio" firstButton="1" fmlaLink="$L$11" lockText="1" noThreeD="1"/>
</file>

<file path=xl/ctrlProps/ctrlProp143.xml><?xml version="1.0" encoding="utf-8"?>
<formControlPr xmlns="http://schemas.microsoft.com/office/spreadsheetml/2009/9/main" objectType="Radio" lockText="1" noThreeD="1"/>
</file>

<file path=xl/ctrlProps/ctrlProp144.xml><?xml version="1.0" encoding="utf-8"?>
<formControlPr xmlns="http://schemas.microsoft.com/office/spreadsheetml/2009/9/main" objectType="Radio" lockText="1" noThreeD="1"/>
</file>

<file path=xl/ctrlProps/ctrlProp145.xml><?xml version="1.0" encoding="utf-8"?>
<formControlPr xmlns="http://schemas.microsoft.com/office/spreadsheetml/2009/9/main" objectType="Radio" lockText="1" noThreeD="1"/>
</file>

<file path=xl/ctrlProps/ctrlProp146.xml><?xml version="1.0" encoding="utf-8"?>
<formControlPr xmlns="http://schemas.microsoft.com/office/spreadsheetml/2009/9/main" objectType="GBox" noThreeD="1"/>
</file>

<file path=xl/ctrlProps/ctrlProp147.xml><?xml version="1.0" encoding="utf-8"?>
<formControlPr xmlns="http://schemas.microsoft.com/office/spreadsheetml/2009/9/main" objectType="Radio" firstButton="1" fmlaLink="$L$13" lockText="1" noThreeD="1"/>
</file>

<file path=xl/ctrlProps/ctrlProp148.xml><?xml version="1.0" encoding="utf-8"?>
<formControlPr xmlns="http://schemas.microsoft.com/office/spreadsheetml/2009/9/main" objectType="Radio" lockText="1" noThreeD="1"/>
</file>

<file path=xl/ctrlProps/ctrlProp149.xml><?xml version="1.0" encoding="utf-8"?>
<formControlPr xmlns="http://schemas.microsoft.com/office/spreadsheetml/2009/9/main" objectType="Radio" lockText="1" noThreeD="1"/>
</file>

<file path=xl/ctrlProps/ctrlProp150.xml><?xml version="1.0" encoding="utf-8"?>
<formControlPr xmlns="http://schemas.microsoft.com/office/spreadsheetml/2009/9/main" objectType="Radio" lockText="1" noThreeD="1"/>
</file>

<file path=xl/ctrlProps/ctrlProp151.xml><?xml version="1.0" encoding="utf-8"?>
<formControlPr xmlns="http://schemas.microsoft.com/office/spreadsheetml/2009/9/main" objectType="GBox" noThreeD="1"/>
</file>

<file path=xl/ctrlProps/ctrlProp152.xml><?xml version="1.0" encoding="utf-8"?>
<formControlPr xmlns="http://schemas.microsoft.com/office/spreadsheetml/2009/9/main" objectType="Radio" firstButton="1" fmlaLink="$L$5" lockText="1" noThreeD="1"/>
</file>

<file path=xl/ctrlProps/ctrlProp153.xml><?xml version="1.0" encoding="utf-8"?>
<formControlPr xmlns="http://schemas.microsoft.com/office/spreadsheetml/2009/9/main" objectType="Radio" lockText="1" noThreeD="1"/>
</file>

<file path=xl/ctrlProps/ctrlProp154.xml><?xml version="1.0" encoding="utf-8"?>
<formControlPr xmlns="http://schemas.microsoft.com/office/spreadsheetml/2009/9/main" objectType="Radio" lockText="1" noThreeD="1"/>
</file>

<file path=xl/ctrlProps/ctrlProp155.xml><?xml version="1.0" encoding="utf-8"?>
<formControlPr xmlns="http://schemas.microsoft.com/office/spreadsheetml/2009/9/main" objectType="Radio" lockText="1" noThreeD="1"/>
</file>

<file path=xl/ctrlProps/ctrlProp156.xml><?xml version="1.0" encoding="utf-8"?>
<formControlPr xmlns="http://schemas.microsoft.com/office/spreadsheetml/2009/9/main" objectType="GBox" noThreeD="1"/>
</file>

<file path=xl/ctrlProps/ctrlProp157.xml><?xml version="1.0" encoding="utf-8"?>
<formControlPr xmlns="http://schemas.microsoft.com/office/spreadsheetml/2009/9/main" objectType="Radio" firstButton="1" fmlaLink="$L$7" lockText="1" noThreeD="1"/>
</file>

<file path=xl/ctrlProps/ctrlProp158.xml><?xml version="1.0" encoding="utf-8"?>
<formControlPr xmlns="http://schemas.microsoft.com/office/spreadsheetml/2009/9/main" objectType="Radio" lockText="1" noThreeD="1"/>
</file>

<file path=xl/ctrlProps/ctrlProp159.xml><?xml version="1.0" encoding="utf-8"?>
<formControlPr xmlns="http://schemas.microsoft.com/office/spreadsheetml/2009/9/main" objectType="Radio" lockText="1" noThreeD="1"/>
</file>

<file path=xl/ctrlProps/ctrlProp160.xml><?xml version="1.0" encoding="utf-8"?>
<formControlPr xmlns="http://schemas.microsoft.com/office/spreadsheetml/2009/9/main" objectType="Radio" lockText="1" noThreeD="1"/>
</file>

<file path=xl/ctrlProps/ctrlProp161.xml><?xml version="1.0" encoding="utf-8"?>
<formControlPr xmlns="http://schemas.microsoft.com/office/spreadsheetml/2009/9/main" objectType="GBox" noThreeD="1"/>
</file>

<file path=xl/ctrlProps/ctrlProp162.xml><?xml version="1.0" encoding="utf-8"?>
<formControlPr xmlns="http://schemas.microsoft.com/office/spreadsheetml/2009/9/main" objectType="Radio" firstButton="1" fmlaLink="$L$9" lockText="1" noThreeD="1"/>
</file>

<file path=xl/ctrlProps/ctrlProp163.xml><?xml version="1.0" encoding="utf-8"?>
<formControlPr xmlns="http://schemas.microsoft.com/office/spreadsheetml/2009/9/main" objectType="Radio" lockText="1" noThreeD="1"/>
</file>

<file path=xl/ctrlProps/ctrlProp164.xml><?xml version="1.0" encoding="utf-8"?>
<formControlPr xmlns="http://schemas.microsoft.com/office/spreadsheetml/2009/9/main" objectType="Radio" lockText="1" noThreeD="1"/>
</file>

<file path=xl/ctrlProps/ctrlProp165.xml><?xml version="1.0" encoding="utf-8"?>
<formControlPr xmlns="http://schemas.microsoft.com/office/spreadsheetml/2009/9/main" objectType="Radio" lockText="1" noThreeD="1"/>
</file>

<file path=xl/ctrlProps/ctrlProp166.xml><?xml version="1.0" encoding="utf-8"?>
<formControlPr xmlns="http://schemas.microsoft.com/office/spreadsheetml/2009/9/main" objectType="GBox" noThreeD="1"/>
</file>

<file path=xl/ctrlProps/ctrlProp167.xml><?xml version="1.0" encoding="utf-8"?>
<formControlPr xmlns="http://schemas.microsoft.com/office/spreadsheetml/2009/9/main" objectType="Radio" firstButton="1" fmlaLink="$L$11" lockText="1" noThreeD="1"/>
</file>

<file path=xl/ctrlProps/ctrlProp168.xml><?xml version="1.0" encoding="utf-8"?>
<formControlPr xmlns="http://schemas.microsoft.com/office/spreadsheetml/2009/9/main" objectType="Radio" lockText="1" noThreeD="1"/>
</file>

<file path=xl/ctrlProps/ctrlProp169.xml><?xml version="1.0" encoding="utf-8"?>
<formControlPr xmlns="http://schemas.microsoft.com/office/spreadsheetml/2009/9/main" objectType="Radio" lockText="1" noThreeD="1"/>
</file>

<file path=xl/ctrlProps/ctrlProp170.xml><?xml version="1.0" encoding="utf-8"?>
<formControlPr xmlns="http://schemas.microsoft.com/office/spreadsheetml/2009/9/main" objectType="Radio" lockText="1" noThreeD="1"/>
</file>

<file path=xl/ctrlProps/ctrlProp171.xml><?xml version="1.0" encoding="utf-8"?>
<formControlPr xmlns="http://schemas.microsoft.com/office/spreadsheetml/2009/9/main" objectType="GBox" noThreeD="1"/>
</file>

<file path=xl/ctrlProps/ctrlProp172.xml><?xml version="1.0" encoding="utf-8"?>
<formControlPr xmlns="http://schemas.microsoft.com/office/spreadsheetml/2009/9/main" objectType="Radio" firstButton="1" fmlaLink="$L$13" lockText="1" noThreeD="1"/>
</file>

<file path=xl/ctrlProps/ctrlProp173.xml><?xml version="1.0" encoding="utf-8"?>
<formControlPr xmlns="http://schemas.microsoft.com/office/spreadsheetml/2009/9/main" objectType="Radio" lockText="1" noThreeD="1"/>
</file>

<file path=xl/ctrlProps/ctrlProp174.xml><?xml version="1.0" encoding="utf-8"?>
<formControlPr xmlns="http://schemas.microsoft.com/office/spreadsheetml/2009/9/main" objectType="Radio" lockText="1" noThreeD="1"/>
</file>

<file path=xl/ctrlProps/ctrlProp17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71682</xdr:rowOff>
    </xdr:from>
    <xdr:to>
      <xdr:col>4</xdr:col>
      <xdr:colOff>588733</xdr:colOff>
      <xdr:row>22</xdr:row>
      <xdr:rowOff>154194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1170232"/>
          <a:ext cx="3611333" cy="48164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180975</xdr:colOff>
      <xdr:row>1</xdr:row>
      <xdr:rowOff>76200</xdr:rowOff>
    </xdr:from>
    <xdr:to>
      <xdr:col>20</xdr:col>
      <xdr:colOff>85725</xdr:colOff>
      <xdr:row>17</xdr:row>
      <xdr:rowOff>139699</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45720</xdr:colOff>
          <xdr:row>4</xdr:row>
          <xdr:rowOff>30480</xdr:rowOff>
        </xdr:from>
        <xdr:to>
          <xdr:col>6</xdr:col>
          <xdr:colOff>2537460</xdr:colOff>
          <xdr:row>4</xdr:row>
          <xdr:rowOff>411480</xdr:rowOff>
        </xdr:to>
        <xdr:sp macro="" textlink="">
          <xdr:nvSpPr>
            <xdr:cNvPr id="2162" name="Group Box 114" hidden="1">
              <a:extLst>
                <a:ext uri="{63B3BB69-23CF-44E3-9099-C40C66FF867C}">
                  <a14:compatExt spid="_x0000_s2162"/>
                </a:ext>
                <a:ext uri="{FF2B5EF4-FFF2-40B4-BE49-F238E27FC236}">
                  <a16:creationId xmlns:a16="http://schemas.microsoft.com/office/drawing/2014/main" id="{00000000-0008-0000-0300-000072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xdr:colOff>
          <xdr:row>6</xdr:row>
          <xdr:rowOff>38100</xdr:rowOff>
        </xdr:from>
        <xdr:to>
          <xdr:col>6</xdr:col>
          <xdr:colOff>2537460</xdr:colOff>
          <xdr:row>6</xdr:row>
          <xdr:rowOff>426720</xdr:rowOff>
        </xdr:to>
        <xdr:sp macro="" textlink="">
          <xdr:nvSpPr>
            <xdr:cNvPr id="2257" name="Group Box 209" hidden="1">
              <a:extLst>
                <a:ext uri="{63B3BB69-23CF-44E3-9099-C40C66FF867C}">
                  <a14:compatExt spid="_x0000_s2257"/>
                </a:ext>
                <a:ext uri="{FF2B5EF4-FFF2-40B4-BE49-F238E27FC236}">
                  <a16:creationId xmlns:a16="http://schemas.microsoft.com/office/drawing/2014/main" id="{00000000-0008-0000-0300-0000D1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121920</xdr:rowOff>
        </xdr:from>
        <xdr:to>
          <xdr:col>3</xdr:col>
          <xdr:colOff>1531620</xdr:colOff>
          <xdr:row>6</xdr:row>
          <xdr:rowOff>350520</xdr:rowOff>
        </xdr:to>
        <xdr:sp macro="" textlink="">
          <xdr:nvSpPr>
            <xdr:cNvPr id="2258" name="Option Button 210" hidden="1">
              <a:extLst>
                <a:ext uri="{63B3BB69-23CF-44E3-9099-C40C66FF867C}">
                  <a14:compatExt spid="_x0000_s2258"/>
                </a:ext>
                <a:ext uri="{FF2B5EF4-FFF2-40B4-BE49-F238E27FC236}">
                  <a16:creationId xmlns:a16="http://schemas.microsoft.com/office/drawing/2014/main" id="{00000000-0008-0000-0300-0000D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2259" name="Option Button 211" hidden="1">
              <a:extLst>
                <a:ext uri="{63B3BB69-23CF-44E3-9099-C40C66FF867C}">
                  <a14:compatExt spid="_x0000_s2259"/>
                </a:ext>
                <a:ext uri="{FF2B5EF4-FFF2-40B4-BE49-F238E27FC236}">
                  <a16:creationId xmlns:a16="http://schemas.microsoft.com/office/drawing/2014/main" id="{00000000-0008-0000-0300-0000D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2260" name="Option Button 212" descr="Option" hidden="1">
              <a:extLst>
                <a:ext uri="{63B3BB69-23CF-44E3-9099-C40C66FF867C}">
                  <a14:compatExt spid="_x0000_s2260"/>
                </a:ext>
                <a:ext uri="{FF2B5EF4-FFF2-40B4-BE49-F238E27FC236}">
                  <a16:creationId xmlns:a16="http://schemas.microsoft.com/office/drawing/2014/main" id="{00000000-0008-0000-0300-0000D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2261" name="Option Button 213" hidden="1">
              <a:extLst>
                <a:ext uri="{63B3BB69-23CF-44E3-9099-C40C66FF867C}">
                  <a14:compatExt spid="_x0000_s2261"/>
                </a:ext>
                <a:ext uri="{FF2B5EF4-FFF2-40B4-BE49-F238E27FC236}">
                  <a16:creationId xmlns:a16="http://schemas.microsoft.com/office/drawing/2014/main" id="{00000000-0008-0000-0300-0000D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xdr:colOff>
          <xdr:row>12</xdr:row>
          <xdr:rowOff>38100</xdr:rowOff>
        </xdr:from>
        <xdr:to>
          <xdr:col>6</xdr:col>
          <xdr:colOff>2537460</xdr:colOff>
          <xdr:row>12</xdr:row>
          <xdr:rowOff>426720</xdr:rowOff>
        </xdr:to>
        <xdr:sp macro="" textlink="">
          <xdr:nvSpPr>
            <xdr:cNvPr id="2267" name="Group Box 219" hidden="1">
              <a:extLst>
                <a:ext uri="{63B3BB69-23CF-44E3-9099-C40C66FF867C}">
                  <a14:compatExt spid="_x0000_s2267"/>
                </a:ext>
                <a:ext uri="{FF2B5EF4-FFF2-40B4-BE49-F238E27FC236}">
                  <a16:creationId xmlns:a16="http://schemas.microsoft.com/office/drawing/2014/main" id="{00000000-0008-0000-0300-0000DB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137160</xdr:rowOff>
        </xdr:from>
        <xdr:to>
          <xdr:col>3</xdr:col>
          <xdr:colOff>1531620</xdr:colOff>
          <xdr:row>12</xdr:row>
          <xdr:rowOff>365760</xdr:rowOff>
        </xdr:to>
        <xdr:sp macro="" textlink="">
          <xdr:nvSpPr>
            <xdr:cNvPr id="2268" name="Option Button 220" hidden="1">
              <a:extLst>
                <a:ext uri="{63B3BB69-23CF-44E3-9099-C40C66FF867C}">
                  <a14:compatExt spid="_x0000_s2268"/>
                </a:ext>
                <a:ext uri="{FF2B5EF4-FFF2-40B4-BE49-F238E27FC236}">
                  <a16:creationId xmlns:a16="http://schemas.microsoft.com/office/drawing/2014/main" id="{00000000-0008-0000-0300-0000D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137160</xdr:rowOff>
        </xdr:from>
        <xdr:to>
          <xdr:col>4</xdr:col>
          <xdr:colOff>1516380</xdr:colOff>
          <xdr:row>12</xdr:row>
          <xdr:rowOff>365760</xdr:rowOff>
        </xdr:to>
        <xdr:sp macro="" textlink="">
          <xdr:nvSpPr>
            <xdr:cNvPr id="2269" name="Option Button 221" hidden="1">
              <a:extLst>
                <a:ext uri="{63B3BB69-23CF-44E3-9099-C40C66FF867C}">
                  <a14:compatExt spid="_x0000_s2269"/>
                </a:ext>
                <a:ext uri="{FF2B5EF4-FFF2-40B4-BE49-F238E27FC236}">
                  <a16:creationId xmlns:a16="http://schemas.microsoft.com/office/drawing/2014/main" id="{00000000-0008-0000-0300-0000D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137160</xdr:rowOff>
        </xdr:from>
        <xdr:to>
          <xdr:col>5</xdr:col>
          <xdr:colOff>1638300</xdr:colOff>
          <xdr:row>12</xdr:row>
          <xdr:rowOff>365760</xdr:rowOff>
        </xdr:to>
        <xdr:sp macro="" textlink="">
          <xdr:nvSpPr>
            <xdr:cNvPr id="2270" name="Option Button 222" descr="Option" hidden="1">
              <a:extLst>
                <a:ext uri="{63B3BB69-23CF-44E3-9099-C40C66FF867C}">
                  <a14:compatExt spid="_x0000_s2270"/>
                </a:ext>
                <a:ext uri="{FF2B5EF4-FFF2-40B4-BE49-F238E27FC236}">
                  <a16:creationId xmlns:a16="http://schemas.microsoft.com/office/drawing/2014/main" id="{00000000-0008-0000-0300-0000D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137160</xdr:rowOff>
        </xdr:from>
        <xdr:to>
          <xdr:col>6</xdr:col>
          <xdr:colOff>1661160</xdr:colOff>
          <xdr:row>12</xdr:row>
          <xdr:rowOff>365760</xdr:rowOff>
        </xdr:to>
        <xdr:sp macro="" textlink="">
          <xdr:nvSpPr>
            <xdr:cNvPr id="2271" name="Option Button 223" hidden="1">
              <a:extLst>
                <a:ext uri="{63B3BB69-23CF-44E3-9099-C40C66FF867C}">
                  <a14:compatExt spid="_x0000_s2271"/>
                </a:ext>
                <a:ext uri="{FF2B5EF4-FFF2-40B4-BE49-F238E27FC236}">
                  <a16:creationId xmlns:a16="http://schemas.microsoft.com/office/drawing/2014/main" id="{00000000-0008-0000-0300-0000D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xdr:colOff>
          <xdr:row>10</xdr:row>
          <xdr:rowOff>30480</xdr:rowOff>
        </xdr:from>
        <xdr:to>
          <xdr:col>6</xdr:col>
          <xdr:colOff>2537460</xdr:colOff>
          <xdr:row>10</xdr:row>
          <xdr:rowOff>419100</xdr:rowOff>
        </xdr:to>
        <xdr:sp macro="" textlink="">
          <xdr:nvSpPr>
            <xdr:cNvPr id="2272" name="Group Box 224" hidden="1">
              <a:extLst>
                <a:ext uri="{63B3BB69-23CF-44E3-9099-C40C66FF867C}">
                  <a14:compatExt spid="_x0000_s2272"/>
                </a:ext>
                <a:ext uri="{FF2B5EF4-FFF2-40B4-BE49-F238E27FC236}">
                  <a16:creationId xmlns:a16="http://schemas.microsoft.com/office/drawing/2014/main" id="{00000000-0008-0000-0300-0000E0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121920</xdr:rowOff>
        </xdr:from>
        <xdr:to>
          <xdr:col>3</xdr:col>
          <xdr:colOff>1531620</xdr:colOff>
          <xdr:row>10</xdr:row>
          <xdr:rowOff>350520</xdr:rowOff>
        </xdr:to>
        <xdr:sp macro="" textlink="">
          <xdr:nvSpPr>
            <xdr:cNvPr id="2273" name="Option Button 225" hidden="1">
              <a:extLst>
                <a:ext uri="{63B3BB69-23CF-44E3-9099-C40C66FF867C}">
                  <a14:compatExt spid="_x0000_s2273"/>
                </a:ext>
                <a:ext uri="{FF2B5EF4-FFF2-40B4-BE49-F238E27FC236}">
                  <a16:creationId xmlns:a16="http://schemas.microsoft.com/office/drawing/2014/main" id="{00000000-0008-0000-0300-0000E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2274" name="Option Button 226" hidden="1">
              <a:extLst>
                <a:ext uri="{63B3BB69-23CF-44E3-9099-C40C66FF867C}">
                  <a14:compatExt spid="_x0000_s2274"/>
                </a:ext>
                <a:ext uri="{FF2B5EF4-FFF2-40B4-BE49-F238E27FC236}">
                  <a16:creationId xmlns:a16="http://schemas.microsoft.com/office/drawing/2014/main" id="{00000000-0008-0000-0300-0000E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2275" name="Option Button 227" descr="Option" hidden="1">
              <a:extLst>
                <a:ext uri="{63B3BB69-23CF-44E3-9099-C40C66FF867C}">
                  <a14:compatExt spid="_x0000_s2275"/>
                </a:ext>
                <a:ext uri="{FF2B5EF4-FFF2-40B4-BE49-F238E27FC236}">
                  <a16:creationId xmlns:a16="http://schemas.microsoft.com/office/drawing/2014/main" id="{00000000-0008-0000-0300-0000E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2276" name="Option Button 228" hidden="1">
              <a:extLst>
                <a:ext uri="{63B3BB69-23CF-44E3-9099-C40C66FF867C}">
                  <a14:compatExt spid="_x0000_s2276"/>
                </a:ext>
                <a:ext uri="{FF2B5EF4-FFF2-40B4-BE49-F238E27FC236}">
                  <a16:creationId xmlns:a16="http://schemas.microsoft.com/office/drawing/2014/main" id="{00000000-0008-0000-0300-0000E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xdr:colOff>
          <xdr:row>8</xdr:row>
          <xdr:rowOff>38100</xdr:rowOff>
        </xdr:from>
        <xdr:to>
          <xdr:col>6</xdr:col>
          <xdr:colOff>2537460</xdr:colOff>
          <xdr:row>8</xdr:row>
          <xdr:rowOff>426720</xdr:rowOff>
        </xdr:to>
        <xdr:sp macro="" textlink="">
          <xdr:nvSpPr>
            <xdr:cNvPr id="2290" name="Group Box 242" hidden="1">
              <a:extLst>
                <a:ext uri="{63B3BB69-23CF-44E3-9099-C40C66FF867C}">
                  <a14:compatExt spid="_x0000_s2290"/>
                </a:ext>
                <a:ext uri="{FF2B5EF4-FFF2-40B4-BE49-F238E27FC236}">
                  <a16:creationId xmlns:a16="http://schemas.microsoft.com/office/drawing/2014/main" id="{00000000-0008-0000-0300-0000F2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121920</xdr:rowOff>
        </xdr:from>
        <xdr:to>
          <xdr:col>3</xdr:col>
          <xdr:colOff>1531620</xdr:colOff>
          <xdr:row>8</xdr:row>
          <xdr:rowOff>350520</xdr:rowOff>
        </xdr:to>
        <xdr:sp macro="" textlink="">
          <xdr:nvSpPr>
            <xdr:cNvPr id="2291" name="Option Button 243" hidden="1">
              <a:extLst>
                <a:ext uri="{63B3BB69-23CF-44E3-9099-C40C66FF867C}">
                  <a14:compatExt spid="_x0000_s2291"/>
                </a:ext>
                <a:ext uri="{FF2B5EF4-FFF2-40B4-BE49-F238E27FC236}">
                  <a16:creationId xmlns:a16="http://schemas.microsoft.com/office/drawing/2014/main" id="{00000000-0008-0000-0300-0000F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2292" name="Option Button 244" hidden="1">
              <a:extLst>
                <a:ext uri="{63B3BB69-23CF-44E3-9099-C40C66FF867C}">
                  <a14:compatExt spid="_x0000_s2292"/>
                </a:ext>
                <a:ext uri="{FF2B5EF4-FFF2-40B4-BE49-F238E27FC236}">
                  <a16:creationId xmlns:a16="http://schemas.microsoft.com/office/drawing/2014/main" id="{00000000-0008-0000-0300-0000F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2293" name="Option Button 245" descr="Option" hidden="1">
              <a:extLst>
                <a:ext uri="{63B3BB69-23CF-44E3-9099-C40C66FF867C}">
                  <a14:compatExt spid="_x0000_s2293"/>
                </a:ext>
                <a:ext uri="{FF2B5EF4-FFF2-40B4-BE49-F238E27FC236}">
                  <a16:creationId xmlns:a16="http://schemas.microsoft.com/office/drawing/2014/main" id="{00000000-0008-0000-0300-0000F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2294" name="Option Button 246" hidden="1">
              <a:extLst>
                <a:ext uri="{63B3BB69-23CF-44E3-9099-C40C66FF867C}">
                  <a14:compatExt spid="_x0000_s2294"/>
                </a:ext>
                <a:ext uri="{FF2B5EF4-FFF2-40B4-BE49-F238E27FC236}">
                  <a16:creationId xmlns:a16="http://schemas.microsoft.com/office/drawing/2014/main" id="{00000000-0008-0000-0300-0000F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2296" name="Option Button 248" hidden="1">
              <a:extLst>
                <a:ext uri="{63B3BB69-23CF-44E3-9099-C40C66FF867C}">
                  <a14:compatExt spid="_x0000_s2296"/>
                </a:ext>
                <a:ext uri="{FF2B5EF4-FFF2-40B4-BE49-F238E27FC236}">
                  <a16:creationId xmlns:a16="http://schemas.microsoft.com/office/drawing/2014/main" id="{00000000-0008-0000-0300-0000F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2297" name="Option Button 249" hidden="1">
              <a:extLst>
                <a:ext uri="{63B3BB69-23CF-44E3-9099-C40C66FF867C}">
                  <a14:compatExt spid="_x0000_s2297"/>
                </a:ext>
                <a:ext uri="{FF2B5EF4-FFF2-40B4-BE49-F238E27FC236}">
                  <a16:creationId xmlns:a16="http://schemas.microsoft.com/office/drawing/2014/main" id="{00000000-0008-0000-0300-0000F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2298" name="Option Button 250" descr="Option" hidden="1">
              <a:extLst>
                <a:ext uri="{63B3BB69-23CF-44E3-9099-C40C66FF867C}">
                  <a14:compatExt spid="_x0000_s2298"/>
                </a:ext>
                <a:ext uri="{FF2B5EF4-FFF2-40B4-BE49-F238E27FC236}">
                  <a16:creationId xmlns:a16="http://schemas.microsoft.com/office/drawing/2014/main" id="{00000000-0008-0000-0300-0000F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2299" name="Option Button 251" hidden="1">
              <a:extLst>
                <a:ext uri="{63B3BB69-23CF-44E3-9099-C40C66FF867C}">
                  <a14:compatExt spid="_x0000_s2299"/>
                </a:ext>
                <a:ext uri="{FF2B5EF4-FFF2-40B4-BE49-F238E27FC236}">
                  <a16:creationId xmlns:a16="http://schemas.microsoft.com/office/drawing/2014/main" id="{00000000-0008-0000-0300-0000F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2514600</xdr:colOff>
          <xdr:row>4</xdr:row>
          <xdr:rowOff>419100</xdr:rowOff>
        </xdr:to>
        <xdr:sp macro="" textlink="">
          <xdr:nvSpPr>
            <xdr:cNvPr id="5221" name="Group Box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5257" name="Option Butto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5258" name="Option Butto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5259" name="Option Button 139" descr="Option"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5260" name="Option Butto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38100</xdr:rowOff>
        </xdr:from>
        <xdr:to>
          <xdr:col>6</xdr:col>
          <xdr:colOff>2514600</xdr:colOff>
          <xdr:row>6</xdr:row>
          <xdr:rowOff>419100</xdr:rowOff>
        </xdr:to>
        <xdr:sp macro="" textlink="">
          <xdr:nvSpPr>
            <xdr:cNvPr id="5261" name="Group Box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5262" name="Option Butto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5263" name="Option Butto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5264" name="Option Button 144" descr="Option"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5265" name="Option Butto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xdr:row>
          <xdr:rowOff>38100</xdr:rowOff>
        </xdr:from>
        <xdr:to>
          <xdr:col>6</xdr:col>
          <xdr:colOff>2514600</xdr:colOff>
          <xdr:row>8</xdr:row>
          <xdr:rowOff>419100</xdr:rowOff>
        </xdr:to>
        <xdr:sp macro="" textlink="">
          <xdr:nvSpPr>
            <xdr:cNvPr id="5266" name="Group Box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5267" name="Option Butto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5268" name="Option Butto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5269" name="Option Button 149" descr="Option"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5270" name="Option Butto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10</xdr:row>
          <xdr:rowOff>38100</xdr:rowOff>
        </xdr:from>
        <xdr:to>
          <xdr:col>6</xdr:col>
          <xdr:colOff>2514600</xdr:colOff>
          <xdr:row>10</xdr:row>
          <xdr:rowOff>419100</xdr:rowOff>
        </xdr:to>
        <xdr:sp macro="" textlink="">
          <xdr:nvSpPr>
            <xdr:cNvPr id="5271" name="Group Box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5272" name="Option Butto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5273" name="Option Butto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5274" name="Option Button 154" descr="Option"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5275" name="Option Butto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12</xdr:row>
          <xdr:rowOff>38100</xdr:rowOff>
        </xdr:from>
        <xdr:to>
          <xdr:col>6</xdr:col>
          <xdr:colOff>2514600</xdr:colOff>
          <xdr:row>12</xdr:row>
          <xdr:rowOff>419100</xdr:rowOff>
        </xdr:to>
        <xdr:sp macro="" textlink="">
          <xdr:nvSpPr>
            <xdr:cNvPr id="5276" name="Group Box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5277" name="Option Butto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5278" name="Option Butto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5279" name="Option Button 159" descr="Option"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5280" name="Option Butto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2514600</xdr:colOff>
          <xdr:row>4</xdr:row>
          <xdr:rowOff>419100</xdr:rowOff>
        </xdr:to>
        <xdr:sp macro="" textlink="">
          <xdr:nvSpPr>
            <xdr:cNvPr id="7255" name="Group Box 87" hidden="1">
              <a:extLst>
                <a:ext uri="{63B3BB69-23CF-44E3-9099-C40C66FF867C}">
                  <a14:compatExt spid="_x0000_s7255"/>
                </a:ext>
                <a:ext uri="{FF2B5EF4-FFF2-40B4-BE49-F238E27FC236}">
                  <a16:creationId xmlns:a16="http://schemas.microsoft.com/office/drawing/2014/main" id="{00000000-0008-0000-0500-000057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7256" name="Option Button 88" hidden="1">
              <a:extLst>
                <a:ext uri="{63B3BB69-23CF-44E3-9099-C40C66FF867C}">
                  <a14:compatExt spid="_x0000_s7256"/>
                </a:ext>
                <a:ext uri="{FF2B5EF4-FFF2-40B4-BE49-F238E27FC236}">
                  <a16:creationId xmlns:a16="http://schemas.microsoft.com/office/drawing/2014/main" id="{00000000-0008-0000-0500-00005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7257" name="Option Button 89" hidden="1">
              <a:extLst>
                <a:ext uri="{63B3BB69-23CF-44E3-9099-C40C66FF867C}">
                  <a14:compatExt spid="_x0000_s7257"/>
                </a:ext>
                <a:ext uri="{FF2B5EF4-FFF2-40B4-BE49-F238E27FC236}">
                  <a16:creationId xmlns:a16="http://schemas.microsoft.com/office/drawing/2014/main" id="{00000000-0008-0000-05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7258" name="Option Button 90" descr="Option"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7259" name="Option Button 91" hidden="1">
              <a:extLst>
                <a:ext uri="{63B3BB69-23CF-44E3-9099-C40C66FF867C}">
                  <a14:compatExt spid="_x0000_s7259"/>
                </a:ext>
                <a:ext uri="{FF2B5EF4-FFF2-40B4-BE49-F238E27FC236}">
                  <a16:creationId xmlns:a16="http://schemas.microsoft.com/office/drawing/2014/main" id="{00000000-0008-0000-0500-00005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38100</xdr:rowOff>
        </xdr:from>
        <xdr:to>
          <xdr:col>6</xdr:col>
          <xdr:colOff>2514600</xdr:colOff>
          <xdr:row>6</xdr:row>
          <xdr:rowOff>419100</xdr:rowOff>
        </xdr:to>
        <xdr:sp macro="" textlink="">
          <xdr:nvSpPr>
            <xdr:cNvPr id="7260" name="Group Box 92" hidden="1">
              <a:extLst>
                <a:ext uri="{63B3BB69-23CF-44E3-9099-C40C66FF867C}">
                  <a14:compatExt spid="_x0000_s7260"/>
                </a:ext>
                <a:ext uri="{FF2B5EF4-FFF2-40B4-BE49-F238E27FC236}">
                  <a16:creationId xmlns:a16="http://schemas.microsoft.com/office/drawing/2014/main" id="{00000000-0008-0000-0500-00005C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7261" name="Option Button 93" hidden="1">
              <a:extLst>
                <a:ext uri="{63B3BB69-23CF-44E3-9099-C40C66FF867C}">
                  <a14:compatExt spid="_x0000_s7261"/>
                </a:ext>
                <a:ext uri="{FF2B5EF4-FFF2-40B4-BE49-F238E27FC236}">
                  <a16:creationId xmlns:a16="http://schemas.microsoft.com/office/drawing/2014/main" id="{00000000-0008-0000-0500-00005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7262" name="Option Button 94" hidden="1">
              <a:extLst>
                <a:ext uri="{63B3BB69-23CF-44E3-9099-C40C66FF867C}">
                  <a14:compatExt spid="_x0000_s7262"/>
                </a:ext>
                <a:ext uri="{FF2B5EF4-FFF2-40B4-BE49-F238E27FC236}">
                  <a16:creationId xmlns:a16="http://schemas.microsoft.com/office/drawing/2014/main" id="{00000000-0008-0000-0500-00005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7263" name="Option Button 95" descr="Option" hidden="1">
              <a:extLst>
                <a:ext uri="{63B3BB69-23CF-44E3-9099-C40C66FF867C}">
                  <a14:compatExt spid="_x0000_s7263"/>
                </a:ext>
                <a:ext uri="{FF2B5EF4-FFF2-40B4-BE49-F238E27FC236}">
                  <a16:creationId xmlns:a16="http://schemas.microsoft.com/office/drawing/2014/main" id="{00000000-0008-0000-0500-00005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7264" name="Option Button 96" hidden="1">
              <a:extLst>
                <a:ext uri="{63B3BB69-23CF-44E3-9099-C40C66FF867C}">
                  <a14:compatExt spid="_x0000_s7264"/>
                </a:ext>
                <a:ext uri="{FF2B5EF4-FFF2-40B4-BE49-F238E27FC236}">
                  <a16:creationId xmlns:a16="http://schemas.microsoft.com/office/drawing/2014/main" id="{00000000-0008-0000-0500-00006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xdr:row>
          <xdr:rowOff>38100</xdr:rowOff>
        </xdr:from>
        <xdr:to>
          <xdr:col>6</xdr:col>
          <xdr:colOff>2514600</xdr:colOff>
          <xdr:row>8</xdr:row>
          <xdr:rowOff>419100</xdr:rowOff>
        </xdr:to>
        <xdr:sp macro="" textlink="">
          <xdr:nvSpPr>
            <xdr:cNvPr id="7265" name="Group Box 97" hidden="1">
              <a:extLst>
                <a:ext uri="{63B3BB69-23CF-44E3-9099-C40C66FF867C}">
                  <a14:compatExt spid="_x0000_s7265"/>
                </a:ext>
                <a:ext uri="{FF2B5EF4-FFF2-40B4-BE49-F238E27FC236}">
                  <a16:creationId xmlns:a16="http://schemas.microsoft.com/office/drawing/2014/main" id="{00000000-0008-0000-0500-000061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7266" name="Option Button 98" hidden="1">
              <a:extLst>
                <a:ext uri="{63B3BB69-23CF-44E3-9099-C40C66FF867C}">
                  <a14:compatExt spid="_x0000_s7266"/>
                </a:ext>
                <a:ext uri="{FF2B5EF4-FFF2-40B4-BE49-F238E27FC236}">
                  <a16:creationId xmlns:a16="http://schemas.microsoft.com/office/drawing/2014/main" id="{00000000-0008-0000-05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7267" name="Option Button 99" hidden="1">
              <a:extLst>
                <a:ext uri="{63B3BB69-23CF-44E3-9099-C40C66FF867C}">
                  <a14:compatExt spid="_x0000_s7267"/>
                </a:ext>
                <a:ext uri="{FF2B5EF4-FFF2-40B4-BE49-F238E27FC236}">
                  <a16:creationId xmlns:a16="http://schemas.microsoft.com/office/drawing/2014/main" id="{00000000-0008-0000-05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7268" name="Option Button 100" descr="Option" hidden="1">
              <a:extLst>
                <a:ext uri="{63B3BB69-23CF-44E3-9099-C40C66FF867C}">
                  <a14:compatExt spid="_x0000_s7268"/>
                </a:ext>
                <a:ext uri="{FF2B5EF4-FFF2-40B4-BE49-F238E27FC236}">
                  <a16:creationId xmlns:a16="http://schemas.microsoft.com/office/drawing/2014/main" id="{00000000-0008-0000-05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7269" name="Option Button 101" hidden="1">
              <a:extLst>
                <a:ext uri="{63B3BB69-23CF-44E3-9099-C40C66FF867C}">
                  <a14:compatExt spid="_x0000_s7269"/>
                </a:ext>
                <a:ext uri="{FF2B5EF4-FFF2-40B4-BE49-F238E27FC236}">
                  <a16:creationId xmlns:a16="http://schemas.microsoft.com/office/drawing/2014/main" id="{00000000-0008-0000-0500-00006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10</xdr:row>
          <xdr:rowOff>38100</xdr:rowOff>
        </xdr:from>
        <xdr:to>
          <xdr:col>6</xdr:col>
          <xdr:colOff>2514600</xdr:colOff>
          <xdr:row>10</xdr:row>
          <xdr:rowOff>419100</xdr:rowOff>
        </xdr:to>
        <xdr:sp macro="" textlink="">
          <xdr:nvSpPr>
            <xdr:cNvPr id="7270" name="Group Box 102" hidden="1">
              <a:extLst>
                <a:ext uri="{63B3BB69-23CF-44E3-9099-C40C66FF867C}">
                  <a14:compatExt spid="_x0000_s7270"/>
                </a:ext>
                <a:ext uri="{FF2B5EF4-FFF2-40B4-BE49-F238E27FC236}">
                  <a16:creationId xmlns:a16="http://schemas.microsoft.com/office/drawing/2014/main" id="{00000000-0008-0000-0500-000066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7271" name="Option Button 103" hidden="1">
              <a:extLst>
                <a:ext uri="{63B3BB69-23CF-44E3-9099-C40C66FF867C}">
                  <a14:compatExt spid="_x0000_s7271"/>
                </a:ext>
                <a:ext uri="{FF2B5EF4-FFF2-40B4-BE49-F238E27FC236}">
                  <a16:creationId xmlns:a16="http://schemas.microsoft.com/office/drawing/2014/main" id="{00000000-0008-0000-05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7272" name="Option Button 104" hidden="1">
              <a:extLst>
                <a:ext uri="{63B3BB69-23CF-44E3-9099-C40C66FF867C}">
                  <a14:compatExt spid="_x0000_s7272"/>
                </a:ext>
                <a:ext uri="{FF2B5EF4-FFF2-40B4-BE49-F238E27FC236}">
                  <a16:creationId xmlns:a16="http://schemas.microsoft.com/office/drawing/2014/main" id="{00000000-0008-0000-05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7273" name="Option Button 105" descr="Option" hidden="1">
              <a:extLst>
                <a:ext uri="{63B3BB69-23CF-44E3-9099-C40C66FF867C}">
                  <a14:compatExt spid="_x0000_s7273"/>
                </a:ext>
                <a:ext uri="{FF2B5EF4-FFF2-40B4-BE49-F238E27FC236}">
                  <a16:creationId xmlns:a16="http://schemas.microsoft.com/office/drawing/2014/main" id="{00000000-0008-0000-05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7274" name="Option Button 106" hidden="1">
              <a:extLst>
                <a:ext uri="{63B3BB69-23CF-44E3-9099-C40C66FF867C}">
                  <a14:compatExt spid="_x0000_s7274"/>
                </a:ext>
                <a:ext uri="{FF2B5EF4-FFF2-40B4-BE49-F238E27FC236}">
                  <a16:creationId xmlns:a16="http://schemas.microsoft.com/office/drawing/2014/main" id="{00000000-0008-0000-05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12</xdr:row>
          <xdr:rowOff>38100</xdr:rowOff>
        </xdr:from>
        <xdr:to>
          <xdr:col>6</xdr:col>
          <xdr:colOff>2514600</xdr:colOff>
          <xdr:row>12</xdr:row>
          <xdr:rowOff>419100</xdr:rowOff>
        </xdr:to>
        <xdr:sp macro="" textlink="">
          <xdr:nvSpPr>
            <xdr:cNvPr id="7275" name="Group Box 107" hidden="1">
              <a:extLst>
                <a:ext uri="{63B3BB69-23CF-44E3-9099-C40C66FF867C}">
                  <a14:compatExt spid="_x0000_s7275"/>
                </a:ext>
                <a:ext uri="{FF2B5EF4-FFF2-40B4-BE49-F238E27FC236}">
                  <a16:creationId xmlns:a16="http://schemas.microsoft.com/office/drawing/2014/main" id="{00000000-0008-0000-0500-00006B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7276" name="Option Button 108" hidden="1">
              <a:extLst>
                <a:ext uri="{63B3BB69-23CF-44E3-9099-C40C66FF867C}">
                  <a14:compatExt spid="_x0000_s7276"/>
                </a:ext>
                <a:ext uri="{FF2B5EF4-FFF2-40B4-BE49-F238E27FC236}">
                  <a16:creationId xmlns:a16="http://schemas.microsoft.com/office/drawing/2014/main" id="{00000000-0008-0000-0500-00006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7277" name="Option Button 109" hidden="1">
              <a:extLst>
                <a:ext uri="{63B3BB69-23CF-44E3-9099-C40C66FF867C}">
                  <a14:compatExt spid="_x0000_s7277"/>
                </a:ext>
                <a:ext uri="{FF2B5EF4-FFF2-40B4-BE49-F238E27FC236}">
                  <a16:creationId xmlns:a16="http://schemas.microsoft.com/office/drawing/2014/main" id="{00000000-0008-0000-0500-00006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7278" name="Option Button 110" descr="Option" hidden="1">
              <a:extLst>
                <a:ext uri="{63B3BB69-23CF-44E3-9099-C40C66FF867C}">
                  <a14:compatExt spid="_x0000_s7278"/>
                </a:ext>
                <a:ext uri="{FF2B5EF4-FFF2-40B4-BE49-F238E27FC236}">
                  <a16:creationId xmlns:a16="http://schemas.microsoft.com/office/drawing/2014/main" id="{00000000-0008-0000-0500-00006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7279" name="Option Button 111" hidden="1">
              <a:extLst>
                <a:ext uri="{63B3BB69-23CF-44E3-9099-C40C66FF867C}">
                  <a14:compatExt spid="_x0000_s7279"/>
                </a:ext>
                <a:ext uri="{FF2B5EF4-FFF2-40B4-BE49-F238E27FC236}">
                  <a16:creationId xmlns:a16="http://schemas.microsoft.com/office/drawing/2014/main" id="{00000000-0008-0000-05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2552700</xdr:colOff>
          <xdr:row>4</xdr:row>
          <xdr:rowOff>419100</xdr:rowOff>
        </xdr:to>
        <xdr:sp macro="" textlink="">
          <xdr:nvSpPr>
            <xdr:cNvPr id="6230" name="Group Box 86" hidden="1">
              <a:extLst>
                <a:ext uri="{63B3BB69-23CF-44E3-9099-C40C66FF867C}">
                  <a14:compatExt spid="_x0000_s6230"/>
                </a:ext>
                <a:ext uri="{FF2B5EF4-FFF2-40B4-BE49-F238E27FC236}">
                  <a16:creationId xmlns:a16="http://schemas.microsoft.com/office/drawing/2014/main" id="{00000000-0008-0000-0600-000056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6231" name="Option Button 87" hidden="1">
              <a:extLst>
                <a:ext uri="{63B3BB69-23CF-44E3-9099-C40C66FF867C}">
                  <a14:compatExt spid="_x0000_s6231"/>
                </a:ext>
                <a:ext uri="{FF2B5EF4-FFF2-40B4-BE49-F238E27FC236}">
                  <a16:creationId xmlns:a16="http://schemas.microsoft.com/office/drawing/2014/main" id="{00000000-0008-0000-0600-00005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6232" name="Option Button 88" hidden="1">
              <a:extLst>
                <a:ext uri="{63B3BB69-23CF-44E3-9099-C40C66FF867C}">
                  <a14:compatExt spid="_x0000_s6232"/>
                </a:ext>
                <a:ext uri="{FF2B5EF4-FFF2-40B4-BE49-F238E27FC236}">
                  <a16:creationId xmlns:a16="http://schemas.microsoft.com/office/drawing/2014/main" id="{00000000-0008-0000-0600-00005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6233" name="Option Button 89" descr="Option" hidden="1">
              <a:extLst>
                <a:ext uri="{63B3BB69-23CF-44E3-9099-C40C66FF867C}">
                  <a14:compatExt spid="_x0000_s6233"/>
                </a:ext>
                <a:ext uri="{FF2B5EF4-FFF2-40B4-BE49-F238E27FC236}">
                  <a16:creationId xmlns:a16="http://schemas.microsoft.com/office/drawing/2014/main" id="{00000000-0008-0000-0600-00005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6234" name="Option Button 90" hidden="1">
              <a:extLst>
                <a:ext uri="{63B3BB69-23CF-44E3-9099-C40C66FF867C}">
                  <a14:compatExt spid="_x0000_s6234"/>
                </a:ext>
                <a:ext uri="{FF2B5EF4-FFF2-40B4-BE49-F238E27FC236}">
                  <a16:creationId xmlns:a16="http://schemas.microsoft.com/office/drawing/2014/main" id="{00000000-0008-0000-0600-00005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6</xdr:row>
          <xdr:rowOff>30480</xdr:rowOff>
        </xdr:from>
        <xdr:to>
          <xdr:col>6</xdr:col>
          <xdr:colOff>2545080</xdr:colOff>
          <xdr:row>6</xdr:row>
          <xdr:rowOff>411480</xdr:rowOff>
        </xdr:to>
        <xdr:sp macro="" textlink="">
          <xdr:nvSpPr>
            <xdr:cNvPr id="6235" name="Group Box 91" hidden="1">
              <a:extLst>
                <a:ext uri="{63B3BB69-23CF-44E3-9099-C40C66FF867C}">
                  <a14:compatExt spid="_x0000_s6235"/>
                </a:ext>
                <a:ext uri="{FF2B5EF4-FFF2-40B4-BE49-F238E27FC236}">
                  <a16:creationId xmlns:a16="http://schemas.microsoft.com/office/drawing/2014/main" id="{00000000-0008-0000-0600-00005B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6236" name="Option Button 92" hidden="1">
              <a:extLst>
                <a:ext uri="{63B3BB69-23CF-44E3-9099-C40C66FF867C}">
                  <a14:compatExt spid="_x0000_s6236"/>
                </a:ext>
                <a:ext uri="{FF2B5EF4-FFF2-40B4-BE49-F238E27FC236}">
                  <a16:creationId xmlns:a16="http://schemas.microsoft.com/office/drawing/2014/main" id="{00000000-0008-0000-0600-00005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6237" name="Option Button 93" hidden="1">
              <a:extLst>
                <a:ext uri="{63B3BB69-23CF-44E3-9099-C40C66FF867C}">
                  <a14:compatExt spid="_x0000_s6237"/>
                </a:ext>
                <a:ext uri="{FF2B5EF4-FFF2-40B4-BE49-F238E27FC236}">
                  <a16:creationId xmlns:a16="http://schemas.microsoft.com/office/drawing/2014/main" id="{00000000-0008-0000-0600-00005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6238" name="Option Button 94" descr="Option" hidden="1">
              <a:extLst>
                <a:ext uri="{63B3BB69-23CF-44E3-9099-C40C66FF867C}">
                  <a14:compatExt spid="_x0000_s6238"/>
                </a:ext>
                <a:ext uri="{FF2B5EF4-FFF2-40B4-BE49-F238E27FC236}">
                  <a16:creationId xmlns:a16="http://schemas.microsoft.com/office/drawing/2014/main" id="{00000000-0008-0000-0600-00005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6239" name="Option Button 95" hidden="1">
              <a:extLst>
                <a:ext uri="{63B3BB69-23CF-44E3-9099-C40C66FF867C}">
                  <a14:compatExt spid="_x0000_s6239"/>
                </a:ext>
                <a:ext uri="{FF2B5EF4-FFF2-40B4-BE49-F238E27FC236}">
                  <a16:creationId xmlns:a16="http://schemas.microsoft.com/office/drawing/2014/main" id="{00000000-0008-0000-0600-00005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8</xdr:row>
          <xdr:rowOff>38100</xdr:rowOff>
        </xdr:from>
        <xdr:to>
          <xdr:col>6</xdr:col>
          <xdr:colOff>2545080</xdr:colOff>
          <xdr:row>8</xdr:row>
          <xdr:rowOff>419100</xdr:rowOff>
        </xdr:to>
        <xdr:sp macro="" textlink="">
          <xdr:nvSpPr>
            <xdr:cNvPr id="6240" name="Group Box 96" hidden="1">
              <a:extLst>
                <a:ext uri="{63B3BB69-23CF-44E3-9099-C40C66FF867C}">
                  <a14:compatExt spid="_x0000_s6240"/>
                </a:ext>
                <a:ext uri="{FF2B5EF4-FFF2-40B4-BE49-F238E27FC236}">
                  <a16:creationId xmlns:a16="http://schemas.microsoft.com/office/drawing/2014/main" id="{00000000-0008-0000-0600-000060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6241" name="Option Button 97" hidden="1">
              <a:extLst>
                <a:ext uri="{63B3BB69-23CF-44E3-9099-C40C66FF867C}">
                  <a14:compatExt spid="_x0000_s6241"/>
                </a:ext>
                <a:ext uri="{FF2B5EF4-FFF2-40B4-BE49-F238E27FC236}">
                  <a16:creationId xmlns:a16="http://schemas.microsoft.com/office/drawing/2014/main" id="{00000000-0008-0000-0600-00006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6242" name="Option Button 98" hidden="1">
              <a:extLst>
                <a:ext uri="{63B3BB69-23CF-44E3-9099-C40C66FF867C}">
                  <a14:compatExt spid="_x0000_s6242"/>
                </a:ext>
                <a:ext uri="{FF2B5EF4-FFF2-40B4-BE49-F238E27FC236}">
                  <a16:creationId xmlns:a16="http://schemas.microsoft.com/office/drawing/2014/main" id="{00000000-0008-0000-0600-00006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6243" name="Option Button 99" descr="Option" hidden="1">
              <a:extLst>
                <a:ext uri="{63B3BB69-23CF-44E3-9099-C40C66FF867C}">
                  <a14:compatExt spid="_x0000_s6243"/>
                </a:ext>
                <a:ext uri="{FF2B5EF4-FFF2-40B4-BE49-F238E27FC236}">
                  <a16:creationId xmlns:a16="http://schemas.microsoft.com/office/drawing/2014/main" id="{00000000-0008-0000-0600-00006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6244" name="Option Button 100" hidden="1">
              <a:extLst>
                <a:ext uri="{63B3BB69-23CF-44E3-9099-C40C66FF867C}">
                  <a14:compatExt spid="_x0000_s6244"/>
                </a:ext>
                <a:ext uri="{FF2B5EF4-FFF2-40B4-BE49-F238E27FC236}">
                  <a16:creationId xmlns:a16="http://schemas.microsoft.com/office/drawing/2014/main" id="{00000000-0008-0000-0600-00006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10</xdr:row>
          <xdr:rowOff>38100</xdr:rowOff>
        </xdr:from>
        <xdr:to>
          <xdr:col>6</xdr:col>
          <xdr:colOff>2545080</xdr:colOff>
          <xdr:row>10</xdr:row>
          <xdr:rowOff>419100</xdr:rowOff>
        </xdr:to>
        <xdr:sp macro="" textlink="">
          <xdr:nvSpPr>
            <xdr:cNvPr id="6245" name="Group Box 101" hidden="1">
              <a:extLst>
                <a:ext uri="{63B3BB69-23CF-44E3-9099-C40C66FF867C}">
                  <a14:compatExt spid="_x0000_s6245"/>
                </a:ext>
                <a:ext uri="{FF2B5EF4-FFF2-40B4-BE49-F238E27FC236}">
                  <a16:creationId xmlns:a16="http://schemas.microsoft.com/office/drawing/2014/main" id="{00000000-0008-0000-0600-000065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6246" name="Option Button 102" hidden="1">
              <a:extLst>
                <a:ext uri="{63B3BB69-23CF-44E3-9099-C40C66FF867C}">
                  <a14:compatExt spid="_x0000_s6246"/>
                </a:ext>
                <a:ext uri="{FF2B5EF4-FFF2-40B4-BE49-F238E27FC236}">
                  <a16:creationId xmlns:a16="http://schemas.microsoft.com/office/drawing/2014/main" id="{00000000-0008-0000-0600-00006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6247" name="Option Button 103" hidden="1">
              <a:extLst>
                <a:ext uri="{63B3BB69-23CF-44E3-9099-C40C66FF867C}">
                  <a14:compatExt spid="_x0000_s6247"/>
                </a:ext>
                <a:ext uri="{FF2B5EF4-FFF2-40B4-BE49-F238E27FC236}">
                  <a16:creationId xmlns:a16="http://schemas.microsoft.com/office/drawing/2014/main" id="{00000000-0008-0000-0600-00006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6248" name="Option Button 104" descr="Option" hidden="1">
              <a:extLst>
                <a:ext uri="{63B3BB69-23CF-44E3-9099-C40C66FF867C}">
                  <a14:compatExt spid="_x0000_s6248"/>
                </a:ext>
                <a:ext uri="{FF2B5EF4-FFF2-40B4-BE49-F238E27FC236}">
                  <a16:creationId xmlns:a16="http://schemas.microsoft.com/office/drawing/2014/main" id="{00000000-0008-0000-0600-00006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6249" name="Option Button 105" hidden="1">
              <a:extLst>
                <a:ext uri="{63B3BB69-23CF-44E3-9099-C40C66FF867C}">
                  <a14:compatExt spid="_x0000_s6249"/>
                </a:ext>
                <a:ext uri="{FF2B5EF4-FFF2-40B4-BE49-F238E27FC236}">
                  <a16:creationId xmlns:a16="http://schemas.microsoft.com/office/drawing/2014/main" id="{00000000-0008-0000-0600-00006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12</xdr:row>
          <xdr:rowOff>38100</xdr:rowOff>
        </xdr:from>
        <xdr:to>
          <xdr:col>6</xdr:col>
          <xdr:colOff>2552700</xdr:colOff>
          <xdr:row>12</xdr:row>
          <xdr:rowOff>419100</xdr:rowOff>
        </xdr:to>
        <xdr:sp macro="" textlink="">
          <xdr:nvSpPr>
            <xdr:cNvPr id="6250" name="Group Box 106" hidden="1">
              <a:extLst>
                <a:ext uri="{63B3BB69-23CF-44E3-9099-C40C66FF867C}">
                  <a14:compatExt spid="_x0000_s6250"/>
                </a:ext>
                <a:ext uri="{FF2B5EF4-FFF2-40B4-BE49-F238E27FC236}">
                  <a16:creationId xmlns:a16="http://schemas.microsoft.com/office/drawing/2014/main" id="{00000000-0008-0000-0600-00006A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6251" name="Option Button 107" hidden="1">
              <a:extLst>
                <a:ext uri="{63B3BB69-23CF-44E3-9099-C40C66FF867C}">
                  <a14:compatExt spid="_x0000_s6251"/>
                </a:ext>
                <a:ext uri="{FF2B5EF4-FFF2-40B4-BE49-F238E27FC236}">
                  <a16:creationId xmlns:a16="http://schemas.microsoft.com/office/drawing/2014/main" id="{00000000-0008-0000-0600-00006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6252" name="Option Button 108" hidden="1">
              <a:extLst>
                <a:ext uri="{63B3BB69-23CF-44E3-9099-C40C66FF867C}">
                  <a14:compatExt spid="_x0000_s6252"/>
                </a:ext>
                <a:ext uri="{FF2B5EF4-FFF2-40B4-BE49-F238E27FC236}">
                  <a16:creationId xmlns:a16="http://schemas.microsoft.com/office/drawing/2014/main" id="{00000000-0008-0000-0600-00006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6253" name="Option Button 109" descr="Option" hidden="1">
              <a:extLst>
                <a:ext uri="{63B3BB69-23CF-44E3-9099-C40C66FF867C}">
                  <a14:compatExt spid="_x0000_s6253"/>
                </a:ext>
                <a:ext uri="{FF2B5EF4-FFF2-40B4-BE49-F238E27FC236}">
                  <a16:creationId xmlns:a16="http://schemas.microsoft.com/office/drawing/2014/main" id="{00000000-0008-0000-0600-00006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6254" name="Option Button 110" hidden="1">
              <a:extLst>
                <a:ext uri="{63B3BB69-23CF-44E3-9099-C40C66FF867C}">
                  <a14:compatExt spid="_x0000_s6254"/>
                </a:ext>
                <a:ext uri="{FF2B5EF4-FFF2-40B4-BE49-F238E27FC236}">
                  <a16:creationId xmlns:a16="http://schemas.microsoft.com/office/drawing/2014/main" id="{00000000-0008-0000-0600-00006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2552700</xdr:colOff>
          <xdr:row>4</xdr:row>
          <xdr:rowOff>419100</xdr:rowOff>
        </xdr:to>
        <xdr:sp macro="" textlink="">
          <xdr:nvSpPr>
            <xdr:cNvPr id="9361" name="Group Box 145" hidden="1">
              <a:extLst>
                <a:ext uri="{63B3BB69-23CF-44E3-9099-C40C66FF867C}">
                  <a14:compatExt spid="_x0000_s9361"/>
                </a:ext>
                <a:ext uri="{FF2B5EF4-FFF2-40B4-BE49-F238E27FC236}">
                  <a16:creationId xmlns:a16="http://schemas.microsoft.com/office/drawing/2014/main" id="{00000000-0008-0000-0700-000091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9362" name="Option Button 146" hidden="1">
              <a:extLst>
                <a:ext uri="{63B3BB69-23CF-44E3-9099-C40C66FF867C}">
                  <a14:compatExt spid="_x0000_s9362"/>
                </a:ext>
                <a:ext uri="{FF2B5EF4-FFF2-40B4-BE49-F238E27FC236}">
                  <a16:creationId xmlns:a16="http://schemas.microsoft.com/office/drawing/2014/main" id="{00000000-0008-0000-0700-00009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9363" name="Option Button 147" hidden="1">
              <a:extLst>
                <a:ext uri="{63B3BB69-23CF-44E3-9099-C40C66FF867C}">
                  <a14:compatExt spid="_x0000_s9363"/>
                </a:ext>
                <a:ext uri="{FF2B5EF4-FFF2-40B4-BE49-F238E27FC236}">
                  <a16:creationId xmlns:a16="http://schemas.microsoft.com/office/drawing/2014/main" id="{00000000-0008-0000-0700-00009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9364" name="Option Button 148" descr="Option" hidden="1">
              <a:extLst>
                <a:ext uri="{63B3BB69-23CF-44E3-9099-C40C66FF867C}">
                  <a14:compatExt spid="_x0000_s9364"/>
                </a:ext>
                <a:ext uri="{FF2B5EF4-FFF2-40B4-BE49-F238E27FC236}">
                  <a16:creationId xmlns:a16="http://schemas.microsoft.com/office/drawing/2014/main" id="{00000000-0008-0000-0700-00009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9365" name="Option Button 149" hidden="1">
              <a:extLst>
                <a:ext uri="{63B3BB69-23CF-44E3-9099-C40C66FF867C}">
                  <a14:compatExt spid="_x0000_s9365"/>
                </a:ext>
                <a:ext uri="{FF2B5EF4-FFF2-40B4-BE49-F238E27FC236}">
                  <a16:creationId xmlns:a16="http://schemas.microsoft.com/office/drawing/2014/main" id="{00000000-0008-0000-0700-00009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38100</xdr:rowOff>
        </xdr:from>
        <xdr:to>
          <xdr:col>6</xdr:col>
          <xdr:colOff>2552700</xdr:colOff>
          <xdr:row>6</xdr:row>
          <xdr:rowOff>419100</xdr:rowOff>
        </xdr:to>
        <xdr:sp macro="" textlink="">
          <xdr:nvSpPr>
            <xdr:cNvPr id="9366" name="Group Box 150" hidden="1">
              <a:extLst>
                <a:ext uri="{63B3BB69-23CF-44E3-9099-C40C66FF867C}">
                  <a14:compatExt spid="_x0000_s9366"/>
                </a:ext>
                <a:ext uri="{FF2B5EF4-FFF2-40B4-BE49-F238E27FC236}">
                  <a16:creationId xmlns:a16="http://schemas.microsoft.com/office/drawing/2014/main" id="{00000000-0008-0000-0700-000096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9367" name="Option Button 151" hidden="1">
              <a:extLst>
                <a:ext uri="{63B3BB69-23CF-44E3-9099-C40C66FF867C}">
                  <a14:compatExt spid="_x0000_s9367"/>
                </a:ext>
                <a:ext uri="{FF2B5EF4-FFF2-40B4-BE49-F238E27FC236}">
                  <a16:creationId xmlns:a16="http://schemas.microsoft.com/office/drawing/2014/main" id="{00000000-0008-0000-0700-00009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9368" name="Option Button 152" hidden="1">
              <a:extLst>
                <a:ext uri="{63B3BB69-23CF-44E3-9099-C40C66FF867C}">
                  <a14:compatExt spid="_x0000_s9368"/>
                </a:ext>
                <a:ext uri="{FF2B5EF4-FFF2-40B4-BE49-F238E27FC236}">
                  <a16:creationId xmlns:a16="http://schemas.microsoft.com/office/drawing/2014/main" id="{00000000-0008-0000-0700-00009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9369" name="Option Button 153" descr="Option" hidden="1">
              <a:extLst>
                <a:ext uri="{63B3BB69-23CF-44E3-9099-C40C66FF867C}">
                  <a14:compatExt spid="_x0000_s9369"/>
                </a:ext>
                <a:ext uri="{FF2B5EF4-FFF2-40B4-BE49-F238E27FC236}">
                  <a16:creationId xmlns:a16="http://schemas.microsoft.com/office/drawing/2014/main" id="{00000000-0008-0000-0700-00009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9370" name="Option Button 154" hidden="1">
              <a:extLst>
                <a:ext uri="{63B3BB69-23CF-44E3-9099-C40C66FF867C}">
                  <a14:compatExt spid="_x0000_s9370"/>
                </a:ext>
                <a:ext uri="{FF2B5EF4-FFF2-40B4-BE49-F238E27FC236}">
                  <a16:creationId xmlns:a16="http://schemas.microsoft.com/office/drawing/2014/main" id="{00000000-0008-0000-0700-00009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xdr:row>
          <xdr:rowOff>38100</xdr:rowOff>
        </xdr:from>
        <xdr:to>
          <xdr:col>6</xdr:col>
          <xdr:colOff>2552700</xdr:colOff>
          <xdr:row>8</xdr:row>
          <xdr:rowOff>419100</xdr:rowOff>
        </xdr:to>
        <xdr:sp macro="" textlink="">
          <xdr:nvSpPr>
            <xdr:cNvPr id="9371" name="Group Box 155" hidden="1">
              <a:extLst>
                <a:ext uri="{63B3BB69-23CF-44E3-9099-C40C66FF867C}">
                  <a14:compatExt spid="_x0000_s9371"/>
                </a:ext>
                <a:ext uri="{FF2B5EF4-FFF2-40B4-BE49-F238E27FC236}">
                  <a16:creationId xmlns:a16="http://schemas.microsoft.com/office/drawing/2014/main" id="{00000000-0008-0000-0700-00009B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9372" name="Option Button 156" hidden="1">
              <a:extLst>
                <a:ext uri="{63B3BB69-23CF-44E3-9099-C40C66FF867C}">
                  <a14:compatExt spid="_x0000_s9372"/>
                </a:ext>
                <a:ext uri="{FF2B5EF4-FFF2-40B4-BE49-F238E27FC236}">
                  <a16:creationId xmlns:a16="http://schemas.microsoft.com/office/drawing/2014/main" id="{00000000-0008-0000-0700-00009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9373" name="Option Button 157" hidden="1">
              <a:extLst>
                <a:ext uri="{63B3BB69-23CF-44E3-9099-C40C66FF867C}">
                  <a14:compatExt spid="_x0000_s9373"/>
                </a:ext>
                <a:ext uri="{FF2B5EF4-FFF2-40B4-BE49-F238E27FC236}">
                  <a16:creationId xmlns:a16="http://schemas.microsoft.com/office/drawing/2014/main" id="{00000000-0008-0000-0700-00009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9374" name="Option Button 158" descr="Option" hidden="1">
              <a:extLst>
                <a:ext uri="{63B3BB69-23CF-44E3-9099-C40C66FF867C}">
                  <a14:compatExt spid="_x0000_s9374"/>
                </a:ext>
                <a:ext uri="{FF2B5EF4-FFF2-40B4-BE49-F238E27FC236}">
                  <a16:creationId xmlns:a16="http://schemas.microsoft.com/office/drawing/2014/main" id="{00000000-0008-0000-0700-00009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9375" name="Option Button 159" hidden="1">
              <a:extLst>
                <a:ext uri="{63B3BB69-23CF-44E3-9099-C40C66FF867C}">
                  <a14:compatExt spid="_x0000_s9375"/>
                </a:ext>
                <a:ext uri="{FF2B5EF4-FFF2-40B4-BE49-F238E27FC236}">
                  <a16:creationId xmlns:a16="http://schemas.microsoft.com/office/drawing/2014/main" id="{00000000-0008-0000-0700-00009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10</xdr:row>
          <xdr:rowOff>38100</xdr:rowOff>
        </xdr:from>
        <xdr:to>
          <xdr:col>6</xdr:col>
          <xdr:colOff>2552700</xdr:colOff>
          <xdr:row>10</xdr:row>
          <xdr:rowOff>419100</xdr:rowOff>
        </xdr:to>
        <xdr:sp macro="" textlink="">
          <xdr:nvSpPr>
            <xdr:cNvPr id="9376" name="Group Box 160" hidden="1">
              <a:extLst>
                <a:ext uri="{63B3BB69-23CF-44E3-9099-C40C66FF867C}">
                  <a14:compatExt spid="_x0000_s9376"/>
                </a:ext>
                <a:ext uri="{FF2B5EF4-FFF2-40B4-BE49-F238E27FC236}">
                  <a16:creationId xmlns:a16="http://schemas.microsoft.com/office/drawing/2014/main" id="{00000000-0008-0000-0700-0000A0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9377" name="Option Button 161" hidden="1">
              <a:extLst>
                <a:ext uri="{63B3BB69-23CF-44E3-9099-C40C66FF867C}">
                  <a14:compatExt spid="_x0000_s9377"/>
                </a:ext>
                <a:ext uri="{FF2B5EF4-FFF2-40B4-BE49-F238E27FC236}">
                  <a16:creationId xmlns:a16="http://schemas.microsoft.com/office/drawing/2014/main" id="{00000000-0008-0000-0700-0000A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9378" name="Option Button 162" hidden="1">
              <a:extLst>
                <a:ext uri="{63B3BB69-23CF-44E3-9099-C40C66FF867C}">
                  <a14:compatExt spid="_x0000_s9378"/>
                </a:ext>
                <a:ext uri="{FF2B5EF4-FFF2-40B4-BE49-F238E27FC236}">
                  <a16:creationId xmlns:a16="http://schemas.microsoft.com/office/drawing/2014/main" id="{00000000-0008-0000-0700-0000A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9379" name="Option Button 163" descr="Option" hidden="1">
              <a:extLst>
                <a:ext uri="{63B3BB69-23CF-44E3-9099-C40C66FF867C}">
                  <a14:compatExt spid="_x0000_s9379"/>
                </a:ext>
                <a:ext uri="{FF2B5EF4-FFF2-40B4-BE49-F238E27FC236}">
                  <a16:creationId xmlns:a16="http://schemas.microsoft.com/office/drawing/2014/main" id="{00000000-0008-0000-0700-0000A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9380" name="Option Button 164" hidden="1">
              <a:extLst>
                <a:ext uri="{63B3BB69-23CF-44E3-9099-C40C66FF867C}">
                  <a14:compatExt spid="_x0000_s9380"/>
                </a:ext>
                <a:ext uri="{FF2B5EF4-FFF2-40B4-BE49-F238E27FC236}">
                  <a16:creationId xmlns:a16="http://schemas.microsoft.com/office/drawing/2014/main" id="{00000000-0008-0000-0700-0000A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12</xdr:row>
          <xdr:rowOff>38100</xdr:rowOff>
        </xdr:from>
        <xdr:to>
          <xdr:col>6</xdr:col>
          <xdr:colOff>2552700</xdr:colOff>
          <xdr:row>12</xdr:row>
          <xdr:rowOff>419100</xdr:rowOff>
        </xdr:to>
        <xdr:sp macro="" textlink="">
          <xdr:nvSpPr>
            <xdr:cNvPr id="9381" name="Group Box 165" hidden="1">
              <a:extLst>
                <a:ext uri="{63B3BB69-23CF-44E3-9099-C40C66FF867C}">
                  <a14:compatExt spid="_x0000_s9381"/>
                </a:ext>
                <a:ext uri="{FF2B5EF4-FFF2-40B4-BE49-F238E27FC236}">
                  <a16:creationId xmlns:a16="http://schemas.microsoft.com/office/drawing/2014/main" id="{00000000-0008-0000-0700-0000A5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9382" name="Option Button 166" hidden="1">
              <a:extLst>
                <a:ext uri="{63B3BB69-23CF-44E3-9099-C40C66FF867C}">
                  <a14:compatExt spid="_x0000_s9382"/>
                </a:ext>
                <a:ext uri="{FF2B5EF4-FFF2-40B4-BE49-F238E27FC236}">
                  <a16:creationId xmlns:a16="http://schemas.microsoft.com/office/drawing/2014/main" id="{00000000-0008-0000-0700-0000A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9383" name="Option Button 167" hidden="1">
              <a:extLst>
                <a:ext uri="{63B3BB69-23CF-44E3-9099-C40C66FF867C}">
                  <a14:compatExt spid="_x0000_s9383"/>
                </a:ext>
                <a:ext uri="{FF2B5EF4-FFF2-40B4-BE49-F238E27FC236}">
                  <a16:creationId xmlns:a16="http://schemas.microsoft.com/office/drawing/2014/main" id="{00000000-0008-0000-0700-0000A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9384" name="Option Button 168" descr="Option" hidden="1">
              <a:extLst>
                <a:ext uri="{63B3BB69-23CF-44E3-9099-C40C66FF867C}">
                  <a14:compatExt spid="_x0000_s9384"/>
                </a:ext>
                <a:ext uri="{FF2B5EF4-FFF2-40B4-BE49-F238E27FC236}">
                  <a16:creationId xmlns:a16="http://schemas.microsoft.com/office/drawing/2014/main" id="{00000000-0008-0000-0700-0000A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9385" name="Option Button 169" hidden="1">
              <a:extLst>
                <a:ext uri="{63B3BB69-23CF-44E3-9099-C40C66FF867C}">
                  <a14:compatExt spid="_x0000_s9385"/>
                </a:ext>
                <a:ext uri="{FF2B5EF4-FFF2-40B4-BE49-F238E27FC236}">
                  <a16:creationId xmlns:a16="http://schemas.microsoft.com/office/drawing/2014/main" id="{00000000-0008-0000-0700-0000A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2552700</xdr:colOff>
          <xdr:row>4</xdr:row>
          <xdr:rowOff>419100</xdr:rowOff>
        </xdr:to>
        <xdr:sp macro="" textlink="">
          <xdr:nvSpPr>
            <xdr:cNvPr id="12289" name="Group Box 1" hidden="1">
              <a:extLst>
                <a:ext uri="{63B3BB69-23CF-44E3-9099-C40C66FF867C}">
                  <a14:compatExt spid="_x0000_s12289"/>
                </a:ext>
                <a:ext uri="{FF2B5EF4-FFF2-40B4-BE49-F238E27FC236}">
                  <a16:creationId xmlns:a16="http://schemas.microsoft.com/office/drawing/2014/main" id="{00000000-0008-0000-0800-000001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12290" name="Option Button 2" hidden="1">
              <a:extLst>
                <a:ext uri="{63B3BB69-23CF-44E3-9099-C40C66FF867C}">
                  <a14:compatExt spid="_x0000_s12290"/>
                </a:ext>
                <a:ext uri="{FF2B5EF4-FFF2-40B4-BE49-F238E27FC236}">
                  <a16:creationId xmlns:a16="http://schemas.microsoft.com/office/drawing/2014/main" id="{00000000-0008-0000-08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12291" name="Option Button 3" hidden="1">
              <a:extLst>
                <a:ext uri="{63B3BB69-23CF-44E3-9099-C40C66FF867C}">
                  <a14:compatExt spid="_x0000_s12291"/>
                </a:ext>
                <a:ext uri="{FF2B5EF4-FFF2-40B4-BE49-F238E27FC236}">
                  <a16:creationId xmlns:a16="http://schemas.microsoft.com/office/drawing/2014/main" id="{00000000-0008-0000-08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12292" name="Option Button 4" descr="Option" hidden="1">
              <a:extLst>
                <a:ext uri="{63B3BB69-23CF-44E3-9099-C40C66FF867C}">
                  <a14:compatExt spid="_x0000_s12292"/>
                </a:ext>
                <a:ext uri="{FF2B5EF4-FFF2-40B4-BE49-F238E27FC236}">
                  <a16:creationId xmlns:a16="http://schemas.microsoft.com/office/drawing/2014/main" id="{00000000-0008-0000-08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12293" name="Option Button 5" hidden="1">
              <a:extLst>
                <a:ext uri="{63B3BB69-23CF-44E3-9099-C40C66FF867C}">
                  <a14:compatExt spid="_x0000_s12293"/>
                </a:ext>
                <a:ext uri="{FF2B5EF4-FFF2-40B4-BE49-F238E27FC236}">
                  <a16:creationId xmlns:a16="http://schemas.microsoft.com/office/drawing/2014/main" id="{00000000-0008-0000-08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38100</xdr:rowOff>
        </xdr:from>
        <xdr:to>
          <xdr:col>6</xdr:col>
          <xdr:colOff>2552700</xdr:colOff>
          <xdr:row>6</xdr:row>
          <xdr:rowOff>419100</xdr:rowOff>
        </xdr:to>
        <xdr:sp macro="" textlink="">
          <xdr:nvSpPr>
            <xdr:cNvPr id="12294" name="Group Box 6" hidden="1">
              <a:extLst>
                <a:ext uri="{63B3BB69-23CF-44E3-9099-C40C66FF867C}">
                  <a14:compatExt spid="_x0000_s12294"/>
                </a:ext>
                <a:ext uri="{FF2B5EF4-FFF2-40B4-BE49-F238E27FC236}">
                  <a16:creationId xmlns:a16="http://schemas.microsoft.com/office/drawing/2014/main" id="{00000000-0008-0000-0800-000006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12295" name="Option Button 7" hidden="1">
              <a:extLst>
                <a:ext uri="{63B3BB69-23CF-44E3-9099-C40C66FF867C}">
                  <a14:compatExt spid="_x0000_s12295"/>
                </a:ext>
                <a:ext uri="{FF2B5EF4-FFF2-40B4-BE49-F238E27FC236}">
                  <a16:creationId xmlns:a16="http://schemas.microsoft.com/office/drawing/2014/main" id="{00000000-0008-0000-08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12296" name="Option Button 8" hidden="1">
              <a:extLst>
                <a:ext uri="{63B3BB69-23CF-44E3-9099-C40C66FF867C}">
                  <a14:compatExt spid="_x0000_s12296"/>
                </a:ext>
                <a:ext uri="{FF2B5EF4-FFF2-40B4-BE49-F238E27FC236}">
                  <a16:creationId xmlns:a16="http://schemas.microsoft.com/office/drawing/2014/main" id="{00000000-0008-0000-08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12297" name="Option Button 9" descr="Option" hidden="1">
              <a:extLst>
                <a:ext uri="{63B3BB69-23CF-44E3-9099-C40C66FF867C}">
                  <a14:compatExt spid="_x0000_s12297"/>
                </a:ext>
                <a:ext uri="{FF2B5EF4-FFF2-40B4-BE49-F238E27FC236}">
                  <a16:creationId xmlns:a16="http://schemas.microsoft.com/office/drawing/2014/main" id="{00000000-0008-0000-08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12298" name="Option Button 10" hidden="1">
              <a:extLst>
                <a:ext uri="{63B3BB69-23CF-44E3-9099-C40C66FF867C}">
                  <a14:compatExt spid="_x0000_s12298"/>
                </a:ext>
                <a:ext uri="{FF2B5EF4-FFF2-40B4-BE49-F238E27FC236}">
                  <a16:creationId xmlns:a16="http://schemas.microsoft.com/office/drawing/2014/main" id="{00000000-0008-0000-08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xdr:row>
          <xdr:rowOff>38100</xdr:rowOff>
        </xdr:from>
        <xdr:to>
          <xdr:col>6</xdr:col>
          <xdr:colOff>2552700</xdr:colOff>
          <xdr:row>8</xdr:row>
          <xdr:rowOff>419100</xdr:rowOff>
        </xdr:to>
        <xdr:sp macro="" textlink="">
          <xdr:nvSpPr>
            <xdr:cNvPr id="12299" name="Group Box 11" hidden="1">
              <a:extLst>
                <a:ext uri="{63B3BB69-23CF-44E3-9099-C40C66FF867C}">
                  <a14:compatExt spid="_x0000_s12299"/>
                </a:ext>
                <a:ext uri="{FF2B5EF4-FFF2-40B4-BE49-F238E27FC236}">
                  <a16:creationId xmlns:a16="http://schemas.microsoft.com/office/drawing/2014/main" id="{00000000-0008-0000-0800-00000B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12300" name="Option Button 12" hidden="1">
              <a:extLst>
                <a:ext uri="{63B3BB69-23CF-44E3-9099-C40C66FF867C}">
                  <a14:compatExt spid="_x0000_s12300"/>
                </a:ext>
                <a:ext uri="{FF2B5EF4-FFF2-40B4-BE49-F238E27FC236}">
                  <a16:creationId xmlns:a16="http://schemas.microsoft.com/office/drawing/2014/main" id="{00000000-0008-0000-08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12301" name="Option Button 13" hidden="1">
              <a:extLst>
                <a:ext uri="{63B3BB69-23CF-44E3-9099-C40C66FF867C}">
                  <a14:compatExt spid="_x0000_s12301"/>
                </a:ext>
                <a:ext uri="{FF2B5EF4-FFF2-40B4-BE49-F238E27FC236}">
                  <a16:creationId xmlns:a16="http://schemas.microsoft.com/office/drawing/2014/main" id="{00000000-0008-0000-08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12302" name="Option Button 14" descr="Option" hidden="1">
              <a:extLst>
                <a:ext uri="{63B3BB69-23CF-44E3-9099-C40C66FF867C}">
                  <a14:compatExt spid="_x0000_s12302"/>
                </a:ext>
                <a:ext uri="{FF2B5EF4-FFF2-40B4-BE49-F238E27FC236}">
                  <a16:creationId xmlns:a16="http://schemas.microsoft.com/office/drawing/2014/main" id="{00000000-0008-0000-08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12303" name="Option Button 15" hidden="1">
              <a:extLst>
                <a:ext uri="{63B3BB69-23CF-44E3-9099-C40C66FF867C}">
                  <a14:compatExt spid="_x0000_s12303"/>
                </a:ext>
                <a:ext uri="{FF2B5EF4-FFF2-40B4-BE49-F238E27FC236}">
                  <a16:creationId xmlns:a16="http://schemas.microsoft.com/office/drawing/2014/main" id="{00000000-0008-0000-08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10</xdr:row>
          <xdr:rowOff>38100</xdr:rowOff>
        </xdr:from>
        <xdr:to>
          <xdr:col>6</xdr:col>
          <xdr:colOff>2552700</xdr:colOff>
          <xdr:row>10</xdr:row>
          <xdr:rowOff>419100</xdr:rowOff>
        </xdr:to>
        <xdr:sp macro="" textlink="">
          <xdr:nvSpPr>
            <xdr:cNvPr id="12304" name="Group Box 16" hidden="1">
              <a:extLst>
                <a:ext uri="{63B3BB69-23CF-44E3-9099-C40C66FF867C}">
                  <a14:compatExt spid="_x0000_s12304"/>
                </a:ext>
                <a:ext uri="{FF2B5EF4-FFF2-40B4-BE49-F238E27FC236}">
                  <a16:creationId xmlns:a16="http://schemas.microsoft.com/office/drawing/2014/main" id="{00000000-0008-0000-0800-000010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12305" name="Option Button 17" hidden="1">
              <a:extLst>
                <a:ext uri="{63B3BB69-23CF-44E3-9099-C40C66FF867C}">
                  <a14:compatExt spid="_x0000_s12305"/>
                </a:ext>
                <a:ext uri="{FF2B5EF4-FFF2-40B4-BE49-F238E27FC236}">
                  <a16:creationId xmlns:a16="http://schemas.microsoft.com/office/drawing/2014/main" id="{00000000-0008-0000-08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12306" name="Option Button 18" hidden="1">
              <a:extLst>
                <a:ext uri="{63B3BB69-23CF-44E3-9099-C40C66FF867C}">
                  <a14:compatExt spid="_x0000_s12306"/>
                </a:ext>
                <a:ext uri="{FF2B5EF4-FFF2-40B4-BE49-F238E27FC236}">
                  <a16:creationId xmlns:a16="http://schemas.microsoft.com/office/drawing/2014/main" id="{00000000-0008-0000-08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12307" name="Option Button 19" descr="Option" hidden="1">
              <a:extLst>
                <a:ext uri="{63B3BB69-23CF-44E3-9099-C40C66FF867C}">
                  <a14:compatExt spid="_x0000_s12307"/>
                </a:ext>
                <a:ext uri="{FF2B5EF4-FFF2-40B4-BE49-F238E27FC236}">
                  <a16:creationId xmlns:a16="http://schemas.microsoft.com/office/drawing/2014/main" id="{00000000-0008-0000-08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12308" name="Option Button 20" hidden="1">
              <a:extLst>
                <a:ext uri="{63B3BB69-23CF-44E3-9099-C40C66FF867C}">
                  <a14:compatExt spid="_x0000_s12308"/>
                </a:ext>
                <a:ext uri="{FF2B5EF4-FFF2-40B4-BE49-F238E27FC236}">
                  <a16:creationId xmlns:a16="http://schemas.microsoft.com/office/drawing/2014/main" id="{00000000-0008-0000-08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12</xdr:row>
          <xdr:rowOff>38100</xdr:rowOff>
        </xdr:from>
        <xdr:to>
          <xdr:col>6</xdr:col>
          <xdr:colOff>2552700</xdr:colOff>
          <xdr:row>12</xdr:row>
          <xdr:rowOff>419100</xdr:rowOff>
        </xdr:to>
        <xdr:sp macro="" textlink="">
          <xdr:nvSpPr>
            <xdr:cNvPr id="12309" name="Group Box 21" hidden="1">
              <a:extLst>
                <a:ext uri="{63B3BB69-23CF-44E3-9099-C40C66FF867C}">
                  <a14:compatExt spid="_x0000_s12309"/>
                </a:ext>
                <a:ext uri="{FF2B5EF4-FFF2-40B4-BE49-F238E27FC236}">
                  <a16:creationId xmlns:a16="http://schemas.microsoft.com/office/drawing/2014/main" id="{00000000-0008-0000-0800-000015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12310" name="Option Button 22" hidden="1">
              <a:extLst>
                <a:ext uri="{63B3BB69-23CF-44E3-9099-C40C66FF867C}">
                  <a14:compatExt spid="_x0000_s12310"/>
                </a:ext>
                <a:ext uri="{FF2B5EF4-FFF2-40B4-BE49-F238E27FC236}">
                  <a16:creationId xmlns:a16="http://schemas.microsoft.com/office/drawing/2014/main" id="{00000000-0008-0000-08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12311" name="Option Button 23" hidden="1">
              <a:extLst>
                <a:ext uri="{63B3BB69-23CF-44E3-9099-C40C66FF867C}">
                  <a14:compatExt spid="_x0000_s12311"/>
                </a:ext>
                <a:ext uri="{FF2B5EF4-FFF2-40B4-BE49-F238E27FC236}">
                  <a16:creationId xmlns:a16="http://schemas.microsoft.com/office/drawing/2014/main" id="{00000000-0008-0000-08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12312" name="Option Button 24" descr="Option" hidden="1">
              <a:extLst>
                <a:ext uri="{63B3BB69-23CF-44E3-9099-C40C66FF867C}">
                  <a14:compatExt spid="_x0000_s12312"/>
                </a:ext>
                <a:ext uri="{FF2B5EF4-FFF2-40B4-BE49-F238E27FC236}">
                  <a16:creationId xmlns:a16="http://schemas.microsoft.com/office/drawing/2014/main" id="{00000000-0008-0000-08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12313" name="Option Button 25" hidden="1">
              <a:extLst>
                <a:ext uri="{63B3BB69-23CF-44E3-9099-C40C66FF867C}">
                  <a14:compatExt spid="_x0000_s12313"/>
                </a:ext>
                <a:ext uri="{FF2B5EF4-FFF2-40B4-BE49-F238E27FC236}">
                  <a16:creationId xmlns:a16="http://schemas.microsoft.com/office/drawing/2014/main" id="{00000000-0008-0000-08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4</xdr:row>
          <xdr:rowOff>38100</xdr:rowOff>
        </xdr:from>
        <xdr:to>
          <xdr:col>6</xdr:col>
          <xdr:colOff>2354580</xdr:colOff>
          <xdr:row>4</xdr:row>
          <xdr:rowOff>419100</xdr:rowOff>
        </xdr:to>
        <xdr:sp macro="" textlink="">
          <xdr:nvSpPr>
            <xdr:cNvPr id="11393" name="Group Box 129" hidden="1">
              <a:extLst>
                <a:ext uri="{63B3BB69-23CF-44E3-9099-C40C66FF867C}">
                  <a14:compatExt spid="_x0000_s11393"/>
                </a:ext>
                <a:ext uri="{FF2B5EF4-FFF2-40B4-BE49-F238E27FC236}">
                  <a16:creationId xmlns:a16="http://schemas.microsoft.com/office/drawing/2014/main" id="{00000000-0008-0000-0900-000081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4</xdr:row>
          <xdr:rowOff>114300</xdr:rowOff>
        </xdr:from>
        <xdr:to>
          <xdr:col>3</xdr:col>
          <xdr:colOff>1638300</xdr:colOff>
          <xdr:row>4</xdr:row>
          <xdr:rowOff>350520</xdr:rowOff>
        </xdr:to>
        <xdr:sp macro="" textlink="">
          <xdr:nvSpPr>
            <xdr:cNvPr id="11394" name="Option Button 130" hidden="1">
              <a:extLst>
                <a:ext uri="{63B3BB69-23CF-44E3-9099-C40C66FF867C}">
                  <a14:compatExt spid="_x0000_s11394"/>
                </a:ext>
                <a:ext uri="{FF2B5EF4-FFF2-40B4-BE49-F238E27FC236}">
                  <a16:creationId xmlns:a16="http://schemas.microsoft.com/office/drawing/2014/main" id="{00000000-0008-0000-0900-00008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4</xdr:row>
          <xdr:rowOff>121920</xdr:rowOff>
        </xdr:from>
        <xdr:to>
          <xdr:col>4</xdr:col>
          <xdr:colOff>1516380</xdr:colOff>
          <xdr:row>4</xdr:row>
          <xdr:rowOff>350520</xdr:rowOff>
        </xdr:to>
        <xdr:sp macro="" textlink="">
          <xdr:nvSpPr>
            <xdr:cNvPr id="11395" name="Option Button 131" hidden="1">
              <a:extLst>
                <a:ext uri="{63B3BB69-23CF-44E3-9099-C40C66FF867C}">
                  <a14:compatExt spid="_x0000_s11395"/>
                </a:ext>
                <a:ext uri="{FF2B5EF4-FFF2-40B4-BE49-F238E27FC236}">
                  <a16:creationId xmlns:a16="http://schemas.microsoft.com/office/drawing/2014/main" id="{00000000-0008-0000-0900-00008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4</xdr:row>
          <xdr:rowOff>121920</xdr:rowOff>
        </xdr:from>
        <xdr:to>
          <xdr:col>5</xdr:col>
          <xdr:colOff>1638300</xdr:colOff>
          <xdr:row>4</xdr:row>
          <xdr:rowOff>350520</xdr:rowOff>
        </xdr:to>
        <xdr:sp macro="" textlink="">
          <xdr:nvSpPr>
            <xdr:cNvPr id="11396" name="Option Button 132" descr="Option" hidden="1">
              <a:extLst>
                <a:ext uri="{63B3BB69-23CF-44E3-9099-C40C66FF867C}">
                  <a14:compatExt spid="_x0000_s11396"/>
                </a:ext>
                <a:ext uri="{FF2B5EF4-FFF2-40B4-BE49-F238E27FC236}">
                  <a16:creationId xmlns:a16="http://schemas.microsoft.com/office/drawing/2014/main" id="{00000000-0008-0000-0900-00008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4</xdr:row>
          <xdr:rowOff>121920</xdr:rowOff>
        </xdr:from>
        <xdr:to>
          <xdr:col>6</xdr:col>
          <xdr:colOff>1661160</xdr:colOff>
          <xdr:row>4</xdr:row>
          <xdr:rowOff>350520</xdr:rowOff>
        </xdr:to>
        <xdr:sp macro="" textlink="">
          <xdr:nvSpPr>
            <xdr:cNvPr id="11397" name="Option Button 133" hidden="1">
              <a:extLst>
                <a:ext uri="{63B3BB69-23CF-44E3-9099-C40C66FF867C}">
                  <a14:compatExt spid="_x0000_s11397"/>
                </a:ext>
                <a:ext uri="{FF2B5EF4-FFF2-40B4-BE49-F238E27FC236}">
                  <a16:creationId xmlns:a16="http://schemas.microsoft.com/office/drawing/2014/main" id="{00000000-0008-0000-0900-00008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38100</xdr:rowOff>
        </xdr:from>
        <xdr:to>
          <xdr:col>6</xdr:col>
          <xdr:colOff>2354580</xdr:colOff>
          <xdr:row>6</xdr:row>
          <xdr:rowOff>419100</xdr:rowOff>
        </xdr:to>
        <xdr:sp macro="" textlink="">
          <xdr:nvSpPr>
            <xdr:cNvPr id="11398" name="Group Box 134" hidden="1">
              <a:extLst>
                <a:ext uri="{63B3BB69-23CF-44E3-9099-C40C66FF867C}">
                  <a14:compatExt spid="_x0000_s11398"/>
                </a:ext>
                <a:ext uri="{FF2B5EF4-FFF2-40B4-BE49-F238E27FC236}">
                  <a16:creationId xmlns:a16="http://schemas.microsoft.com/office/drawing/2014/main" id="{00000000-0008-0000-0900-000086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6</xdr:row>
          <xdr:rowOff>114300</xdr:rowOff>
        </xdr:from>
        <xdr:to>
          <xdr:col>3</xdr:col>
          <xdr:colOff>1638300</xdr:colOff>
          <xdr:row>6</xdr:row>
          <xdr:rowOff>350520</xdr:rowOff>
        </xdr:to>
        <xdr:sp macro="" textlink="">
          <xdr:nvSpPr>
            <xdr:cNvPr id="11399" name="Option Button 135" hidden="1">
              <a:extLst>
                <a:ext uri="{63B3BB69-23CF-44E3-9099-C40C66FF867C}">
                  <a14:compatExt spid="_x0000_s11399"/>
                </a:ext>
                <a:ext uri="{FF2B5EF4-FFF2-40B4-BE49-F238E27FC236}">
                  <a16:creationId xmlns:a16="http://schemas.microsoft.com/office/drawing/2014/main" id="{00000000-0008-0000-0900-00008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6</xdr:row>
          <xdr:rowOff>121920</xdr:rowOff>
        </xdr:from>
        <xdr:to>
          <xdr:col>4</xdr:col>
          <xdr:colOff>1516380</xdr:colOff>
          <xdr:row>6</xdr:row>
          <xdr:rowOff>350520</xdr:rowOff>
        </xdr:to>
        <xdr:sp macro="" textlink="">
          <xdr:nvSpPr>
            <xdr:cNvPr id="11400" name="Option Button 136" hidden="1">
              <a:extLst>
                <a:ext uri="{63B3BB69-23CF-44E3-9099-C40C66FF867C}">
                  <a14:compatExt spid="_x0000_s11400"/>
                </a:ext>
                <a:ext uri="{FF2B5EF4-FFF2-40B4-BE49-F238E27FC236}">
                  <a16:creationId xmlns:a16="http://schemas.microsoft.com/office/drawing/2014/main" id="{00000000-0008-0000-0900-00008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6</xdr:row>
          <xdr:rowOff>121920</xdr:rowOff>
        </xdr:from>
        <xdr:to>
          <xdr:col>5</xdr:col>
          <xdr:colOff>1638300</xdr:colOff>
          <xdr:row>6</xdr:row>
          <xdr:rowOff>350520</xdr:rowOff>
        </xdr:to>
        <xdr:sp macro="" textlink="">
          <xdr:nvSpPr>
            <xdr:cNvPr id="11401" name="Option Button 137" descr="Option" hidden="1">
              <a:extLst>
                <a:ext uri="{63B3BB69-23CF-44E3-9099-C40C66FF867C}">
                  <a14:compatExt spid="_x0000_s11401"/>
                </a:ext>
                <a:ext uri="{FF2B5EF4-FFF2-40B4-BE49-F238E27FC236}">
                  <a16:creationId xmlns:a16="http://schemas.microsoft.com/office/drawing/2014/main" id="{00000000-0008-0000-0900-00008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6</xdr:row>
          <xdr:rowOff>121920</xdr:rowOff>
        </xdr:from>
        <xdr:to>
          <xdr:col>6</xdr:col>
          <xdr:colOff>1661160</xdr:colOff>
          <xdr:row>6</xdr:row>
          <xdr:rowOff>350520</xdr:rowOff>
        </xdr:to>
        <xdr:sp macro="" textlink="">
          <xdr:nvSpPr>
            <xdr:cNvPr id="11402" name="Option Button 138" hidden="1">
              <a:extLst>
                <a:ext uri="{63B3BB69-23CF-44E3-9099-C40C66FF867C}">
                  <a14:compatExt spid="_x0000_s11402"/>
                </a:ext>
                <a:ext uri="{FF2B5EF4-FFF2-40B4-BE49-F238E27FC236}">
                  <a16:creationId xmlns:a16="http://schemas.microsoft.com/office/drawing/2014/main" id="{00000000-0008-0000-0900-00008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8</xdr:row>
          <xdr:rowOff>60960</xdr:rowOff>
        </xdr:from>
        <xdr:to>
          <xdr:col>6</xdr:col>
          <xdr:colOff>2354580</xdr:colOff>
          <xdr:row>8</xdr:row>
          <xdr:rowOff>441960</xdr:rowOff>
        </xdr:to>
        <xdr:sp macro="" textlink="">
          <xdr:nvSpPr>
            <xdr:cNvPr id="11403" name="Group Box 139" hidden="1">
              <a:extLst>
                <a:ext uri="{63B3BB69-23CF-44E3-9099-C40C66FF867C}">
                  <a14:compatExt spid="_x0000_s11403"/>
                </a:ext>
                <a:ext uri="{FF2B5EF4-FFF2-40B4-BE49-F238E27FC236}">
                  <a16:creationId xmlns:a16="http://schemas.microsoft.com/office/drawing/2014/main" id="{00000000-0008-0000-0900-00008B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8</xdr:row>
          <xdr:rowOff>114300</xdr:rowOff>
        </xdr:from>
        <xdr:to>
          <xdr:col>3</xdr:col>
          <xdr:colOff>1638300</xdr:colOff>
          <xdr:row>8</xdr:row>
          <xdr:rowOff>350520</xdr:rowOff>
        </xdr:to>
        <xdr:sp macro="" textlink="">
          <xdr:nvSpPr>
            <xdr:cNvPr id="11404" name="Option Button 140" hidden="1">
              <a:extLst>
                <a:ext uri="{63B3BB69-23CF-44E3-9099-C40C66FF867C}">
                  <a14:compatExt spid="_x0000_s11404"/>
                </a:ext>
                <a:ext uri="{FF2B5EF4-FFF2-40B4-BE49-F238E27FC236}">
                  <a16:creationId xmlns:a16="http://schemas.microsoft.com/office/drawing/2014/main" id="{00000000-0008-0000-0900-00008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8</xdr:row>
          <xdr:rowOff>121920</xdr:rowOff>
        </xdr:from>
        <xdr:to>
          <xdr:col>4</xdr:col>
          <xdr:colOff>1516380</xdr:colOff>
          <xdr:row>8</xdr:row>
          <xdr:rowOff>350520</xdr:rowOff>
        </xdr:to>
        <xdr:sp macro="" textlink="">
          <xdr:nvSpPr>
            <xdr:cNvPr id="11405" name="Option Button 141" hidden="1">
              <a:extLst>
                <a:ext uri="{63B3BB69-23CF-44E3-9099-C40C66FF867C}">
                  <a14:compatExt spid="_x0000_s11405"/>
                </a:ext>
                <a:ext uri="{FF2B5EF4-FFF2-40B4-BE49-F238E27FC236}">
                  <a16:creationId xmlns:a16="http://schemas.microsoft.com/office/drawing/2014/main" id="{00000000-0008-0000-0900-00008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8</xdr:row>
          <xdr:rowOff>121920</xdr:rowOff>
        </xdr:from>
        <xdr:to>
          <xdr:col>5</xdr:col>
          <xdr:colOff>1638300</xdr:colOff>
          <xdr:row>8</xdr:row>
          <xdr:rowOff>350520</xdr:rowOff>
        </xdr:to>
        <xdr:sp macro="" textlink="">
          <xdr:nvSpPr>
            <xdr:cNvPr id="11406" name="Option Button 142" descr="Option" hidden="1">
              <a:extLst>
                <a:ext uri="{63B3BB69-23CF-44E3-9099-C40C66FF867C}">
                  <a14:compatExt spid="_x0000_s11406"/>
                </a:ext>
                <a:ext uri="{FF2B5EF4-FFF2-40B4-BE49-F238E27FC236}">
                  <a16:creationId xmlns:a16="http://schemas.microsoft.com/office/drawing/2014/main" id="{00000000-0008-0000-0900-00008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8</xdr:row>
          <xdr:rowOff>121920</xdr:rowOff>
        </xdr:from>
        <xdr:to>
          <xdr:col>6</xdr:col>
          <xdr:colOff>1661160</xdr:colOff>
          <xdr:row>8</xdr:row>
          <xdr:rowOff>350520</xdr:rowOff>
        </xdr:to>
        <xdr:sp macro="" textlink="">
          <xdr:nvSpPr>
            <xdr:cNvPr id="11407" name="Option Button 143" hidden="1">
              <a:extLst>
                <a:ext uri="{63B3BB69-23CF-44E3-9099-C40C66FF867C}">
                  <a14:compatExt spid="_x0000_s11407"/>
                </a:ext>
                <a:ext uri="{FF2B5EF4-FFF2-40B4-BE49-F238E27FC236}">
                  <a16:creationId xmlns:a16="http://schemas.microsoft.com/office/drawing/2014/main" id="{00000000-0008-0000-0900-00008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10</xdr:row>
          <xdr:rowOff>60960</xdr:rowOff>
        </xdr:from>
        <xdr:to>
          <xdr:col>6</xdr:col>
          <xdr:colOff>2354580</xdr:colOff>
          <xdr:row>10</xdr:row>
          <xdr:rowOff>441960</xdr:rowOff>
        </xdr:to>
        <xdr:sp macro="" textlink="">
          <xdr:nvSpPr>
            <xdr:cNvPr id="11408" name="Group Box 144" hidden="1">
              <a:extLst>
                <a:ext uri="{63B3BB69-23CF-44E3-9099-C40C66FF867C}">
                  <a14:compatExt spid="_x0000_s11408"/>
                </a:ext>
                <a:ext uri="{FF2B5EF4-FFF2-40B4-BE49-F238E27FC236}">
                  <a16:creationId xmlns:a16="http://schemas.microsoft.com/office/drawing/2014/main" id="{00000000-0008-0000-0900-000090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10</xdr:row>
          <xdr:rowOff>114300</xdr:rowOff>
        </xdr:from>
        <xdr:to>
          <xdr:col>3</xdr:col>
          <xdr:colOff>1638300</xdr:colOff>
          <xdr:row>10</xdr:row>
          <xdr:rowOff>350520</xdr:rowOff>
        </xdr:to>
        <xdr:sp macro="" textlink="">
          <xdr:nvSpPr>
            <xdr:cNvPr id="11409" name="Option Button 145" hidden="1">
              <a:extLst>
                <a:ext uri="{63B3BB69-23CF-44E3-9099-C40C66FF867C}">
                  <a14:compatExt spid="_x0000_s11409"/>
                </a:ext>
                <a:ext uri="{FF2B5EF4-FFF2-40B4-BE49-F238E27FC236}">
                  <a16:creationId xmlns:a16="http://schemas.microsoft.com/office/drawing/2014/main" id="{00000000-0008-0000-0900-00009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10</xdr:row>
          <xdr:rowOff>121920</xdr:rowOff>
        </xdr:from>
        <xdr:to>
          <xdr:col>4</xdr:col>
          <xdr:colOff>1516380</xdr:colOff>
          <xdr:row>10</xdr:row>
          <xdr:rowOff>350520</xdr:rowOff>
        </xdr:to>
        <xdr:sp macro="" textlink="">
          <xdr:nvSpPr>
            <xdr:cNvPr id="11410" name="Option Button 146" hidden="1">
              <a:extLst>
                <a:ext uri="{63B3BB69-23CF-44E3-9099-C40C66FF867C}">
                  <a14:compatExt spid="_x0000_s11410"/>
                </a:ext>
                <a:ext uri="{FF2B5EF4-FFF2-40B4-BE49-F238E27FC236}">
                  <a16:creationId xmlns:a16="http://schemas.microsoft.com/office/drawing/2014/main" id="{00000000-0008-0000-0900-00009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10</xdr:row>
          <xdr:rowOff>121920</xdr:rowOff>
        </xdr:from>
        <xdr:to>
          <xdr:col>5</xdr:col>
          <xdr:colOff>1638300</xdr:colOff>
          <xdr:row>10</xdr:row>
          <xdr:rowOff>350520</xdr:rowOff>
        </xdr:to>
        <xdr:sp macro="" textlink="">
          <xdr:nvSpPr>
            <xdr:cNvPr id="11411" name="Option Button 147" descr="Option" hidden="1">
              <a:extLst>
                <a:ext uri="{63B3BB69-23CF-44E3-9099-C40C66FF867C}">
                  <a14:compatExt spid="_x0000_s11411"/>
                </a:ext>
                <a:ext uri="{FF2B5EF4-FFF2-40B4-BE49-F238E27FC236}">
                  <a16:creationId xmlns:a16="http://schemas.microsoft.com/office/drawing/2014/main" id="{00000000-0008-0000-0900-00009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10</xdr:row>
          <xdr:rowOff>121920</xdr:rowOff>
        </xdr:from>
        <xdr:to>
          <xdr:col>6</xdr:col>
          <xdr:colOff>1661160</xdr:colOff>
          <xdr:row>10</xdr:row>
          <xdr:rowOff>350520</xdr:rowOff>
        </xdr:to>
        <xdr:sp macro="" textlink="">
          <xdr:nvSpPr>
            <xdr:cNvPr id="11412" name="Option Button 148" hidden="1">
              <a:extLst>
                <a:ext uri="{63B3BB69-23CF-44E3-9099-C40C66FF867C}">
                  <a14:compatExt spid="_x0000_s11412"/>
                </a:ext>
                <a:ext uri="{FF2B5EF4-FFF2-40B4-BE49-F238E27FC236}">
                  <a16:creationId xmlns:a16="http://schemas.microsoft.com/office/drawing/2014/main" id="{00000000-0008-0000-0900-00009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12</xdr:row>
          <xdr:rowOff>38100</xdr:rowOff>
        </xdr:from>
        <xdr:to>
          <xdr:col>6</xdr:col>
          <xdr:colOff>2354580</xdr:colOff>
          <xdr:row>12</xdr:row>
          <xdr:rowOff>419100</xdr:rowOff>
        </xdr:to>
        <xdr:sp macro="" textlink="">
          <xdr:nvSpPr>
            <xdr:cNvPr id="11413" name="Group Box 149" hidden="1">
              <a:extLst>
                <a:ext uri="{63B3BB69-23CF-44E3-9099-C40C66FF867C}">
                  <a14:compatExt spid="_x0000_s11413"/>
                </a:ext>
                <a:ext uri="{FF2B5EF4-FFF2-40B4-BE49-F238E27FC236}">
                  <a16:creationId xmlns:a16="http://schemas.microsoft.com/office/drawing/2014/main" id="{00000000-0008-0000-0900-000095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fr-FR" sz="800" b="0" i="0" u="none" strike="noStrike" baseline="0">
                  <a:solidFill>
                    <a:srgbClr val="000000"/>
                  </a:solidFill>
                  <a:latin typeface="Tahoma"/>
                  <a:ea typeface="Tahoma"/>
                  <a:cs typeface="Tahoma"/>
                </a:rPr>
                <a:t>Sélectionnez une option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899160</xdr:colOff>
          <xdr:row>12</xdr:row>
          <xdr:rowOff>114300</xdr:rowOff>
        </xdr:from>
        <xdr:to>
          <xdr:col>3</xdr:col>
          <xdr:colOff>1638300</xdr:colOff>
          <xdr:row>12</xdr:row>
          <xdr:rowOff>350520</xdr:rowOff>
        </xdr:to>
        <xdr:sp macro="" textlink="">
          <xdr:nvSpPr>
            <xdr:cNvPr id="11414" name="Option Button 150" hidden="1">
              <a:extLst>
                <a:ext uri="{63B3BB69-23CF-44E3-9099-C40C66FF867C}">
                  <a14:compatExt spid="_x0000_s11414"/>
                </a:ext>
                <a:ext uri="{FF2B5EF4-FFF2-40B4-BE49-F238E27FC236}">
                  <a16:creationId xmlns:a16="http://schemas.microsoft.com/office/drawing/2014/main" id="{00000000-0008-0000-0900-00009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876300</xdr:colOff>
          <xdr:row>12</xdr:row>
          <xdr:rowOff>121920</xdr:rowOff>
        </xdr:from>
        <xdr:to>
          <xdr:col>4</xdr:col>
          <xdr:colOff>1516380</xdr:colOff>
          <xdr:row>12</xdr:row>
          <xdr:rowOff>350520</xdr:rowOff>
        </xdr:to>
        <xdr:sp macro="" textlink="">
          <xdr:nvSpPr>
            <xdr:cNvPr id="11415" name="Option Button 151" hidden="1">
              <a:extLst>
                <a:ext uri="{63B3BB69-23CF-44E3-9099-C40C66FF867C}">
                  <a14:compatExt spid="_x0000_s11415"/>
                </a:ext>
                <a:ext uri="{FF2B5EF4-FFF2-40B4-BE49-F238E27FC236}">
                  <a16:creationId xmlns:a16="http://schemas.microsoft.com/office/drawing/2014/main" id="{00000000-0008-0000-0900-00009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998220</xdr:colOff>
          <xdr:row>12</xdr:row>
          <xdr:rowOff>121920</xdr:rowOff>
        </xdr:from>
        <xdr:to>
          <xdr:col>5</xdr:col>
          <xdr:colOff>1638300</xdr:colOff>
          <xdr:row>12</xdr:row>
          <xdr:rowOff>350520</xdr:rowOff>
        </xdr:to>
        <xdr:sp macro="" textlink="">
          <xdr:nvSpPr>
            <xdr:cNvPr id="11416" name="Option Button 152" descr="Option" hidden="1">
              <a:extLst>
                <a:ext uri="{63B3BB69-23CF-44E3-9099-C40C66FF867C}">
                  <a14:compatExt spid="_x0000_s11416"/>
                </a:ext>
                <a:ext uri="{FF2B5EF4-FFF2-40B4-BE49-F238E27FC236}">
                  <a16:creationId xmlns:a16="http://schemas.microsoft.com/office/drawing/2014/main" id="{00000000-0008-0000-0900-00009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1021080</xdr:colOff>
          <xdr:row>12</xdr:row>
          <xdr:rowOff>121920</xdr:rowOff>
        </xdr:from>
        <xdr:to>
          <xdr:col>6</xdr:col>
          <xdr:colOff>1661160</xdr:colOff>
          <xdr:row>12</xdr:row>
          <xdr:rowOff>350520</xdr:rowOff>
        </xdr:to>
        <xdr:sp macro="" textlink="">
          <xdr:nvSpPr>
            <xdr:cNvPr id="11417" name="Option Button 153" hidden="1">
              <a:extLst>
                <a:ext uri="{63B3BB69-23CF-44E3-9099-C40C66FF867C}">
                  <a14:compatExt spid="_x0000_s11417"/>
                </a:ext>
                <a:ext uri="{FF2B5EF4-FFF2-40B4-BE49-F238E27FC236}">
                  <a16:creationId xmlns:a16="http://schemas.microsoft.com/office/drawing/2014/main" id="{00000000-0008-0000-0900-00009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Option 4</a:t>
              </a:r>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3.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18" Type="http://schemas.openxmlformats.org/officeDocument/2006/relationships/ctrlProp" Target="../ctrlProps/ctrlProp40.xml"/><Relationship Id="rId26" Type="http://schemas.openxmlformats.org/officeDocument/2006/relationships/ctrlProp" Target="../ctrlProps/ctrlProp48.xml"/><Relationship Id="rId3" Type="http://schemas.openxmlformats.org/officeDocument/2006/relationships/vmlDrawing" Target="../drawings/vmlDrawing2.vml"/><Relationship Id="rId21" Type="http://schemas.openxmlformats.org/officeDocument/2006/relationships/ctrlProp" Target="../ctrlProps/ctrlProp43.xml"/><Relationship Id="rId7" Type="http://schemas.openxmlformats.org/officeDocument/2006/relationships/ctrlProp" Target="../ctrlProps/ctrlProp29.xml"/><Relationship Id="rId12" Type="http://schemas.openxmlformats.org/officeDocument/2006/relationships/ctrlProp" Target="../ctrlProps/ctrlProp34.xml"/><Relationship Id="rId17" Type="http://schemas.openxmlformats.org/officeDocument/2006/relationships/ctrlProp" Target="../ctrlProps/ctrlProp39.xml"/><Relationship Id="rId25" Type="http://schemas.openxmlformats.org/officeDocument/2006/relationships/ctrlProp" Target="../ctrlProps/ctrlProp47.xml"/><Relationship Id="rId2" Type="http://schemas.openxmlformats.org/officeDocument/2006/relationships/drawing" Target="../drawings/drawing4.xml"/><Relationship Id="rId16" Type="http://schemas.openxmlformats.org/officeDocument/2006/relationships/ctrlProp" Target="../ctrlProps/ctrlProp38.xml"/><Relationship Id="rId20" Type="http://schemas.openxmlformats.org/officeDocument/2006/relationships/ctrlProp" Target="../ctrlProps/ctrlProp42.xml"/><Relationship Id="rId1" Type="http://schemas.openxmlformats.org/officeDocument/2006/relationships/printerSettings" Target="../printerSettings/printerSettings5.bin"/><Relationship Id="rId6" Type="http://schemas.openxmlformats.org/officeDocument/2006/relationships/ctrlProp" Target="../ctrlProps/ctrlProp28.xml"/><Relationship Id="rId11" Type="http://schemas.openxmlformats.org/officeDocument/2006/relationships/ctrlProp" Target="../ctrlProps/ctrlProp33.xml"/><Relationship Id="rId24" Type="http://schemas.openxmlformats.org/officeDocument/2006/relationships/ctrlProp" Target="../ctrlProps/ctrlProp46.xml"/><Relationship Id="rId5" Type="http://schemas.openxmlformats.org/officeDocument/2006/relationships/ctrlProp" Target="../ctrlProps/ctrlProp27.xml"/><Relationship Id="rId15" Type="http://schemas.openxmlformats.org/officeDocument/2006/relationships/ctrlProp" Target="../ctrlProps/ctrlProp37.xml"/><Relationship Id="rId23" Type="http://schemas.openxmlformats.org/officeDocument/2006/relationships/ctrlProp" Target="../ctrlProps/ctrlProp45.xml"/><Relationship Id="rId28" Type="http://schemas.openxmlformats.org/officeDocument/2006/relationships/ctrlProp" Target="../ctrlProps/ctrlProp50.xml"/><Relationship Id="rId10" Type="http://schemas.openxmlformats.org/officeDocument/2006/relationships/ctrlProp" Target="../ctrlProps/ctrlProp32.xml"/><Relationship Id="rId19" Type="http://schemas.openxmlformats.org/officeDocument/2006/relationships/ctrlProp" Target="../ctrlProps/ctrlProp41.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 Id="rId22" Type="http://schemas.openxmlformats.org/officeDocument/2006/relationships/ctrlProp" Target="../ctrlProps/ctrlProp44.xml"/><Relationship Id="rId27" Type="http://schemas.openxmlformats.org/officeDocument/2006/relationships/ctrlProp" Target="../ctrlProps/ctrlProp4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5.xml"/><Relationship Id="rId13" Type="http://schemas.openxmlformats.org/officeDocument/2006/relationships/ctrlProp" Target="../ctrlProps/ctrlProp60.xml"/><Relationship Id="rId18" Type="http://schemas.openxmlformats.org/officeDocument/2006/relationships/ctrlProp" Target="../ctrlProps/ctrlProp65.xml"/><Relationship Id="rId26" Type="http://schemas.openxmlformats.org/officeDocument/2006/relationships/ctrlProp" Target="../ctrlProps/ctrlProp73.xml"/><Relationship Id="rId3" Type="http://schemas.openxmlformats.org/officeDocument/2006/relationships/vmlDrawing" Target="../drawings/vmlDrawing3.vml"/><Relationship Id="rId21" Type="http://schemas.openxmlformats.org/officeDocument/2006/relationships/ctrlProp" Target="../ctrlProps/ctrlProp68.xml"/><Relationship Id="rId7" Type="http://schemas.openxmlformats.org/officeDocument/2006/relationships/ctrlProp" Target="../ctrlProps/ctrlProp54.xml"/><Relationship Id="rId12" Type="http://schemas.openxmlformats.org/officeDocument/2006/relationships/ctrlProp" Target="../ctrlProps/ctrlProp59.xml"/><Relationship Id="rId17" Type="http://schemas.openxmlformats.org/officeDocument/2006/relationships/ctrlProp" Target="../ctrlProps/ctrlProp64.xml"/><Relationship Id="rId25" Type="http://schemas.openxmlformats.org/officeDocument/2006/relationships/ctrlProp" Target="../ctrlProps/ctrlProp72.xml"/><Relationship Id="rId2" Type="http://schemas.openxmlformats.org/officeDocument/2006/relationships/drawing" Target="../drawings/drawing5.xml"/><Relationship Id="rId16" Type="http://schemas.openxmlformats.org/officeDocument/2006/relationships/ctrlProp" Target="../ctrlProps/ctrlProp63.xml"/><Relationship Id="rId20" Type="http://schemas.openxmlformats.org/officeDocument/2006/relationships/ctrlProp" Target="../ctrlProps/ctrlProp67.xml"/><Relationship Id="rId1" Type="http://schemas.openxmlformats.org/officeDocument/2006/relationships/printerSettings" Target="../printerSettings/printerSettings6.bin"/><Relationship Id="rId6" Type="http://schemas.openxmlformats.org/officeDocument/2006/relationships/ctrlProp" Target="../ctrlProps/ctrlProp53.xml"/><Relationship Id="rId11" Type="http://schemas.openxmlformats.org/officeDocument/2006/relationships/ctrlProp" Target="../ctrlProps/ctrlProp58.xml"/><Relationship Id="rId24" Type="http://schemas.openxmlformats.org/officeDocument/2006/relationships/ctrlProp" Target="../ctrlProps/ctrlProp71.xml"/><Relationship Id="rId5" Type="http://schemas.openxmlformats.org/officeDocument/2006/relationships/ctrlProp" Target="../ctrlProps/ctrlProp52.xml"/><Relationship Id="rId15" Type="http://schemas.openxmlformats.org/officeDocument/2006/relationships/ctrlProp" Target="../ctrlProps/ctrlProp62.xml"/><Relationship Id="rId23" Type="http://schemas.openxmlformats.org/officeDocument/2006/relationships/ctrlProp" Target="../ctrlProps/ctrlProp70.xml"/><Relationship Id="rId28" Type="http://schemas.openxmlformats.org/officeDocument/2006/relationships/ctrlProp" Target="../ctrlProps/ctrlProp75.xml"/><Relationship Id="rId10" Type="http://schemas.openxmlformats.org/officeDocument/2006/relationships/ctrlProp" Target="../ctrlProps/ctrlProp57.xml"/><Relationship Id="rId19" Type="http://schemas.openxmlformats.org/officeDocument/2006/relationships/ctrlProp" Target="../ctrlProps/ctrlProp66.xml"/><Relationship Id="rId4" Type="http://schemas.openxmlformats.org/officeDocument/2006/relationships/ctrlProp" Target="../ctrlProps/ctrlProp51.xml"/><Relationship Id="rId9" Type="http://schemas.openxmlformats.org/officeDocument/2006/relationships/ctrlProp" Target="../ctrlProps/ctrlProp56.xml"/><Relationship Id="rId14" Type="http://schemas.openxmlformats.org/officeDocument/2006/relationships/ctrlProp" Target="../ctrlProps/ctrlProp61.xml"/><Relationship Id="rId22" Type="http://schemas.openxmlformats.org/officeDocument/2006/relationships/ctrlProp" Target="../ctrlProps/ctrlProp69.xml"/><Relationship Id="rId27" Type="http://schemas.openxmlformats.org/officeDocument/2006/relationships/ctrlProp" Target="../ctrlProps/ctrlProp7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80.xml"/><Relationship Id="rId13" Type="http://schemas.openxmlformats.org/officeDocument/2006/relationships/ctrlProp" Target="../ctrlProps/ctrlProp85.xml"/><Relationship Id="rId18" Type="http://schemas.openxmlformats.org/officeDocument/2006/relationships/ctrlProp" Target="../ctrlProps/ctrlProp90.xml"/><Relationship Id="rId26" Type="http://schemas.openxmlformats.org/officeDocument/2006/relationships/ctrlProp" Target="../ctrlProps/ctrlProp98.xml"/><Relationship Id="rId3" Type="http://schemas.openxmlformats.org/officeDocument/2006/relationships/vmlDrawing" Target="../drawings/vmlDrawing4.vml"/><Relationship Id="rId21" Type="http://schemas.openxmlformats.org/officeDocument/2006/relationships/ctrlProp" Target="../ctrlProps/ctrlProp93.xml"/><Relationship Id="rId7" Type="http://schemas.openxmlformats.org/officeDocument/2006/relationships/ctrlProp" Target="../ctrlProps/ctrlProp79.xml"/><Relationship Id="rId12" Type="http://schemas.openxmlformats.org/officeDocument/2006/relationships/ctrlProp" Target="../ctrlProps/ctrlProp84.xml"/><Relationship Id="rId17" Type="http://schemas.openxmlformats.org/officeDocument/2006/relationships/ctrlProp" Target="../ctrlProps/ctrlProp89.xml"/><Relationship Id="rId25" Type="http://schemas.openxmlformats.org/officeDocument/2006/relationships/ctrlProp" Target="../ctrlProps/ctrlProp97.xml"/><Relationship Id="rId2" Type="http://schemas.openxmlformats.org/officeDocument/2006/relationships/drawing" Target="../drawings/drawing6.xml"/><Relationship Id="rId16" Type="http://schemas.openxmlformats.org/officeDocument/2006/relationships/ctrlProp" Target="../ctrlProps/ctrlProp88.xml"/><Relationship Id="rId20" Type="http://schemas.openxmlformats.org/officeDocument/2006/relationships/ctrlProp" Target="../ctrlProps/ctrlProp92.xml"/><Relationship Id="rId29" Type="http://schemas.openxmlformats.org/officeDocument/2006/relationships/comments" Target="../comments1.xml"/><Relationship Id="rId1" Type="http://schemas.openxmlformats.org/officeDocument/2006/relationships/printerSettings" Target="../printerSettings/printerSettings7.bin"/><Relationship Id="rId6" Type="http://schemas.openxmlformats.org/officeDocument/2006/relationships/ctrlProp" Target="../ctrlProps/ctrlProp78.xml"/><Relationship Id="rId11" Type="http://schemas.openxmlformats.org/officeDocument/2006/relationships/ctrlProp" Target="../ctrlProps/ctrlProp83.xml"/><Relationship Id="rId24" Type="http://schemas.openxmlformats.org/officeDocument/2006/relationships/ctrlProp" Target="../ctrlProps/ctrlProp96.xml"/><Relationship Id="rId5" Type="http://schemas.openxmlformats.org/officeDocument/2006/relationships/ctrlProp" Target="../ctrlProps/ctrlProp77.xml"/><Relationship Id="rId15" Type="http://schemas.openxmlformats.org/officeDocument/2006/relationships/ctrlProp" Target="../ctrlProps/ctrlProp87.xml"/><Relationship Id="rId23" Type="http://schemas.openxmlformats.org/officeDocument/2006/relationships/ctrlProp" Target="../ctrlProps/ctrlProp95.xml"/><Relationship Id="rId28" Type="http://schemas.openxmlformats.org/officeDocument/2006/relationships/ctrlProp" Target="../ctrlProps/ctrlProp100.xml"/><Relationship Id="rId10" Type="http://schemas.openxmlformats.org/officeDocument/2006/relationships/ctrlProp" Target="../ctrlProps/ctrlProp82.xml"/><Relationship Id="rId19" Type="http://schemas.openxmlformats.org/officeDocument/2006/relationships/ctrlProp" Target="../ctrlProps/ctrlProp91.xml"/><Relationship Id="rId4" Type="http://schemas.openxmlformats.org/officeDocument/2006/relationships/ctrlProp" Target="../ctrlProps/ctrlProp76.xml"/><Relationship Id="rId9" Type="http://schemas.openxmlformats.org/officeDocument/2006/relationships/ctrlProp" Target="../ctrlProps/ctrlProp81.xml"/><Relationship Id="rId14" Type="http://schemas.openxmlformats.org/officeDocument/2006/relationships/ctrlProp" Target="../ctrlProps/ctrlProp86.xml"/><Relationship Id="rId22" Type="http://schemas.openxmlformats.org/officeDocument/2006/relationships/ctrlProp" Target="../ctrlProps/ctrlProp94.xml"/><Relationship Id="rId27" Type="http://schemas.openxmlformats.org/officeDocument/2006/relationships/ctrlProp" Target="../ctrlProps/ctrlProp99.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05.xml"/><Relationship Id="rId13" Type="http://schemas.openxmlformats.org/officeDocument/2006/relationships/ctrlProp" Target="../ctrlProps/ctrlProp110.xml"/><Relationship Id="rId18" Type="http://schemas.openxmlformats.org/officeDocument/2006/relationships/ctrlProp" Target="../ctrlProps/ctrlProp115.xml"/><Relationship Id="rId26" Type="http://schemas.openxmlformats.org/officeDocument/2006/relationships/ctrlProp" Target="../ctrlProps/ctrlProp123.xml"/><Relationship Id="rId3" Type="http://schemas.openxmlformats.org/officeDocument/2006/relationships/vmlDrawing" Target="../drawings/vmlDrawing5.vml"/><Relationship Id="rId21" Type="http://schemas.openxmlformats.org/officeDocument/2006/relationships/ctrlProp" Target="../ctrlProps/ctrlProp118.xml"/><Relationship Id="rId7" Type="http://schemas.openxmlformats.org/officeDocument/2006/relationships/ctrlProp" Target="../ctrlProps/ctrlProp104.xml"/><Relationship Id="rId12" Type="http://schemas.openxmlformats.org/officeDocument/2006/relationships/ctrlProp" Target="../ctrlProps/ctrlProp109.xml"/><Relationship Id="rId17" Type="http://schemas.openxmlformats.org/officeDocument/2006/relationships/ctrlProp" Target="../ctrlProps/ctrlProp114.xml"/><Relationship Id="rId25" Type="http://schemas.openxmlformats.org/officeDocument/2006/relationships/ctrlProp" Target="../ctrlProps/ctrlProp122.xml"/><Relationship Id="rId2" Type="http://schemas.openxmlformats.org/officeDocument/2006/relationships/drawing" Target="../drawings/drawing7.xml"/><Relationship Id="rId16" Type="http://schemas.openxmlformats.org/officeDocument/2006/relationships/ctrlProp" Target="../ctrlProps/ctrlProp113.xml"/><Relationship Id="rId20" Type="http://schemas.openxmlformats.org/officeDocument/2006/relationships/ctrlProp" Target="../ctrlProps/ctrlProp117.xml"/><Relationship Id="rId1" Type="http://schemas.openxmlformats.org/officeDocument/2006/relationships/printerSettings" Target="../printerSettings/printerSettings8.bin"/><Relationship Id="rId6" Type="http://schemas.openxmlformats.org/officeDocument/2006/relationships/ctrlProp" Target="../ctrlProps/ctrlProp103.xml"/><Relationship Id="rId11" Type="http://schemas.openxmlformats.org/officeDocument/2006/relationships/ctrlProp" Target="../ctrlProps/ctrlProp108.xml"/><Relationship Id="rId24" Type="http://schemas.openxmlformats.org/officeDocument/2006/relationships/ctrlProp" Target="../ctrlProps/ctrlProp121.xml"/><Relationship Id="rId5" Type="http://schemas.openxmlformats.org/officeDocument/2006/relationships/ctrlProp" Target="../ctrlProps/ctrlProp102.xml"/><Relationship Id="rId15" Type="http://schemas.openxmlformats.org/officeDocument/2006/relationships/ctrlProp" Target="../ctrlProps/ctrlProp112.xml"/><Relationship Id="rId23" Type="http://schemas.openxmlformats.org/officeDocument/2006/relationships/ctrlProp" Target="../ctrlProps/ctrlProp120.xml"/><Relationship Id="rId28" Type="http://schemas.openxmlformats.org/officeDocument/2006/relationships/ctrlProp" Target="../ctrlProps/ctrlProp125.xml"/><Relationship Id="rId10" Type="http://schemas.openxmlformats.org/officeDocument/2006/relationships/ctrlProp" Target="../ctrlProps/ctrlProp107.xml"/><Relationship Id="rId19" Type="http://schemas.openxmlformats.org/officeDocument/2006/relationships/ctrlProp" Target="../ctrlProps/ctrlProp116.xml"/><Relationship Id="rId4" Type="http://schemas.openxmlformats.org/officeDocument/2006/relationships/ctrlProp" Target="../ctrlProps/ctrlProp101.xml"/><Relationship Id="rId9" Type="http://schemas.openxmlformats.org/officeDocument/2006/relationships/ctrlProp" Target="../ctrlProps/ctrlProp106.xml"/><Relationship Id="rId14" Type="http://schemas.openxmlformats.org/officeDocument/2006/relationships/ctrlProp" Target="../ctrlProps/ctrlProp111.xml"/><Relationship Id="rId22" Type="http://schemas.openxmlformats.org/officeDocument/2006/relationships/ctrlProp" Target="../ctrlProps/ctrlProp119.xml"/><Relationship Id="rId27" Type="http://schemas.openxmlformats.org/officeDocument/2006/relationships/ctrlProp" Target="../ctrlProps/ctrlProp124.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30.xml"/><Relationship Id="rId13" Type="http://schemas.openxmlformats.org/officeDocument/2006/relationships/ctrlProp" Target="../ctrlProps/ctrlProp135.xml"/><Relationship Id="rId18" Type="http://schemas.openxmlformats.org/officeDocument/2006/relationships/ctrlProp" Target="../ctrlProps/ctrlProp140.xml"/><Relationship Id="rId26" Type="http://schemas.openxmlformats.org/officeDocument/2006/relationships/ctrlProp" Target="../ctrlProps/ctrlProp148.xml"/><Relationship Id="rId3" Type="http://schemas.openxmlformats.org/officeDocument/2006/relationships/vmlDrawing" Target="../drawings/vmlDrawing6.vml"/><Relationship Id="rId21" Type="http://schemas.openxmlformats.org/officeDocument/2006/relationships/ctrlProp" Target="../ctrlProps/ctrlProp143.xml"/><Relationship Id="rId7" Type="http://schemas.openxmlformats.org/officeDocument/2006/relationships/ctrlProp" Target="../ctrlProps/ctrlProp129.xml"/><Relationship Id="rId12" Type="http://schemas.openxmlformats.org/officeDocument/2006/relationships/ctrlProp" Target="../ctrlProps/ctrlProp134.xml"/><Relationship Id="rId17" Type="http://schemas.openxmlformats.org/officeDocument/2006/relationships/ctrlProp" Target="../ctrlProps/ctrlProp139.xml"/><Relationship Id="rId25" Type="http://schemas.openxmlformats.org/officeDocument/2006/relationships/ctrlProp" Target="../ctrlProps/ctrlProp147.xml"/><Relationship Id="rId2" Type="http://schemas.openxmlformats.org/officeDocument/2006/relationships/drawing" Target="../drawings/drawing8.xml"/><Relationship Id="rId16" Type="http://schemas.openxmlformats.org/officeDocument/2006/relationships/ctrlProp" Target="../ctrlProps/ctrlProp138.xml"/><Relationship Id="rId20" Type="http://schemas.openxmlformats.org/officeDocument/2006/relationships/ctrlProp" Target="../ctrlProps/ctrlProp142.xml"/><Relationship Id="rId1" Type="http://schemas.openxmlformats.org/officeDocument/2006/relationships/printerSettings" Target="../printerSettings/printerSettings9.bin"/><Relationship Id="rId6" Type="http://schemas.openxmlformats.org/officeDocument/2006/relationships/ctrlProp" Target="../ctrlProps/ctrlProp128.xml"/><Relationship Id="rId11" Type="http://schemas.openxmlformats.org/officeDocument/2006/relationships/ctrlProp" Target="../ctrlProps/ctrlProp133.xml"/><Relationship Id="rId24" Type="http://schemas.openxmlformats.org/officeDocument/2006/relationships/ctrlProp" Target="../ctrlProps/ctrlProp146.xml"/><Relationship Id="rId5" Type="http://schemas.openxmlformats.org/officeDocument/2006/relationships/ctrlProp" Target="../ctrlProps/ctrlProp127.xml"/><Relationship Id="rId15" Type="http://schemas.openxmlformats.org/officeDocument/2006/relationships/ctrlProp" Target="../ctrlProps/ctrlProp137.xml"/><Relationship Id="rId23" Type="http://schemas.openxmlformats.org/officeDocument/2006/relationships/ctrlProp" Target="../ctrlProps/ctrlProp145.xml"/><Relationship Id="rId28" Type="http://schemas.openxmlformats.org/officeDocument/2006/relationships/ctrlProp" Target="../ctrlProps/ctrlProp150.xml"/><Relationship Id="rId10" Type="http://schemas.openxmlformats.org/officeDocument/2006/relationships/ctrlProp" Target="../ctrlProps/ctrlProp132.xml"/><Relationship Id="rId19" Type="http://schemas.openxmlformats.org/officeDocument/2006/relationships/ctrlProp" Target="../ctrlProps/ctrlProp141.xml"/><Relationship Id="rId4" Type="http://schemas.openxmlformats.org/officeDocument/2006/relationships/ctrlProp" Target="../ctrlProps/ctrlProp126.xml"/><Relationship Id="rId9" Type="http://schemas.openxmlformats.org/officeDocument/2006/relationships/ctrlProp" Target="../ctrlProps/ctrlProp131.xml"/><Relationship Id="rId14" Type="http://schemas.openxmlformats.org/officeDocument/2006/relationships/ctrlProp" Target="../ctrlProps/ctrlProp136.xml"/><Relationship Id="rId22" Type="http://schemas.openxmlformats.org/officeDocument/2006/relationships/ctrlProp" Target="../ctrlProps/ctrlProp144.xml"/><Relationship Id="rId27" Type="http://schemas.openxmlformats.org/officeDocument/2006/relationships/ctrlProp" Target="../ctrlProps/ctrlProp14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55.xml"/><Relationship Id="rId13" Type="http://schemas.openxmlformats.org/officeDocument/2006/relationships/ctrlProp" Target="../ctrlProps/ctrlProp160.xml"/><Relationship Id="rId18" Type="http://schemas.openxmlformats.org/officeDocument/2006/relationships/ctrlProp" Target="../ctrlProps/ctrlProp165.xml"/><Relationship Id="rId26" Type="http://schemas.openxmlformats.org/officeDocument/2006/relationships/ctrlProp" Target="../ctrlProps/ctrlProp173.xml"/><Relationship Id="rId3" Type="http://schemas.openxmlformats.org/officeDocument/2006/relationships/vmlDrawing" Target="../drawings/vmlDrawing7.vml"/><Relationship Id="rId21" Type="http://schemas.openxmlformats.org/officeDocument/2006/relationships/ctrlProp" Target="../ctrlProps/ctrlProp168.xml"/><Relationship Id="rId7" Type="http://schemas.openxmlformats.org/officeDocument/2006/relationships/ctrlProp" Target="../ctrlProps/ctrlProp154.xml"/><Relationship Id="rId12" Type="http://schemas.openxmlformats.org/officeDocument/2006/relationships/ctrlProp" Target="../ctrlProps/ctrlProp159.xml"/><Relationship Id="rId17" Type="http://schemas.openxmlformats.org/officeDocument/2006/relationships/ctrlProp" Target="../ctrlProps/ctrlProp164.xml"/><Relationship Id="rId25" Type="http://schemas.openxmlformats.org/officeDocument/2006/relationships/ctrlProp" Target="../ctrlProps/ctrlProp172.xml"/><Relationship Id="rId2" Type="http://schemas.openxmlformats.org/officeDocument/2006/relationships/drawing" Target="../drawings/drawing9.xml"/><Relationship Id="rId16" Type="http://schemas.openxmlformats.org/officeDocument/2006/relationships/ctrlProp" Target="../ctrlProps/ctrlProp163.xml"/><Relationship Id="rId20" Type="http://schemas.openxmlformats.org/officeDocument/2006/relationships/ctrlProp" Target="../ctrlProps/ctrlProp167.xml"/><Relationship Id="rId1" Type="http://schemas.openxmlformats.org/officeDocument/2006/relationships/printerSettings" Target="../printerSettings/printerSettings10.bin"/><Relationship Id="rId6" Type="http://schemas.openxmlformats.org/officeDocument/2006/relationships/ctrlProp" Target="../ctrlProps/ctrlProp153.xml"/><Relationship Id="rId11" Type="http://schemas.openxmlformats.org/officeDocument/2006/relationships/ctrlProp" Target="../ctrlProps/ctrlProp158.xml"/><Relationship Id="rId24" Type="http://schemas.openxmlformats.org/officeDocument/2006/relationships/ctrlProp" Target="../ctrlProps/ctrlProp171.xml"/><Relationship Id="rId5" Type="http://schemas.openxmlformats.org/officeDocument/2006/relationships/ctrlProp" Target="../ctrlProps/ctrlProp152.xml"/><Relationship Id="rId15" Type="http://schemas.openxmlformats.org/officeDocument/2006/relationships/ctrlProp" Target="../ctrlProps/ctrlProp162.xml"/><Relationship Id="rId23" Type="http://schemas.openxmlformats.org/officeDocument/2006/relationships/ctrlProp" Target="../ctrlProps/ctrlProp170.xml"/><Relationship Id="rId28" Type="http://schemas.openxmlformats.org/officeDocument/2006/relationships/ctrlProp" Target="../ctrlProps/ctrlProp175.xml"/><Relationship Id="rId10" Type="http://schemas.openxmlformats.org/officeDocument/2006/relationships/ctrlProp" Target="../ctrlProps/ctrlProp157.xml"/><Relationship Id="rId19" Type="http://schemas.openxmlformats.org/officeDocument/2006/relationships/ctrlProp" Target="../ctrlProps/ctrlProp166.xml"/><Relationship Id="rId4" Type="http://schemas.openxmlformats.org/officeDocument/2006/relationships/ctrlProp" Target="../ctrlProps/ctrlProp151.xml"/><Relationship Id="rId9" Type="http://schemas.openxmlformats.org/officeDocument/2006/relationships/ctrlProp" Target="../ctrlProps/ctrlProp156.xml"/><Relationship Id="rId14" Type="http://schemas.openxmlformats.org/officeDocument/2006/relationships/ctrlProp" Target="../ctrlProps/ctrlProp161.xml"/><Relationship Id="rId22" Type="http://schemas.openxmlformats.org/officeDocument/2006/relationships/ctrlProp" Target="../ctrlProps/ctrlProp169.xml"/><Relationship Id="rId27" Type="http://schemas.openxmlformats.org/officeDocument/2006/relationships/ctrlProp" Target="../ctrlProps/ctrlProp17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showGridLines="0" showWhiteSpace="0" topLeftCell="A16" zoomScaleNormal="100" workbookViewId="0">
      <selection activeCell="F33" sqref="F33:M34"/>
    </sheetView>
  </sheetViews>
  <sheetFormatPr baseColWidth="10" defaultColWidth="10.88671875" defaultRowHeight="14.4" x14ac:dyDescent="0.3"/>
  <cols>
    <col min="6" max="6" width="11.88671875" customWidth="1"/>
    <col min="7" max="7" width="11.6640625" customWidth="1"/>
  </cols>
  <sheetData>
    <row r="1" spans="1:13" ht="44.4" x14ac:dyDescent="0.3">
      <c r="A1" s="148" t="s">
        <v>0</v>
      </c>
    </row>
    <row r="2" spans="1:13" ht="24" x14ac:dyDescent="0.3">
      <c r="A2" s="149" t="s">
        <v>1</v>
      </c>
    </row>
    <row r="3" spans="1:13" ht="16.8" x14ac:dyDescent="0.3">
      <c r="A3" s="150" t="s">
        <v>2</v>
      </c>
    </row>
    <row r="4" spans="1:13" ht="15.9" customHeight="1" x14ac:dyDescent="0.3">
      <c r="F4" s="151" t="s">
        <v>3</v>
      </c>
    </row>
    <row r="5" spans="1:13" ht="16.8" x14ac:dyDescent="0.3">
      <c r="A5" s="150"/>
      <c r="F5" s="160" t="s">
        <v>4</v>
      </c>
      <c r="G5" s="160"/>
      <c r="H5" s="160"/>
      <c r="I5" s="160"/>
      <c r="J5" s="160"/>
      <c r="K5" s="160"/>
      <c r="L5" s="160"/>
      <c r="M5" s="160"/>
    </row>
    <row r="6" spans="1:13" x14ac:dyDescent="0.3">
      <c r="F6" s="160"/>
      <c r="G6" s="160"/>
      <c r="H6" s="160"/>
      <c r="I6" s="160"/>
      <c r="J6" s="160"/>
      <c r="K6" s="160"/>
      <c r="L6" s="160"/>
      <c r="M6" s="160"/>
    </row>
    <row r="7" spans="1:13" x14ac:dyDescent="0.3">
      <c r="F7" s="160"/>
      <c r="G7" s="160"/>
      <c r="H7" s="160"/>
      <c r="I7" s="160"/>
      <c r="J7" s="160"/>
      <c r="K7" s="160"/>
      <c r="L7" s="160"/>
      <c r="M7" s="160"/>
    </row>
    <row r="8" spans="1:13" x14ac:dyDescent="0.3">
      <c r="F8" s="160"/>
      <c r="G8" s="160"/>
      <c r="H8" s="160"/>
      <c r="I8" s="160"/>
      <c r="J8" s="160"/>
      <c r="K8" s="160"/>
      <c r="L8" s="160"/>
      <c r="M8" s="160"/>
    </row>
    <row r="9" spans="1:13" ht="15.9" customHeight="1" x14ac:dyDescent="0.3">
      <c r="F9" s="151" t="s">
        <v>5</v>
      </c>
    </row>
    <row r="10" spans="1:13" ht="15.9" customHeight="1" x14ac:dyDescent="0.3">
      <c r="F10" s="161" t="s">
        <v>6</v>
      </c>
      <c r="G10" s="161"/>
      <c r="H10" s="161"/>
      <c r="I10" s="161"/>
      <c r="J10" s="161"/>
      <c r="K10" s="161"/>
      <c r="L10" s="161"/>
      <c r="M10" s="161"/>
    </row>
    <row r="11" spans="1:13" ht="15.9" customHeight="1" x14ac:dyDescent="0.3">
      <c r="F11" s="161"/>
      <c r="G11" s="161"/>
      <c r="H11" s="161"/>
      <c r="I11" s="161"/>
      <c r="J11" s="161"/>
      <c r="K11" s="161"/>
      <c r="L11" s="161"/>
      <c r="M11" s="161"/>
    </row>
    <row r="12" spans="1:13" ht="15.9" customHeight="1" x14ac:dyDescent="0.3">
      <c r="F12" s="152"/>
      <c r="G12" s="152"/>
      <c r="H12" s="152"/>
      <c r="I12" s="152"/>
      <c r="J12" s="152"/>
      <c r="K12" s="152"/>
      <c r="L12" s="152"/>
      <c r="M12" s="152"/>
    </row>
    <row r="13" spans="1:13" ht="18.600000000000001" customHeight="1" x14ac:dyDescent="0.3">
      <c r="F13" s="162" t="s">
        <v>7</v>
      </c>
      <c r="G13" s="163"/>
      <c r="H13" s="163"/>
      <c r="I13" s="163"/>
      <c r="J13" s="164" t="s">
        <v>8</v>
      </c>
      <c r="K13" s="164"/>
      <c r="L13" s="164" t="s">
        <v>9</v>
      </c>
      <c r="M13" s="164"/>
    </row>
    <row r="14" spans="1:13" ht="31.5" customHeight="1" x14ac:dyDescent="0.3">
      <c r="F14" s="159" t="s">
        <v>261</v>
      </c>
      <c r="G14" s="159"/>
      <c r="H14" s="159"/>
      <c r="I14" s="159"/>
      <c r="J14" s="159" t="s">
        <v>10</v>
      </c>
      <c r="K14" s="159"/>
      <c r="L14" s="159" t="s">
        <v>11</v>
      </c>
      <c r="M14" s="159"/>
    </row>
    <row r="15" spans="1:13" s="153" customFormat="1" ht="29.25" customHeight="1" x14ac:dyDescent="0.3">
      <c r="F15" s="165" t="s">
        <v>12</v>
      </c>
      <c r="G15" s="165"/>
      <c r="H15" s="166" t="s">
        <v>13</v>
      </c>
      <c r="I15" s="166"/>
      <c r="J15" s="162" t="s">
        <v>14</v>
      </c>
      <c r="K15" s="162"/>
      <c r="L15" s="162" t="s">
        <v>15</v>
      </c>
      <c r="M15" s="162"/>
    </row>
    <row r="16" spans="1:13" ht="18.600000000000001" customHeight="1" x14ac:dyDescent="0.3">
      <c r="F16" s="159" t="s">
        <v>16</v>
      </c>
      <c r="G16" s="159"/>
      <c r="H16" s="167" t="s">
        <v>17</v>
      </c>
      <c r="I16" s="159"/>
      <c r="J16" s="159" t="s">
        <v>16</v>
      </c>
      <c r="K16" s="159"/>
      <c r="L16" s="159" t="s">
        <v>18</v>
      </c>
      <c r="M16" s="159"/>
    </row>
    <row r="17" spans="1:13" ht="18.600000000000001" customHeight="1" x14ac:dyDescent="0.3">
      <c r="F17" s="165" t="s">
        <v>19</v>
      </c>
      <c r="G17" s="165"/>
      <c r="H17" s="165"/>
      <c r="I17" s="165"/>
      <c r="J17" s="165" t="s">
        <v>20</v>
      </c>
      <c r="K17" s="165"/>
      <c r="L17" s="165"/>
      <c r="M17" s="165"/>
    </row>
    <row r="18" spans="1:13" ht="26.4" customHeight="1" x14ac:dyDescent="0.3">
      <c r="F18" s="168" t="s">
        <v>21</v>
      </c>
      <c r="G18" s="168"/>
      <c r="H18" s="168"/>
      <c r="I18" s="168"/>
      <c r="J18" s="168" t="s">
        <v>22</v>
      </c>
      <c r="K18" s="168"/>
      <c r="L18" s="168"/>
      <c r="M18" s="168"/>
    </row>
    <row r="19" spans="1:13" ht="18.600000000000001" customHeight="1" x14ac:dyDescent="0.3">
      <c r="F19" s="162" t="s">
        <v>23</v>
      </c>
      <c r="G19" s="162"/>
      <c r="H19" s="162"/>
      <c r="I19" s="162"/>
      <c r="J19" s="162"/>
      <c r="K19" s="162"/>
      <c r="L19" s="162"/>
      <c r="M19" s="162"/>
    </row>
    <row r="20" spans="1:13" ht="18.600000000000001" customHeight="1" x14ac:dyDescent="0.3">
      <c r="F20" s="169" t="s">
        <v>262</v>
      </c>
      <c r="G20" s="170"/>
      <c r="H20" s="170"/>
      <c r="I20" s="170"/>
      <c r="J20" s="170"/>
      <c r="K20" s="170"/>
      <c r="L20" s="170"/>
      <c r="M20" s="171"/>
    </row>
    <row r="21" spans="1:13" ht="18.600000000000001" customHeight="1" x14ac:dyDescent="0.3">
      <c r="F21" s="172"/>
      <c r="G21" s="173"/>
      <c r="H21" s="173"/>
      <c r="I21" s="173"/>
      <c r="J21" s="173"/>
      <c r="K21" s="173"/>
      <c r="L21" s="173"/>
      <c r="M21" s="174"/>
    </row>
    <row r="22" spans="1:13" ht="30.75" customHeight="1" x14ac:dyDescent="0.3">
      <c r="F22" s="172"/>
      <c r="G22" s="173"/>
      <c r="H22" s="173"/>
      <c r="I22" s="173"/>
      <c r="J22" s="173"/>
      <c r="K22" s="173"/>
      <c r="L22" s="173"/>
      <c r="M22" s="174"/>
    </row>
    <row r="23" spans="1:13" ht="18.600000000000001" customHeight="1" x14ac:dyDescent="0.3">
      <c r="F23" s="162" t="s">
        <v>24</v>
      </c>
      <c r="G23" s="162"/>
      <c r="H23" s="162"/>
      <c r="I23" s="162"/>
      <c r="J23" s="162"/>
      <c r="K23" s="162"/>
      <c r="L23" s="162"/>
      <c r="M23" s="162"/>
    </row>
    <row r="24" spans="1:13" ht="18.600000000000001" customHeight="1" x14ac:dyDescent="0.3">
      <c r="F24" s="159" t="s">
        <v>25</v>
      </c>
      <c r="G24" s="159"/>
      <c r="H24" s="159"/>
      <c r="I24" s="159"/>
      <c r="J24" s="159"/>
      <c r="K24" s="159"/>
      <c r="L24" s="159"/>
      <c r="M24" s="159"/>
    </row>
    <row r="25" spans="1:13" ht="18.600000000000001" customHeight="1" x14ac:dyDescent="0.3">
      <c r="F25" s="162" t="s">
        <v>263</v>
      </c>
      <c r="G25" s="162"/>
      <c r="H25" s="162"/>
      <c r="I25" s="162"/>
      <c r="J25" s="162"/>
      <c r="K25" s="162"/>
      <c r="L25" s="162"/>
      <c r="M25" s="162"/>
    </row>
    <row r="26" spans="1:13" ht="18.600000000000001" customHeight="1" x14ac:dyDescent="0.3">
      <c r="F26" s="159" t="s">
        <v>264</v>
      </c>
      <c r="G26" s="159"/>
      <c r="H26" s="159"/>
      <c r="I26" s="159"/>
      <c r="J26" s="159"/>
      <c r="K26" s="159"/>
      <c r="L26" s="159"/>
      <c r="M26" s="159"/>
    </row>
    <row r="27" spans="1:13" ht="18.600000000000001" customHeight="1" x14ac:dyDescent="0.3">
      <c r="F27" s="162" t="s">
        <v>26</v>
      </c>
      <c r="G27" s="162"/>
      <c r="H27" s="162"/>
      <c r="I27" s="162"/>
      <c r="J27" s="162"/>
      <c r="K27" s="162"/>
      <c r="L27" s="162"/>
      <c r="M27" s="162"/>
    </row>
    <row r="28" spans="1:13" ht="18.600000000000001" customHeight="1" x14ac:dyDescent="0.3">
      <c r="F28" s="159" t="s">
        <v>27</v>
      </c>
      <c r="G28" s="159"/>
      <c r="H28" s="159"/>
      <c r="I28" s="159"/>
      <c r="J28" s="159"/>
      <c r="K28" s="159"/>
      <c r="L28" s="159"/>
      <c r="M28" s="159"/>
    </row>
    <row r="29" spans="1:13" ht="18.600000000000001" customHeight="1" x14ac:dyDescent="0.3">
      <c r="F29" s="162" t="s">
        <v>28</v>
      </c>
      <c r="G29" s="162"/>
      <c r="H29" s="162"/>
      <c r="I29" s="162"/>
      <c r="J29" s="162" t="s">
        <v>29</v>
      </c>
      <c r="K29" s="162"/>
      <c r="L29" s="162"/>
      <c r="M29" s="162"/>
    </row>
    <row r="30" spans="1:13" ht="18.75" customHeight="1" x14ac:dyDescent="0.3">
      <c r="A30" s="154" t="s">
        <v>30</v>
      </c>
      <c r="F30" s="168" t="s">
        <v>31</v>
      </c>
      <c r="G30" s="168"/>
      <c r="H30" s="168"/>
      <c r="I30" s="168"/>
      <c r="J30" s="168" t="s">
        <v>32</v>
      </c>
      <c r="K30" s="168"/>
      <c r="L30" s="168"/>
      <c r="M30" s="168"/>
    </row>
    <row r="31" spans="1:13" ht="33.75" customHeight="1" x14ac:dyDescent="0.3">
      <c r="F31" s="168"/>
      <c r="G31" s="168"/>
      <c r="H31" s="168"/>
      <c r="I31" s="168"/>
      <c r="J31" s="168"/>
      <c r="K31" s="168"/>
      <c r="L31" s="168"/>
      <c r="M31" s="168"/>
    </row>
    <row r="32" spans="1:13" x14ac:dyDescent="0.3">
      <c r="A32" s="155" t="s">
        <v>33</v>
      </c>
    </row>
    <row r="33" spans="6:13" ht="14.4" customHeight="1" x14ac:dyDescent="0.3">
      <c r="F33" s="175" t="s">
        <v>265</v>
      </c>
      <c r="G33" s="175"/>
      <c r="H33" s="175"/>
      <c r="I33" s="175"/>
      <c r="J33" s="175"/>
      <c r="K33" s="175"/>
      <c r="L33" s="175"/>
      <c r="M33" s="175"/>
    </row>
    <row r="34" spans="6:13" x14ac:dyDescent="0.3">
      <c r="F34" s="175"/>
      <c r="G34" s="175"/>
      <c r="H34" s="175"/>
      <c r="I34" s="175"/>
      <c r="J34" s="175"/>
      <c r="K34" s="175"/>
      <c r="L34" s="175"/>
      <c r="M34" s="175"/>
    </row>
    <row r="35" spans="6:13" x14ac:dyDescent="0.3">
      <c r="F35" s="156"/>
    </row>
  </sheetData>
  <mergeCells count="33">
    <mergeCell ref="F29:I29"/>
    <mergeCell ref="J29:M29"/>
    <mergeCell ref="F30:I31"/>
    <mergeCell ref="J30:M31"/>
    <mergeCell ref="F33:M34"/>
    <mergeCell ref="F28:M28"/>
    <mergeCell ref="F17:I17"/>
    <mergeCell ref="J17:M17"/>
    <mergeCell ref="F18:I18"/>
    <mergeCell ref="J18:M18"/>
    <mergeCell ref="F19:M19"/>
    <mergeCell ref="F20:M22"/>
    <mergeCell ref="F23:M23"/>
    <mergeCell ref="F24:M24"/>
    <mergeCell ref="F25:M25"/>
    <mergeCell ref="F26:M26"/>
    <mergeCell ref="F27:M27"/>
    <mergeCell ref="F15:G15"/>
    <mergeCell ref="H15:I15"/>
    <mergeCell ref="J15:K15"/>
    <mergeCell ref="L15:M15"/>
    <mergeCell ref="F16:G16"/>
    <mergeCell ref="H16:I16"/>
    <mergeCell ref="J16:K16"/>
    <mergeCell ref="L16:M16"/>
    <mergeCell ref="F14:I14"/>
    <mergeCell ref="J14:K14"/>
    <mergeCell ref="L14:M14"/>
    <mergeCell ref="F5:M8"/>
    <mergeCell ref="F10:M11"/>
    <mergeCell ref="F13:I13"/>
    <mergeCell ref="J13:K13"/>
    <mergeCell ref="L13:M13"/>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9"/>
  <sheetViews>
    <sheetView zoomScale="90" zoomScaleNormal="90" workbookViewId="0">
      <selection activeCell="C15" sqref="C15"/>
    </sheetView>
  </sheetViews>
  <sheetFormatPr baseColWidth="10" defaultColWidth="9.109375" defaultRowHeight="14.4" x14ac:dyDescent="0.3"/>
  <cols>
    <col min="1" max="1" width="22.6640625" style="66" customWidth="1"/>
    <col min="2" max="2" width="20.6640625" style="66" customWidth="1"/>
    <col min="3" max="5" width="10.6640625" style="66" customWidth="1"/>
    <col min="6" max="16384" width="9.109375" style="66"/>
  </cols>
  <sheetData>
    <row r="1" spans="1:5" x14ac:dyDescent="0.3">
      <c r="A1" s="65" t="s">
        <v>34</v>
      </c>
    </row>
    <row r="3" spans="1:5" x14ac:dyDescent="0.3">
      <c r="A3" s="66" t="s">
        <v>35</v>
      </c>
      <c r="B3" s="67"/>
      <c r="C3" s="67"/>
      <c r="D3" s="67"/>
      <c r="E3" s="67"/>
    </row>
    <row r="5" spans="1:5" x14ac:dyDescent="0.3">
      <c r="A5" s="66" t="s">
        <v>36</v>
      </c>
      <c r="B5" s="67"/>
      <c r="C5" s="67"/>
      <c r="D5" s="67"/>
      <c r="E5" s="67"/>
    </row>
    <row r="7" spans="1:5" x14ac:dyDescent="0.3">
      <c r="A7" s="66" t="s">
        <v>37</v>
      </c>
      <c r="B7" s="67"/>
    </row>
    <row r="10" spans="1:5" x14ac:dyDescent="0.3">
      <c r="A10" s="66" t="s">
        <v>38</v>
      </c>
      <c r="B10" s="66" t="s">
        <v>39</v>
      </c>
      <c r="C10" s="67"/>
    </row>
    <row r="11" spans="1:5" x14ac:dyDescent="0.3">
      <c r="B11" s="66" t="s">
        <v>40</v>
      </c>
      <c r="C11" s="68"/>
    </row>
    <row r="12" spans="1:5" x14ac:dyDescent="0.3">
      <c r="B12" s="66" t="s">
        <v>41</v>
      </c>
      <c r="C12" s="68"/>
    </row>
    <row r="14" spans="1:5" x14ac:dyDescent="0.3">
      <c r="A14" s="66" t="s">
        <v>42</v>
      </c>
      <c r="C14" s="157" t="s">
        <v>43</v>
      </c>
      <c r="D14" s="157" t="s">
        <v>44</v>
      </c>
      <c r="E14" s="157" t="s">
        <v>45</v>
      </c>
    </row>
    <row r="15" spans="1:5" s="110" customFormat="1" ht="24.9" customHeight="1" x14ac:dyDescent="0.3">
      <c r="B15" s="110" t="s">
        <v>46</v>
      </c>
      <c r="C15" s="112"/>
      <c r="D15" s="111"/>
      <c r="E15" s="111"/>
    </row>
    <row r="16" spans="1:5" s="110" customFormat="1" ht="24.9" customHeight="1" x14ac:dyDescent="0.3">
      <c r="B16" s="110" t="s">
        <v>47</v>
      </c>
      <c r="C16" s="112"/>
      <c r="D16" s="111"/>
      <c r="E16" s="111"/>
    </row>
    <row r="19" spans="1:5" x14ac:dyDescent="0.3">
      <c r="A19" s="66" t="s">
        <v>48</v>
      </c>
      <c r="B19" s="158" t="s">
        <v>49</v>
      </c>
      <c r="C19" s="157" t="s">
        <v>43</v>
      </c>
      <c r="D19" s="157" t="s">
        <v>44</v>
      </c>
      <c r="E19" s="157" t="s">
        <v>45</v>
      </c>
    </row>
    <row r="20" spans="1:5" s="110" customFormat="1" ht="24.9" customHeight="1" x14ac:dyDescent="0.3">
      <c r="B20" s="111" t="s">
        <v>266</v>
      </c>
      <c r="C20" s="112"/>
      <c r="D20" s="111"/>
      <c r="E20" s="111"/>
    </row>
    <row r="21" spans="1:5" s="110" customFormat="1" ht="24.9" customHeight="1" x14ac:dyDescent="0.3">
      <c r="B21" s="111" t="s">
        <v>50</v>
      </c>
      <c r="C21" s="112"/>
      <c r="D21" s="111"/>
      <c r="E21" s="111"/>
    </row>
    <row r="22" spans="1:5" s="110" customFormat="1" ht="24.9" customHeight="1" x14ac:dyDescent="0.3">
      <c r="B22" s="111" t="s">
        <v>51</v>
      </c>
      <c r="C22" s="112"/>
      <c r="D22" s="111"/>
      <c r="E22" s="111"/>
    </row>
    <row r="23" spans="1:5" s="110" customFormat="1" ht="24.9" customHeight="1" x14ac:dyDescent="0.3">
      <c r="B23" s="111" t="s">
        <v>52</v>
      </c>
      <c r="C23" s="112"/>
      <c r="D23" s="111"/>
      <c r="E23" s="111"/>
    </row>
    <row r="25" spans="1:5" x14ac:dyDescent="0.3">
      <c r="A25" s="66" t="s">
        <v>53</v>
      </c>
      <c r="C25" s="67"/>
      <c r="D25" s="67"/>
    </row>
    <row r="27" spans="1:5" x14ac:dyDescent="0.3">
      <c r="A27" s="66" t="s">
        <v>54</v>
      </c>
      <c r="C27" s="67"/>
      <c r="D27" s="67"/>
    </row>
    <row r="29" spans="1:5" x14ac:dyDescent="0.3">
      <c r="A29" s="66" t="s">
        <v>55</v>
      </c>
      <c r="C29" s="67"/>
      <c r="D29" s="67"/>
    </row>
    <row r="31" spans="1:5" x14ac:dyDescent="0.3">
      <c r="A31" s="66" t="s">
        <v>56</v>
      </c>
      <c r="C31" s="67"/>
      <c r="D31" s="67"/>
    </row>
    <row r="33" spans="1:10" x14ac:dyDescent="0.3">
      <c r="A33" s="66" t="s">
        <v>57</v>
      </c>
      <c r="C33" s="67"/>
    </row>
    <row r="35" spans="1:10" x14ac:dyDescent="0.3">
      <c r="A35" s="66" t="s">
        <v>58</v>
      </c>
      <c r="C35" s="67"/>
    </row>
    <row r="37" spans="1:10" x14ac:dyDescent="0.3">
      <c r="E37" s="69"/>
      <c r="F37" s="70"/>
      <c r="G37" s="70"/>
      <c r="H37" s="70"/>
      <c r="I37" s="70"/>
      <c r="J37" s="58"/>
    </row>
    <row r="38" spans="1:10" x14ac:dyDescent="0.3">
      <c r="E38" s="69"/>
      <c r="F38" s="70"/>
      <c r="G38" s="70"/>
      <c r="H38" s="70"/>
      <c r="I38" s="70"/>
      <c r="J38" s="58"/>
    </row>
    <row r="39" spans="1:10" x14ac:dyDescent="0.3">
      <c r="E39" s="69"/>
      <c r="F39" s="70"/>
      <c r="G39" s="70"/>
      <c r="H39" s="70"/>
      <c r="I39" s="70"/>
      <c r="J39" s="58"/>
    </row>
    <row r="40" spans="1:10" x14ac:dyDescent="0.3">
      <c r="A40" s="71"/>
      <c r="B40" s="71"/>
      <c r="C40" s="71"/>
      <c r="E40" s="69"/>
      <c r="F40" s="70"/>
      <c r="G40" s="70"/>
      <c r="H40" s="70"/>
      <c r="I40" s="70"/>
      <c r="J40" s="58"/>
    </row>
    <row r="41" spans="1:10" x14ac:dyDescent="0.3">
      <c r="A41" s="71"/>
      <c r="B41" s="71"/>
      <c r="C41" s="71"/>
      <c r="E41" s="69"/>
      <c r="F41" s="70"/>
      <c r="G41" s="70"/>
      <c r="H41" s="70"/>
      <c r="I41" s="70"/>
      <c r="J41" s="58"/>
    </row>
    <row r="42" spans="1:10" x14ac:dyDescent="0.3">
      <c r="A42" s="71"/>
      <c r="B42" s="71"/>
      <c r="C42" s="71"/>
      <c r="E42" s="70"/>
      <c r="F42" s="70"/>
      <c r="G42" s="70"/>
      <c r="H42" s="70"/>
      <c r="I42" s="70"/>
      <c r="J42" s="58"/>
    </row>
    <row r="43" spans="1:10" x14ac:dyDescent="0.3">
      <c r="A43" s="71"/>
      <c r="B43" s="71"/>
      <c r="C43" s="71"/>
      <c r="E43" s="70"/>
      <c r="F43" s="70"/>
      <c r="G43" s="70"/>
      <c r="H43" s="70"/>
      <c r="I43" s="70"/>
      <c r="J43" s="58"/>
    </row>
    <row r="44" spans="1:10" x14ac:dyDescent="0.3">
      <c r="A44" s="71"/>
      <c r="B44" s="71"/>
      <c r="C44" s="71"/>
      <c r="E44" s="70"/>
      <c r="F44" s="70"/>
      <c r="G44" s="70"/>
      <c r="H44" s="70"/>
      <c r="I44" s="70"/>
      <c r="J44" s="58"/>
    </row>
    <row r="45" spans="1:10" x14ac:dyDescent="0.3">
      <c r="A45" s="71"/>
      <c r="B45" s="71"/>
      <c r="C45" s="71"/>
      <c r="E45" s="70"/>
      <c r="F45" s="70"/>
      <c r="G45" s="70"/>
      <c r="H45" s="70"/>
      <c r="I45" s="70"/>
      <c r="J45" s="58"/>
    </row>
    <row r="46" spans="1:10" x14ac:dyDescent="0.3">
      <c r="A46" s="71"/>
      <c r="B46" s="71"/>
      <c r="C46" s="71"/>
      <c r="E46" s="70"/>
      <c r="F46" s="70"/>
      <c r="G46" s="70"/>
      <c r="H46" s="70"/>
      <c r="I46" s="70"/>
      <c r="J46" s="58"/>
    </row>
    <row r="47" spans="1:10" x14ac:dyDescent="0.3">
      <c r="A47" s="71"/>
      <c r="B47" s="71"/>
      <c r="C47" s="71"/>
    </row>
    <row r="48" spans="1:10" x14ac:dyDescent="0.3">
      <c r="A48" s="72"/>
      <c r="B48" s="72"/>
      <c r="C48" s="72"/>
    </row>
    <row r="49" spans="1:3" x14ac:dyDescent="0.3">
      <c r="A49" s="72"/>
      <c r="B49" s="72"/>
      <c r="C49" s="72"/>
    </row>
  </sheetData>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35"/>
  <sheetViews>
    <sheetView tabSelected="1" topLeftCell="A5" zoomScale="120" zoomScaleNormal="120" zoomScaleSheetLayoutView="80" workbookViewId="0">
      <selection activeCell="B6" sqref="B6:K6"/>
    </sheetView>
  </sheetViews>
  <sheetFormatPr baseColWidth="10" defaultColWidth="9.109375" defaultRowHeight="14.4" x14ac:dyDescent="0.3"/>
  <cols>
    <col min="1" max="1" width="4" customWidth="1"/>
    <col min="4" max="4" width="9.6640625" customWidth="1"/>
    <col min="5" max="6" width="9.109375" style="15"/>
    <col min="10" max="10" width="10.109375" customWidth="1"/>
  </cols>
  <sheetData>
    <row r="1" spans="1:13" x14ac:dyDescent="0.3">
      <c r="A1" s="39" t="s">
        <v>59</v>
      </c>
    </row>
    <row r="3" spans="1:13" x14ac:dyDescent="0.3">
      <c r="A3" s="45" t="s">
        <v>60</v>
      </c>
    </row>
    <row r="4" spans="1:13" s="43" customFormat="1" ht="45" customHeight="1" x14ac:dyDescent="0.3">
      <c r="A4" s="44">
        <v>0</v>
      </c>
      <c r="B4" s="176" t="s">
        <v>61</v>
      </c>
      <c r="C4" s="176"/>
      <c r="D4" s="176"/>
      <c r="E4" s="176"/>
      <c r="F4" s="176"/>
      <c r="G4" s="176"/>
      <c r="H4" s="176"/>
      <c r="I4" s="176"/>
      <c r="J4" s="176"/>
      <c r="K4" s="176"/>
      <c r="L4" s="113"/>
      <c r="M4" s="113"/>
    </row>
    <row r="5" spans="1:13" s="43" customFormat="1" ht="45" customHeight="1" x14ac:dyDescent="0.3">
      <c r="A5" s="44">
        <v>1</v>
      </c>
      <c r="B5" s="177" t="s">
        <v>62</v>
      </c>
      <c r="C5" s="177"/>
      <c r="D5" s="177"/>
      <c r="E5" s="177"/>
      <c r="F5" s="177"/>
      <c r="G5" s="177"/>
      <c r="H5" s="177"/>
      <c r="I5" s="177"/>
      <c r="J5" s="177"/>
      <c r="K5" s="177"/>
      <c r="L5" s="42"/>
      <c r="M5" s="42"/>
    </row>
    <row r="6" spans="1:13" s="43" customFormat="1" ht="45" customHeight="1" x14ac:dyDescent="0.3">
      <c r="A6" s="44">
        <v>2</v>
      </c>
      <c r="B6" s="178" t="s">
        <v>63</v>
      </c>
      <c r="C6" s="178"/>
      <c r="D6" s="178"/>
      <c r="E6" s="178"/>
      <c r="F6" s="178"/>
      <c r="G6" s="178"/>
      <c r="H6" s="178"/>
      <c r="I6" s="178"/>
      <c r="J6" s="178"/>
      <c r="K6" s="178"/>
      <c r="L6" s="42"/>
      <c r="M6" s="42"/>
    </row>
    <row r="7" spans="1:13" s="43" customFormat="1" ht="52.5" customHeight="1" x14ac:dyDescent="0.3">
      <c r="A7" s="44">
        <v>3</v>
      </c>
      <c r="B7" s="179" t="s">
        <v>64</v>
      </c>
      <c r="C7" s="179"/>
      <c r="D7" s="179"/>
      <c r="E7" s="179"/>
      <c r="F7" s="179"/>
      <c r="G7" s="179"/>
      <c r="H7" s="179"/>
      <c r="I7" s="179"/>
      <c r="J7" s="179"/>
      <c r="K7" s="179"/>
      <c r="L7" s="42"/>
      <c r="M7" s="42"/>
    </row>
    <row r="8" spans="1:13" ht="17.25" customHeight="1" x14ac:dyDescent="0.3">
      <c r="A8" s="1" t="s">
        <v>65</v>
      </c>
      <c r="B8" s="1"/>
      <c r="L8" s="118"/>
    </row>
    <row r="9" spans="1:13" ht="15" thickBot="1" x14ac:dyDescent="0.35">
      <c r="A9" s="42"/>
      <c r="B9" s="42"/>
      <c r="C9" s="42"/>
    </row>
    <row r="10" spans="1:13" x14ac:dyDescent="0.3">
      <c r="D10" s="119" t="s">
        <v>66</v>
      </c>
      <c r="E10" s="117" t="s">
        <v>67</v>
      </c>
      <c r="F10" s="115"/>
      <c r="G10" s="115"/>
      <c r="H10" s="115"/>
      <c r="I10" s="115"/>
      <c r="J10" s="114" t="s">
        <v>68</v>
      </c>
      <c r="K10" s="121" t="s">
        <v>69</v>
      </c>
      <c r="M10" s="38" t="e">
        <f>IF(K11=1,#REF!,IF(K11=2,#REF!,IF(K11=3,#REF!,#REF!)))</f>
        <v>#REF!</v>
      </c>
    </row>
    <row r="11" spans="1:13" x14ac:dyDescent="0.3">
      <c r="D11" s="114">
        <f>Organisation!J2</f>
        <v>5</v>
      </c>
      <c r="E11" s="116" t="str">
        <f>Organisation!A3</f>
        <v>A. Structure de gestion et Organisation du groupe</v>
      </c>
      <c r="F11" s="117"/>
      <c r="G11" s="117"/>
      <c r="H11" s="117"/>
      <c r="I11" s="117"/>
      <c r="J11" s="129">
        <f>Organisation!M3</f>
        <v>0</v>
      </c>
      <c r="K11" s="145">
        <f t="shared" ref="K11:K17" si="0">IF(J11&gt;=0.6, IF(J11&gt;=1.6,IF(J11&gt;=2.6,3,2),1),0)</f>
        <v>0</v>
      </c>
      <c r="L11">
        <v>2.5</v>
      </c>
      <c r="M11">
        <v>1.5</v>
      </c>
    </row>
    <row r="12" spans="1:13" x14ac:dyDescent="0.3">
      <c r="D12" s="114">
        <f>'Gestion stratégique'!J2</f>
        <v>5</v>
      </c>
      <c r="E12" s="116" t="str">
        <f>'Gestion stratégique'!A3</f>
        <v>B. Gestion stratégique</v>
      </c>
      <c r="F12" s="117"/>
      <c r="G12" s="117"/>
      <c r="H12" s="117"/>
      <c r="I12" s="117"/>
      <c r="J12" s="129" t="e">
        <f>'Gestion stratégique'!M3</f>
        <v>#DIV/0!</v>
      </c>
      <c r="K12" s="145" t="e">
        <f t="shared" si="0"/>
        <v>#DIV/0!</v>
      </c>
      <c r="L12">
        <v>2.5</v>
      </c>
      <c r="M12">
        <v>1.5</v>
      </c>
    </row>
    <row r="13" spans="1:13" x14ac:dyDescent="0.3">
      <c r="D13" s="114">
        <f>Financier!J2</f>
        <v>5</v>
      </c>
      <c r="E13" s="116" t="str">
        <f>Financier!A3</f>
        <v>C. Gestion financière</v>
      </c>
      <c r="F13" s="117"/>
      <c r="G13" s="117"/>
      <c r="H13" s="117"/>
      <c r="I13" s="117"/>
      <c r="J13" s="129" t="e">
        <f>Financier!M3</f>
        <v>#DIV/0!</v>
      </c>
      <c r="K13" s="145" t="e">
        <f t="shared" si="0"/>
        <v>#DIV/0!</v>
      </c>
      <c r="L13">
        <v>2.5</v>
      </c>
      <c r="M13">
        <v>1.5</v>
      </c>
    </row>
    <row r="14" spans="1:13" x14ac:dyDescent="0.3">
      <c r="D14" s="114">
        <f>Sociétariat!J2</f>
        <v>5</v>
      </c>
      <c r="E14" s="116" t="str">
        <f>Sociétariat!A3</f>
        <v>D. Implication des membres et planification des adhésions</v>
      </c>
      <c r="F14" s="117"/>
      <c r="G14" s="117"/>
      <c r="H14" s="117"/>
      <c r="I14" s="117"/>
      <c r="J14" s="129" t="e">
        <f>Sociétariat!M3</f>
        <v>#DIV/0!</v>
      </c>
      <c r="K14" s="145" t="e">
        <f t="shared" si="0"/>
        <v>#DIV/0!</v>
      </c>
      <c r="L14">
        <v>2.5</v>
      </c>
      <c r="M14">
        <v>1.5</v>
      </c>
    </row>
    <row r="15" spans="1:13" x14ac:dyDescent="0.3">
      <c r="D15" s="114">
        <f>'Formation et services'!J2</f>
        <v>5</v>
      </c>
      <c r="E15" s="117" t="str">
        <f>'Formation et services'!A3</f>
        <v>E. Formation des membres et mise à disposition de services</v>
      </c>
      <c r="F15" s="117"/>
      <c r="G15" s="117"/>
      <c r="H15" s="117"/>
      <c r="I15" s="117"/>
      <c r="J15" s="129" t="e">
        <f>'Formation et services'!M3</f>
        <v>#DIV/0!</v>
      </c>
      <c r="K15" s="145" t="e">
        <f t="shared" si="0"/>
        <v>#DIV/0!</v>
      </c>
      <c r="L15">
        <v>2.5</v>
      </c>
      <c r="M15">
        <v>1.5</v>
      </c>
    </row>
    <row r="16" spans="1:13" x14ac:dyDescent="0.3">
      <c r="D16" s="114">
        <f>'Ventes et marketing'!J2</f>
        <v>5</v>
      </c>
      <c r="E16" s="117" t="str">
        <f>'Ventes et marketing'!A3</f>
        <v>F. Ventes et marketing</v>
      </c>
      <c r="F16" s="117"/>
      <c r="G16" s="117"/>
      <c r="H16" s="117"/>
      <c r="I16" s="117"/>
      <c r="J16" s="129" t="e">
        <f>'Ventes et marketing'!M3</f>
        <v>#DIV/0!</v>
      </c>
      <c r="K16" s="145" t="e">
        <f t="shared" si="0"/>
        <v>#DIV/0!</v>
      </c>
      <c r="L16">
        <v>2.5</v>
      </c>
      <c r="M16">
        <v>1.5</v>
      </c>
    </row>
    <row r="17" spans="1:13" ht="15" thickBot="1" x14ac:dyDescent="0.35">
      <c r="D17" s="122">
        <f>SGI!J2</f>
        <v>6</v>
      </c>
      <c r="E17" s="123" t="str">
        <f>SGI!A3</f>
        <v>G. Système de Gestion Interne</v>
      </c>
      <c r="F17" s="123"/>
      <c r="G17" s="123"/>
      <c r="H17" s="123"/>
      <c r="I17" s="123"/>
      <c r="J17" s="130" t="e">
        <f>SGI!M3</f>
        <v>#DIV/0!</v>
      </c>
      <c r="K17" s="146" t="e">
        <f t="shared" si="0"/>
        <v>#DIV/0!</v>
      </c>
      <c r="L17">
        <v>2.5</v>
      </c>
      <c r="M17">
        <v>1.5</v>
      </c>
    </row>
    <row r="18" spans="1:13" ht="15" thickTop="1" x14ac:dyDescent="0.3">
      <c r="D18" s="124"/>
      <c r="E18" s="125"/>
      <c r="F18" s="125"/>
      <c r="G18" s="124"/>
      <c r="H18" s="124"/>
      <c r="I18" s="124"/>
      <c r="J18" s="124"/>
      <c r="K18" s="124"/>
    </row>
    <row r="19" spans="1:13" x14ac:dyDescent="0.3">
      <c r="H19" s="134"/>
      <c r="I19" s="134"/>
    </row>
    <row r="20" spans="1:13" x14ac:dyDescent="0.3">
      <c r="H20" s="133"/>
      <c r="I20" s="133"/>
      <c r="J20" s="132"/>
    </row>
    <row r="21" spans="1:13" x14ac:dyDescent="0.3">
      <c r="A21" s="28"/>
      <c r="H21" s="133"/>
      <c r="I21" s="133"/>
      <c r="J21" s="132"/>
    </row>
    <row r="22" spans="1:13" x14ac:dyDescent="0.3">
      <c r="A22" s="28"/>
      <c r="H22" s="133"/>
      <c r="I22" s="124"/>
      <c r="J22" s="132"/>
    </row>
    <row r="23" spans="1:13" x14ac:dyDescent="0.3">
      <c r="H23" s="133"/>
      <c r="I23" s="133"/>
      <c r="J23" s="132"/>
    </row>
    <row r="24" spans="1:13" x14ac:dyDescent="0.3">
      <c r="H24" s="133"/>
      <c r="I24" s="133"/>
      <c r="J24" s="132"/>
    </row>
    <row r="25" spans="1:13" x14ac:dyDescent="0.3">
      <c r="H25" s="133"/>
      <c r="I25" s="133"/>
      <c r="J25" s="132"/>
    </row>
    <row r="26" spans="1:13" x14ac:dyDescent="0.3">
      <c r="H26" s="133"/>
      <c r="I26" s="133"/>
      <c r="J26" s="132"/>
    </row>
    <row r="27" spans="1:13" x14ac:dyDescent="0.3">
      <c r="H27" s="133"/>
      <c r="I27" s="133"/>
      <c r="J27" s="132"/>
    </row>
    <row r="28" spans="1:13" x14ac:dyDescent="0.3">
      <c r="H28" s="133"/>
      <c r="I28" s="133"/>
      <c r="J28" s="132"/>
    </row>
    <row r="29" spans="1:13" x14ac:dyDescent="0.3">
      <c r="H29" s="133"/>
      <c r="I29" s="133"/>
      <c r="J29" s="132"/>
    </row>
    <row r="30" spans="1:13" x14ac:dyDescent="0.3">
      <c r="H30" s="133"/>
      <c r="I30" s="133"/>
      <c r="J30" s="132"/>
    </row>
    <row r="31" spans="1:13" x14ac:dyDescent="0.3">
      <c r="H31" s="133"/>
      <c r="I31" s="133"/>
      <c r="J31" s="132"/>
    </row>
    <row r="32" spans="1:13" x14ac:dyDescent="0.3">
      <c r="H32" s="133"/>
      <c r="I32" s="133"/>
      <c r="J32" s="132"/>
    </row>
    <row r="33" spans="8:10" x14ac:dyDescent="0.3">
      <c r="H33" s="133"/>
      <c r="I33" s="133"/>
      <c r="J33" s="132"/>
    </row>
    <row r="34" spans="8:10" x14ac:dyDescent="0.3">
      <c r="H34" s="133"/>
      <c r="I34" s="133"/>
      <c r="J34" s="132"/>
    </row>
    <row r="35" spans="8:10" x14ac:dyDescent="0.3">
      <c r="H35" s="131"/>
      <c r="I35" s="131"/>
      <c r="J35" s="126"/>
    </row>
  </sheetData>
  <mergeCells count="4">
    <mergeCell ref="B4:K4"/>
    <mergeCell ref="B5:K5"/>
    <mergeCell ref="B6:K6"/>
    <mergeCell ref="B7:K7"/>
  </mergeCells>
  <conditionalFormatting sqref="M10">
    <cfRule type="cellIs" dxfId="3" priority="5" operator="equal">
      <formula>#REF!</formula>
    </cfRule>
    <cfRule type="cellIs" dxfId="2" priority="9" operator="equal">
      <formula>#REF!</formula>
    </cfRule>
    <cfRule type="cellIs" dxfId="1" priority="12" operator="equal">
      <formula>#REF!</formula>
    </cfRule>
    <cfRule type="cellIs" dxfId="0" priority="13" operator="equal">
      <formula>#REF!</formula>
    </cfRule>
  </conditionalFormatting>
  <printOptions horizontalCentered="1"/>
  <pageMargins left="0.11811023622047245" right="0.11811023622047245" top="0.74803149606299213" bottom="0.74803149606299213" header="0.31496062992125984" footer="0.31496062992125984"/>
  <pageSetup paperSize="9" scale="77"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B2CCA0"/>
  </sheetPr>
  <dimension ref="A1:N14"/>
  <sheetViews>
    <sheetView zoomScale="90" zoomScaleNormal="90" workbookViewId="0">
      <selection activeCell="M2" sqref="M2"/>
    </sheetView>
  </sheetViews>
  <sheetFormatPr baseColWidth="10" defaultColWidth="9.109375" defaultRowHeight="12" x14ac:dyDescent="0.25"/>
  <cols>
    <col min="1" max="1" width="3.33203125" style="84" customWidth="1"/>
    <col min="2" max="2" width="3.33203125" style="82" customWidth="1"/>
    <col min="3" max="3" width="25.6640625" style="83" customWidth="1"/>
    <col min="4" max="5" width="35.6640625" style="84" customWidth="1"/>
    <col min="6" max="7" width="38.6640625" style="84" customWidth="1"/>
    <col min="8" max="9" width="3.33203125" style="84" customWidth="1"/>
    <col min="10" max="11" width="40.6640625" style="85" customWidth="1"/>
    <col min="12" max="12" width="9.6640625" style="60" customWidth="1"/>
    <col min="13" max="13" width="9.6640625" style="61" customWidth="1"/>
    <col min="14" max="14" width="9.109375" style="84" customWidth="1"/>
    <col min="15" max="16384" width="9.109375" style="84"/>
  </cols>
  <sheetData>
    <row r="1" spans="1:14" s="74" customFormat="1" ht="15" customHeight="1" x14ac:dyDescent="0.3">
      <c r="A1" s="195" t="s">
        <v>70</v>
      </c>
      <c r="B1" s="195"/>
      <c r="C1" s="195"/>
      <c r="D1" s="196" t="s">
        <v>71</v>
      </c>
      <c r="E1" s="198" t="s">
        <v>72</v>
      </c>
      <c r="F1" s="200" t="s">
        <v>73</v>
      </c>
      <c r="G1" s="202" t="s">
        <v>74</v>
      </c>
      <c r="H1" s="206"/>
      <c r="I1" s="207"/>
      <c r="J1" s="73" t="s">
        <v>75</v>
      </c>
      <c r="K1" s="194"/>
      <c r="L1" s="54"/>
      <c r="M1" s="55"/>
    </row>
    <row r="2" spans="1:14" s="41" customFormat="1" ht="15" customHeight="1" x14ac:dyDescent="0.3">
      <c r="A2" s="195"/>
      <c r="B2" s="195"/>
      <c r="C2" s="195"/>
      <c r="D2" s="197"/>
      <c r="E2" s="199"/>
      <c r="F2" s="201"/>
      <c r="G2" s="203"/>
      <c r="H2" s="208"/>
      <c r="I2" s="209"/>
      <c r="J2" s="75">
        <f>COUNTA(L4:L13)</f>
        <v>5</v>
      </c>
      <c r="K2" s="194"/>
      <c r="M2" s="147">
        <f>COUNTIF(L5:L13,0)</f>
        <v>4</v>
      </c>
    </row>
    <row r="3" spans="1:14" s="41" customFormat="1" ht="24.9" customHeight="1" x14ac:dyDescent="0.3">
      <c r="A3" s="76" t="s">
        <v>76</v>
      </c>
      <c r="B3" s="77"/>
      <c r="C3" s="77"/>
      <c r="D3" s="78"/>
      <c r="E3" s="78"/>
      <c r="F3" s="78"/>
      <c r="G3" s="79"/>
      <c r="H3" s="210"/>
      <c r="I3" s="211"/>
      <c r="J3" s="80" t="s">
        <v>77</v>
      </c>
      <c r="K3" s="80" t="s">
        <v>78</v>
      </c>
      <c r="L3" s="56" t="s">
        <v>79</v>
      </c>
      <c r="M3" s="128">
        <f>SUM(M4:M13)/(5-M2)</f>
        <v>0</v>
      </c>
      <c r="N3" s="48"/>
    </row>
    <row r="4" spans="1:14" s="41" customFormat="1" ht="71.25" customHeight="1" x14ac:dyDescent="0.3">
      <c r="A4" s="180" t="s">
        <v>80</v>
      </c>
      <c r="B4" s="184">
        <v>1</v>
      </c>
      <c r="C4" s="204" t="s">
        <v>81</v>
      </c>
      <c r="D4" s="20" t="s">
        <v>82</v>
      </c>
      <c r="E4" s="20" t="s">
        <v>83</v>
      </c>
      <c r="F4" s="20" t="s">
        <v>84</v>
      </c>
      <c r="G4" s="20" t="s">
        <v>85</v>
      </c>
      <c r="H4" s="180" t="s">
        <v>80</v>
      </c>
      <c r="I4" s="184">
        <v>1</v>
      </c>
      <c r="J4" s="190"/>
      <c r="K4" s="190"/>
      <c r="L4" s="48"/>
      <c r="M4" s="50"/>
    </row>
    <row r="5" spans="1:14" s="41" customFormat="1" ht="36.9" customHeight="1" x14ac:dyDescent="0.3">
      <c r="A5" s="181"/>
      <c r="B5" s="185"/>
      <c r="C5" s="205"/>
      <c r="D5" s="17"/>
      <c r="E5" s="18"/>
      <c r="F5" s="18"/>
      <c r="G5" s="19"/>
      <c r="H5" s="181"/>
      <c r="I5" s="185"/>
      <c r="J5" s="191"/>
      <c r="K5" s="191"/>
      <c r="L5" s="48">
        <v>1</v>
      </c>
      <c r="M5" s="127">
        <f>IF(L5=0,0,L5-1)</f>
        <v>0</v>
      </c>
    </row>
    <row r="6" spans="1:14" s="41" customFormat="1" ht="81.75" customHeight="1" x14ac:dyDescent="0.3">
      <c r="A6" s="180" t="s">
        <v>80</v>
      </c>
      <c r="B6" s="184">
        <v>2</v>
      </c>
      <c r="C6" s="186" t="s">
        <v>86</v>
      </c>
      <c r="D6" s="20" t="s">
        <v>87</v>
      </c>
      <c r="E6" s="20" t="s">
        <v>88</v>
      </c>
      <c r="F6" s="20" t="s">
        <v>89</v>
      </c>
      <c r="G6" s="20" t="s">
        <v>90</v>
      </c>
      <c r="H6" s="180" t="s">
        <v>80</v>
      </c>
      <c r="I6" s="184">
        <v>2</v>
      </c>
      <c r="J6" s="190"/>
      <c r="K6" s="189"/>
      <c r="L6" s="48"/>
      <c r="M6" s="50"/>
    </row>
    <row r="7" spans="1:14" s="41" customFormat="1" ht="36.9" customHeight="1" x14ac:dyDescent="0.3">
      <c r="A7" s="181"/>
      <c r="B7" s="185"/>
      <c r="C7" s="187"/>
      <c r="D7" s="17"/>
      <c r="E7" s="18"/>
      <c r="F7" s="18"/>
      <c r="G7" s="19"/>
      <c r="H7" s="181"/>
      <c r="I7" s="185"/>
      <c r="J7" s="191"/>
      <c r="K7" s="189"/>
      <c r="L7" s="48">
        <v>0</v>
      </c>
      <c r="M7" s="127">
        <f>IF(L7=0,0,L7-1)</f>
        <v>0</v>
      </c>
    </row>
    <row r="8" spans="1:14" s="41" customFormat="1" ht="88.5" customHeight="1" x14ac:dyDescent="0.3">
      <c r="A8" s="180" t="s">
        <v>80</v>
      </c>
      <c r="B8" s="184">
        <v>3</v>
      </c>
      <c r="C8" s="186" t="s">
        <v>91</v>
      </c>
      <c r="D8" s="20" t="s">
        <v>92</v>
      </c>
      <c r="E8" s="20" t="s">
        <v>93</v>
      </c>
      <c r="F8" s="20" t="s">
        <v>94</v>
      </c>
      <c r="G8" s="20" t="s">
        <v>95</v>
      </c>
      <c r="H8" s="180" t="s">
        <v>80</v>
      </c>
      <c r="I8" s="184">
        <v>3</v>
      </c>
      <c r="J8" s="190"/>
      <c r="K8" s="189"/>
      <c r="L8" s="48"/>
      <c r="M8" s="50"/>
    </row>
    <row r="9" spans="1:14" s="41" customFormat="1" ht="36.9" customHeight="1" x14ac:dyDescent="0.3">
      <c r="A9" s="181"/>
      <c r="B9" s="185"/>
      <c r="C9" s="187"/>
      <c r="D9" s="17"/>
      <c r="E9" s="18"/>
      <c r="F9" s="18"/>
      <c r="G9" s="19"/>
      <c r="H9" s="181"/>
      <c r="I9" s="185"/>
      <c r="J9" s="191"/>
      <c r="K9" s="189"/>
      <c r="L9" s="48">
        <v>0</v>
      </c>
      <c r="M9" s="127">
        <f>IF(L9=0,0,L9-1)</f>
        <v>0</v>
      </c>
    </row>
    <row r="10" spans="1:14" s="70" customFormat="1" ht="67.5" customHeight="1" x14ac:dyDescent="0.3">
      <c r="A10" s="180" t="s">
        <v>80</v>
      </c>
      <c r="B10" s="184">
        <v>4</v>
      </c>
      <c r="C10" s="186" t="s">
        <v>96</v>
      </c>
      <c r="D10" s="40" t="s">
        <v>97</v>
      </c>
      <c r="E10" s="40" t="s">
        <v>267</v>
      </c>
      <c r="F10" s="40" t="s">
        <v>268</v>
      </c>
      <c r="G10" s="40" t="s">
        <v>269</v>
      </c>
      <c r="H10" s="180" t="s">
        <v>80</v>
      </c>
      <c r="I10" s="184">
        <v>4</v>
      </c>
      <c r="J10" s="190"/>
      <c r="K10" s="192"/>
      <c r="L10" s="57"/>
      <c r="M10" s="58"/>
    </row>
    <row r="11" spans="1:14" s="70" customFormat="1" ht="36.9" customHeight="1" x14ac:dyDescent="0.3">
      <c r="A11" s="181"/>
      <c r="B11" s="185"/>
      <c r="C11" s="188"/>
      <c r="D11" s="17"/>
      <c r="E11" s="18"/>
      <c r="F11" s="18"/>
      <c r="G11" s="19"/>
      <c r="H11" s="181"/>
      <c r="I11" s="185"/>
      <c r="J11" s="191"/>
      <c r="K11" s="193"/>
      <c r="L11" s="48">
        <v>0</v>
      </c>
      <c r="M11" s="127">
        <f>IF(L11=0,0,L11-1)</f>
        <v>0</v>
      </c>
    </row>
    <row r="12" spans="1:14" s="53" customFormat="1" ht="93" customHeight="1" x14ac:dyDescent="0.3">
      <c r="A12" s="180" t="s">
        <v>80</v>
      </c>
      <c r="B12" s="182">
        <v>5</v>
      </c>
      <c r="C12" s="186" t="s">
        <v>98</v>
      </c>
      <c r="D12" s="20" t="s">
        <v>99</v>
      </c>
      <c r="E12" s="20" t="s">
        <v>100</v>
      </c>
      <c r="F12" s="20" t="s">
        <v>101</v>
      </c>
      <c r="G12" s="20" t="s">
        <v>102</v>
      </c>
      <c r="H12" s="180" t="s">
        <v>80</v>
      </c>
      <c r="I12" s="182">
        <v>5</v>
      </c>
      <c r="J12" s="190"/>
      <c r="K12" s="190"/>
      <c r="L12" s="49"/>
      <c r="M12" s="59"/>
    </row>
    <row r="13" spans="1:14" s="53" customFormat="1" ht="36.9" customHeight="1" x14ac:dyDescent="0.3">
      <c r="A13" s="181"/>
      <c r="B13" s="183"/>
      <c r="C13" s="187"/>
      <c r="D13" s="17"/>
      <c r="E13" s="18"/>
      <c r="F13" s="18"/>
      <c r="G13" s="19"/>
      <c r="H13" s="181"/>
      <c r="I13" s="183"/>
      <c r="J13" s="191"/>
      <c r="K13" s="191"/>
      <c r="L13" s="48">
        <v>0</v>
      </c>
      <c r="M13" s="127">
        <f>IF(L13=0,0,L13-1)</f>
        <v>0</v>
      </c>
    </row>
    <row r="14" spans="1:14" ht="13.8" x14ac:dyDescent="0.25">
      <c r="A14" s="81"/>
    </row>
  </sheetData>
  <mergeCells count="43">
    <mergeCell ref="K1:K2"/>
    <mergeCell ref="K4:K5"/>
    <mergeCell ref="A1:C2"/>
    <mergeCell ref="D1:D2"/>
    <mergeCell ref="E1:E2"/>
    <mergeCell ref="F1:F2"/>
    <mergeCell ref="G1:G2"/>
    <mergeCell ref="C4:C5"/>
    <mergeCell ref="H1:I2"/>
    <mergeCell ref="H3:I3"/>
    <mergeCell ref="H4:H5"/>
    <mergeCell ref="I4:I5"/>
    <mergeCell ref="A12:A13"/>
    <mergeCell ref="K6:K7"/>
    <mergeCell ref="A10:A11"/>
    <mergeCell ref="J4:J5"/>
    <mergeCell ref="B6:B7"/>
    <mergeCell ref="B8:B9"/>
    <mergeCell ref="J12:J13"/>
    <mergeCell ref="J8:J9"/>
    <mergeCell ref="J6:J7"/>
    <mergeCell ref="J10:J11"/>
    <mergeCell ref="K12:K13"/>
    <mergeCell ref="K10:K11"/>
    <mergeCell ref="K8:K9"/>
    <mergeCell ref="B10:B11"/>
    <mergeCell ref="B12:B13"/>
    <mergeCell ref="C12:C13"/>
    <mergeCell ref="C6:C7"/>
    <mergeCell ref="C10:C11"/>
    <mergeCell ref="C8:C9"/>
    <mergeCell ref="A4:A5"/>
    <mergeCell ref="A6:A7"/>
    <mergeCell ref="A8:A9"/>
    <mergeCell ref="B4:B5"/>
    <mergeCell ref="H12:H13"/>
    <mergeCell ref="I12:I13"/>
    <mergeCell ref="H6:H7"/>
    <mergeCell ref="I6:I7"/>
    <mergeCell ref="H8:H9"/>
    <mergeCell ref="I8:I9"/>
    <mergeCell ref="H10:H11"/>
    <mergeCell ref="I10:I11"/>
  </mergeCells>
  <pageMargins left="7.874015748031496E-2" right="7.874015748031496E-2" top="0.59055118110236227" bottom="0.39370078740157483" header="0.31496062992125984" footer="0.31496062992125984"/>
  <pageSetup paperSize="9" scale="80" fitToHeight="2" orientation="landscape" horizontalDpi="4294967293" verticalDpi="4294967293" r:id="rId1"/>
  <colBreaks count="1" manualBreakCount="1">
    <brk id="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2162" r:id="rId4" name="Group Box 114">
              <controlPr defaultSize="0" autoFill="0" autoPict="0">
                <anchor moveWithCells="1">
                  <from>
                    <xdr:col>3</xdr:col>
                    <xdr:colOff>45720</xdr:colOff>
                    <xdr:row>4</xdr:row>
                    <xdr:rowOff>30480</xdr:rowOff>
                  </from>
                  <to>
                    <xdr:col>6</xdr:col>
                    <xdr:colOff>2537460</xdr:colOff>
                    <xdr:row>4</xdr:row>
                    <xdr:rowOff>411480</xdr:rowOff>
                  </to>
                </anchor>
              </controlPr>
            </control>
          </mc:Choice>
        </mc:AlternateContent>
        <mc:AlternateContent xmlns:mc="http://schemas.openxmlformats.org/markup-compatibility/2006">
          <mc:Choice Requires="x14">
            <control shapeId="2257" r:id="rId5" name="Group Box 209">
              <controlPr defaultSize="0" autoFill="0" autoPict="0">
                <anchor moveWithCells="1">
                  <from>
                    <xdr:col>3</xdr:col>
                    <xdr:colOff>45720</xdr:colOff>
                    <xdr:row>6</xdr:row>
                    <xdr:rowOff>38100</xdr:rowOff>
                  </from>
                  <to>
                    <xdr:col>6</xdr:col>
                    <xdr:colOff>2537460</xdr:colOff>
                    <xdr:row>6</xdr:row>
                    <xdr:rowOff>426720</xdr:rowOff>
                  </to>
                </anchor>
              </controlPr>
            </control>
          </mc:Choice>
        </mc:AlternateContent>
        <mc:AlternateContent xmlns:mc="http://schemas.openxmlformats.org/markup-compatibility/2006">
          <mc:Choice Requires="x14">
            <control shapeId="2258" r:id="rId6" name="Option Button 210">
              <controlPr defaultSize="0" autoFill="0" autoLine="0" autoPict="0">
                <anchor moveWithCells="1">
                  <from>
                    <xdr:col>3</xdr:col>
                    <xdr:colOff>899160</xdr:colOff>
                    <xdr:row>6</xdr:row>
                    <xdr:rowOff>121920</xdr:rowOff>
                  </from>
                  <to>
                    <xdr:col>3</xdr:col>
                    <xdr:colOff>1531620</xdr:colOff>
                    <xdr:row>6</xdr:row>
                    <xdr:rowOff>350520</xdr:rowOff>
                  </to>
                </anchor>
              </controlPr>
            </control>
          </mc:Choice>
        </mc:AlternateContent>
        <mc:AlternateContent xmlns:mc="http://schemas.openxmlformats.org/markup-compatibility/2006">
          <mc:Choice Requires="x14">
            <control shapeId="2259" r:id="rId7" name="Option Button 211">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2260" r:id="rId8" name="Option Button 212">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2261" r:id="rId9" name="Option Button 213">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2267" r:id="rId10" name="Group Box 219">
              <controlPr defaultSize="0" autoFill="0" autoPict="0">
                <anchor moveWithCells="1">
                  <from>
                    <xdr:col>3</xdr:col>
                    <xdr:colOff>45720</xdr:colOff>
                    <xdr:row>12</xdr:row>
                    <xdr:rowOff>38100</xdr:rowOff>
                  </from>
                  <to>
                    <xdr:col>6</xdr:col>
                    <xdr:colOff>2537460</xdr:colOff>
                    <xdr:row>12</xdr:row>
                    <xdr:rowOff>426720</xdr:rowOff>
                  </to>
                </anchor>
              </controlPr>
            </control>
          </mc:Choice>
        </mc:AlternateContent>
        <mc:AlternateContent xmlns:mc="http://schemas.openxmlformats.org/markup-compatibility/2006">
          <mc:Choice Requires="x14">
            <control shapeId="2268" r:id="rId11" name="Option Button 220">
              <controlPr defaultSize="0" autoFill="0" autoLine="0" autoPict="0">
                <anchor moveWithCells="1">
                  <from>
                    <xdr:col>3</xdr:col>
                    <xdr:colOff>899160</xdr:colOff>
                    <xdr:row>12</xdr:row>
                    <xdr:rowOff>137160</xdr:rowOff>
                  </from>
                  <to>
                    <xdr:col>3</xdr:col>
                    <xdr:colOff>1531620</xdr:colOff>
                    <xdr:row>12</xdr:row>
                    <xdr:rowOff>365760</xdr:rowOff>
                  </to>
                </anchor>
              </controlPr>
            </control>
          </mc:Choice>
        </mc:AlternateContent>
        <mc:AlternateContent xmlns:mc="http://schemas.openxmlformats.org/markup-compatibility/2006">
          <mc:Choice Requires="x14">
            <control shapeId="2269" r:id="rId12" name="Option Button 221">
              <controlPr defaultSize="0" autoFill="0" autoLine="0" autoPict="0">
                <anchor moveWithCells="1">
                  <from>
                    <xdr:col>4</xdr:col>
                    <xdr:colOff>876300</xdr:colOff>
                    <xdr:row>12</xdr:row>
                    <xdr:rowOff>137160</xdr:rowOff>
                  </from>
                  <to>
                    <xdr:col>4</xdr:col>
                    <xdr:colOff>1516380</xdr:colOff>
                    <xdr:row>12</xdr:row>
                    <xdr:rowOff>365760</xdr:rowOff>
                  </to>
                </anchor>
              </controlPr>
            </control>
          </mc:Choice>
        </mc:AlternateContent>
        <mc:AlternateContent xmlns:mc="http://schemas.openxmlformats.org/markup-compatibility/2006">
          <mc:Choice Requires="x14">
            <control shapeId="2270" r:id="rId13" name="Option Button 222">
              <controlPr defaultSize="0" autoFill="0" autoLine="0" autoPict="0" altText="Option">
                <anchor moveWithCells="1">
                  <from>
                    <xdr:col>5</xdr:col>
                    <xdr:colOff>998220</xdr:colOff>
                    <xdr:row>12</xdr:row>
                    <xdr:rowOff>137160</xdr:rowOff>
                  </from>
                  <to>
                    <xdr:col>5</xdr:col>
                    <xdr:colOff>1638300</xdr:colOff>
                    <xdr:row>12</xdr:row>
                    <xdr:rowOff>365760</xdr:rowOff>
                  </to>
                </anchor>
              </controlPr>
            </control>
          </mc:Choice>
        </mc:AlternateContent>
        <mc:AlternateContent xmlns:mc="http://schemas.openxmlformats.org/markup-compatibility/2006">
          <mc:Choice Requires="x14">
            <control shapeId="2271" r:id="rId14" name="Option Button 223">
              <controlPr defaultSize="0" autoFill="0" autoLine="0" autoPict="0">
                <anchor moveWithCells="1">
                  <from>
                    <xdr:col>6</xdr:col>
                    <xdr:colOff>1021080</xdr:colOff>
                    <xdr:row>12</xdr:row>
                    <xdr:rowOff>137160</xdr:rowOff>
                  </from>
                  <to>
                    <xdr:col>6</xdr:col>
                    <xdr:colOff>1661160</xdr:colOff>
                    <xdr:row>12</xdr:row>
                    <xdr:rowOff>365760</xdr:rowOff>
                  </to>
                </anchor>
              </controlPr>
            </control>
          </mc:Choice>
        </mc:AlternateContent>
        <mc:AlternateContent xmlns:mc="http://schemas.openxmlformats.org/markup-compatibility/2006">
          <mc:Choice Requires="x14">
            <control shapeId="2272" r:id="rId15" name="Group Box 224">
              <controlPr defaultSize="0" autoFill="0" autoPict="0">
                <anchor moveWithCells="1">
                  <from>
                    <xdr:col>3</xdr:col>
                    <xdr:colOff>45720</xdr:colOff>
                    <xdr:row>10</xdr:row>
                    <xdr:rowOff>30480</xdr:rowOff>
                  </from>
                  <to>
                    <xdr:col>6</xdr:col>
                    <xdr:colOff>2537460</xdr:colOff>
                    <xdr:row>10</xdr:row>
                    <xdr:rowOff>419100</xdr:rowOff>
                  </to>
                </anchor>
              </controlPr>
            </control>
          </mc:Choice>
        </mc:AlternateContent>
        <mc:AlternateContent xmlns:mc="http://schemas.openxmlformats.org/markup-compatibility/2006">
          <mc:Choice Requires="x14">
            <control shapeId="2273" r:id="rId16" name="Option Button 225">
              <controlPr defaultSize="0" autoFill="0" autoLine="0" autoPict="0">
                <anchor moveWithCells="1">
                  <from>
                    <xdr:col>3</xdr:col>
                    <xdr:colOff>899160</xdr:colOff>
                    <xdr:row>10</xdr:row>
                    <xdr:rowOff>121920</xdr:rowOff>
                  </from>
                  <to>
                    <xdr:col>3</xdr:col>
                    <xdr:colOff>1531620</xdr:colOff>
                    <xdr:row>10</xdr:row>
                    <xdr:rowOff>350520</xdr:rowOff>
                  </to>
                </anchor>
              </controlPr>
            </control>
          </mc:Choice>
        </mc:AlternateContent>
        <mc:AlternateContent xmlns:mc="http://schemas.openxmlformats.org/markup-compatibility/2006">
          <mc:Choice Requires="x14">
            <control shapeId="2274" r:id="rId17" name="Option Button 226">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2275" r:id="rId18" name="Option Button 227">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2276" r:id="rId19" name="Option Button 228">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2290" r:id="rId20" name="Group Box 242">
              <controlPr defaultSize="0" autoFill="0" autoPict="0">
                <anchor moveWithCells="1">
                  <from>
                    <xdr:col>3</xdr:col>
                    <xdr:colOff>45720</xdr:colOff>
                    <xdr:row>8</xdr:row>
                    <xdr:rowOff>38100</xdr:rowOff>
                  </from>
                  <to>
                    <xdr:col>6</xdr:col>
                    <xdr:colOff>2537460</xdr:colOff>
                    <xdr:row>8</xdr:row>
                    <xdr:rowOff>426720</xdr:rowOff>
                  </to>
                </anchor>
              </controlPr>
            </control>
          </mc:Choice>
        </mc:AlternateContent>
        <mc:AlternateContent xmlns:mc="http://schemas.openxmlformats.org/markup-compatibility/2006">
          <mc:Choice Requires="x14">
            <control shapeId="2291" r:id="rId21" name="Option Button 243">
              <controlPr defaultSize="0" autoFill="0" autoLine="0" autoPict="0">
                <anchor moveWithCells="1">
                  <from>
                    <xdr:col>3</xdr:col>
                    <xdr:colOff>899160</xdr:colOff>
                    <xdr:row>8</xdr:row>
                    <xdr:rowOff>121920</xdr:rowOff>
                  </from>
                  <to>
                    <xdr:col>3</xdr:col>
                    <xdr:colOff>1531620</xdr:colOff>
                    <xdr:row>8</xdr:row>
                    <xdr:rowOff>350520</xdr:rowOff>
                  </to>
                </anchor>
              </controlPr>
            </control>
          </mc:Choice>
        </mc:AlternateContent>
        <mc:AlternateContent xmlns:mc="http://schemas.openxmlformats.org/markup-compatibility/2006">
          <mc:Choice Requires="x14">
            <control shapeId="2292" r:id="rId22" name="Option Button 244">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2293" r:id="rId23" name="Option Button 245">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2294" r:id="rId24" name="Option Button 246">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2296" r:id="rId25" name="Option Button 248">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2297" r:id="rId26" name="Option Button 249">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2298" r:id="rId27" name="Option Button 250">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2299" r:id="rId28" name="Option Button 251">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B2CCA0"/>
  </sheetPr>
  <dimension ref="A1:N13"/>
  <sheetViews>
    <sheetView topLeftCell="G1" zoomScale="90" zoomScaleNormal="90" workbookViewId="0">
      <selection activeCell="C10" sqref="C10:C11"/>
    </sheetView>
  </sheetViews>
  <sheetFormatPr baseColWidth="10" defaultColWidth="9.109375" defaultRowHeight="14.4" x14ac:dyDescent="0.3"/>
  <cols>
    <col min="1" max="1" width="3.33203125" style="74" customWidth="1"/>
    <col min="2" max="2" width="3.33203125" style="94" customWidth="1"/>
    <col min="3" max="3" width="25.6640625" style="95" customWidth="1"/>
    <col min="4" max="5" width="35.6640625" style="70" customWidth="1"/>
    <col min="6" max="7" width="38.6640625" style="70" customWidth="1"/>
    <col min="8" max="9" width="3.33203125" style="70" customWidth="1"/>
    <col min="10" max="11" width="50.6640625" style="96" customWidth="1"/>
    <col min="12" max="13" width="9.6640625" style="49" customWidth="1"/>
    <col min="14" max="16384" width="9.109375" style="70"/>
  </cols>
  <sheetData>
    <row r="1" spans="1:14" s="74" customFormat="1" ht="15" customHeight="1" x14ac:dyDescent="0.3">
      <c r="A1" s="195" t="s">
        <v>70</v>
      </c>
      <c r="B1" s="195"/>
      <c r="C1" s="195"/>
      <c r="D1" s="196" t="s">
        <v>71</v>
      </c>
      <c r="E1" s="198" t="s">
        <v>72</v>
      </c>
      <c r="F1" s="200" t="s">
        <v>73</v>
      </c>
      <c r="G1" s="202" t="s">
        <v>74</v>
      </c>
      <c r="H1" s="206"/>
      <c r="I1" s="207"/>
      <c r="J1" s="73" t="s">
        <v>75</v>
      </c>
      <c r="K1" s="73"/>
      <c r="L1" s="62"/>
      <c r="M1" s="62"/>
    </row>
    <row r="2" spans="1:14" s="41" customFormat="1" ht="21" customHeight="1" x14ac:dyDescent="0.3">
      <c r="A2" s="195"/>
      <c r="B2" s="195"/>
      <c r="C2" s="195"/>
      <c r="D2" s="197"/>
      <c r="E2" s="199"/>
      <c r="F2" s="201"/>
      <c r="G2" s="203"/>
      <c r="H2" s="208"/>
      <c r="I2" s="209"/>
      <c r="J2" s="75">
        <f>COUNTA(L4:L14)</f>
        <v>5</v>
      </c>
      <c r="K2" s="75"/>
      <c r="L2" s="48"/>
      <c r="M2" s="147">
        <f>COUNTIF(L5:L13,0)</f>
        <v>5</v>
      </c>
    </row>
    <row r="3" spans="1:14" s="53" customFormat="1" ht="24.9" customHeight="1" x14ac:dyDescent="0.3">
      <c r="A3" s="86" t="s">
        <v>103</v>
      </c>
      <c r="B3" s="87"/>
      <c r="C3" s="88"/>
      <c r="D3" s="78"/>
      <c r="E3" s="78"/>
      <c r="F3" s="89"/>
      <c r="G3" s="90"/>
      <c r="H3" s="210"/>
      <c r="I3" s="211"/>
      <c r="J3" s="91" t="s">
        <v>270</v>
      </c>
      <c r="K3" s="91" t="s">
        <v>78</v>
      </c>
      <c r="L3" s="56" t="s">
        <v>79</v>
      </c>
      <c r="M3" s="128" t="e">
        <f>SUM(M4:M13)/(5-M2)</f>
        <v>#DIV/0!</v>
      </c>
      <c r="N3" s="48"/>
    </row>
    <row r="4" spans="1:14" s="53" customFormat="1" ht="97.5" customHeight="1" x14ac:dyDescent="0.3">
      <c r="A4" s="216" t="s">
        <v>104</v>
      </c>
      <c r="B4" s="182">
        <v>1</v>
      </c>
      <c r="C4" s="186" t="s">
        <v>271</v>
      </c>
      <c r="D4" s="20" t="s">
        <v>105</v>
      </c>
      <c r="E4" s="20" t="s">
        <v>106</v>
      </c>
      <c r="F4" s="20" t="s">
        <v>107</v>
      </c>
      <c r="G4" s="20" t="s">
        <v>108</v>
      </c>
      <c r="H4" s="216" t="s">
        <v>104</v>
      </c>
      <c r="I4" s="182">
        <v>1</v>
      </c>
      <c r="J4" s="223"/>
      <c r="K4" s="218"/>
      <c r="L4" s="49"/>
      <c r="M4" s="50"/>
    </row>
    <row r="5" spans="1:14" s="53" customFormat="1" ht="36.9" customHeight="1" x14ac:dyDescent="0.3">
      <c r="A5" s="217"/>
      <c r="B5" s="183"/>
      <c r="C5" s="188"/>
      <c r="D5" s="17"/>
      <c r="E5" s="18"/>
      <c r="F5" s="18"/>
      <c r="G5" s="19"/>
      <c r="H5" s="217"/>
      <c r="I5" s="183"/>
      <c r="J5" s="224"/>
      <c r="K5" s="219"/>
      <c r="L5" s="49">
        <v>0</v>
      </c>
      <c r="M5" s="127">
        <f>IF(L5=0,0,L5-1)</f>
        <v>0</v>
      </c>
    </row>
    <row r="6" spans="1:14" s="41" customFormat="1" ht="83.25" customHeight="1" x14ac:dyDescent="0.3">
      <c r="A6" s="180" t="s">
        <v>104</v>
      </c>
      <c r="B6" s="184">
        <v>2</v>
      </c>
      <c r="C6" s="186" t="s">
        <v>272</v>
      </c>
      <c r="D6" s="20" t="s">
        <v>109</v>
      </c>
      <c r="E6" s="40" t="s">
        <v>110</v>
      </c>
      <c r="F6" s="40" t="s">
        <v>111</v>
      </c>
      <c r="G6" s="40" t="s">
        <v>112</v>
      </c>
      <c r="H6" s="180" t="s">
        <v>104</v>
      </c>
      <c r="I6" s="184">
        <v>2</v>
      </c>
      <c r="J6" s="190"/>
      <c r="K6" s="189"/>
      <c r="L6" s="48"/>
      <c r="M6" s="50"/>
    </row>
    <row r="7" spans="1:14" s="41" customFormat="1" ht="36.9" customHeight="1" x14ac:dyDescent="0.3">
      <c r="A7" s="181"/>
      <c r="B7" s="185"/>
      <c r="C7" s="188"/>
      <c r="D7" s="17"/>
      <c r="E7" s="18"/>
      <c r="F7" s="18"/>
      <c r="G7" s="19"/>
      <c r="H7" s="181"/>
      <c r="I7" s="185"/>
      <c r="J7" s="191"/>
      <c r="K7" s="189"/>
      <c r="L7" s="48">
        <v>0</v>
      </c>
      <c r="M7" s="127">
        <f>IF(L7=0,0,L7-1)</f>
        <v>0</v>
      </c>
    </row>
    <row r="8" spans="1:14" ht="107.25" customHeight="1" x14ac:dyDescent="0.3">
      <c r="A8" s="216" t="s">
        <v>113</v>
      </c>
      <c r="B8" s="182">
        <v>3</v>
      </c>
      <c r="C8" s="186" t="s">
        <v>114</v>
      </c>
      <c r="D8" s="92" t="s">
        <v>273</v>
      </c>
      <c r="E8" s="20" t="s">
        <v>274</v>
      </c>
      <c r="F8" s="20" t="s">
        <v>275</v>
      </c>
      <c r="G8" s="20" t="s">
        <v>276</v>
      </c>
      <c r="H8" s="216" t="s">
        <v>113</v>
      </c>
      <c r="I8" s="182">
        <v>3</v>
      </c>
      <c r="J8" s="218"/>
      <c r="K8" s="218"/>
      <c r="L8" s="57"/>
      <c r="M8" s="50"/>
    </row>
    <row r="9" spans="1:14" ht="36.9" customHeight="1" x14ac:dyDescent="0.3">
      <c r="A9" s="217"/>
      <c r="B9" s="183"/>
      <c r="C9" s="187"/>
      <c r="D9" s="17"/>
      <c r="E9" s="18"/>
      <c r="F9" s="18"/>
      <c r="G9" s="19"/>
      <c r="H9" s="217"/>
      <c r="I9" s="183"/>
      <c r="J9" s="219"/>
      <c r="K9" s="219"/>
      <c r="L9" s="49">
        <v>0</v>
      </c>
      <c r="M9" s="127">
        <f>IF(L9=0,0,L9-1)</f>
        <v>0</v>
      </c>
    </row>
    <row r="10" spans="1:14" s="41" customFormat="1" ht="113.25" customHeight="1" x14ac:dyDescent="0.3">
      <c r="A10" s="180" t="s">
        <v>104</v>
      </c>
      <c r="B10" s="184">
        <v>4</v>
      </c>
      <c r="C10" s="186" t="s">
        <v>115</v>
      </c>
      <c r="D10" s="40" t="s">
        <v>116</v>
      </c>
      <c r="E10" s="40" t="s">
        <v>117</v>
      </c>
      <c r="F10" s="40" t="s">
        <v>118</v>
      </c>
      <c r="G10" s="40" t="s">
        <v>119</v>
      </c>
      <c r="H10" s="180" t="s">
        <v>104</v>
      </c>
      <c r="I10" s="184">
        <v>4</v>
      </c>
      <c r="J10" s="220"/>
      <c r="K10" s="220"/>
      <c r="L10" s="48"/>
      <c r="M10" s="58"/>
    </row>
    <row r="11" spans="1:14" s="41" customFormat="1" ht="36.9" customHeight="1" x14ac:dyDescent="0.3">
      <c r="A11" s="181"/>
      <c r="B11" s="185"/>
      <c r="C11" s="187"/>
      <c r="D11" s="17"/>
      <c r="E11" s="18"/>
      <c r="F11" s="18"/>
      <c r="G11" s="19"/>
      <c r="H11" s="181"/>
      <c r="I11" s="185"/>
      <c r="J11" s="220"/>
      <c r="K11" s="220"/>
      <c r="L11" s="49">
        <v>0</v>
      </c>
      <c r="M11" s="127">
        <f>IF(L11=0,0,L11-1)</f>
        <v>0</v>
      </c>
    </row>
    <row r="12" spans="1:14" s="53" customFormat="1" ht="62.1" customHeight="1" x14ac:dyDescent="0.3">
      <c r="A12" s="212" t="s">
        <v>104</v>
      </c>
      <c r="B12" s="214">
        <v>5</v>
      </c>
      <c r="C12" s="186" t="s">
        <v>120</v>
      </c>
      <c r="D12" s="93" t="s">
        <v>121</v>
      </c>
      <c r="E12" s="20" t="s">
        <v>122</v>
      </c>
      <c r="F12" s="93" t="s">
        <v>123</v>
      </c>
      <c r="G12" s="20" t="s">
        <v>124</v>
      </c>
      <c r="H12" s="212" t="s">
        <v>104</v>
      </c>
      <c r="I12" s="214">
        <v>5</v>
      </c>
      <c r="J12" s="218"/>
      <c r="K12" s="221"/>
      <c r="L12" s="49"/>
      <c r="M12" s="59"/>
    </row>
    <row r="13" spans="1:14" s="53" customFormat="1" ht="36.9" customHeight="1" x14ac:dyDescent="0.3">
      <c r="A13" s="213"/>
      <c r="B13" s="215"/>
      <c r="C13" s="187"/>
      <c r="D13" s="17"/>
      <c r="E13" s="18"/>
      <c r="F13" s="18"/>
      <c r="G13" s="19"/>
      <c r="H13" s="213"/>
      <c r="I13" s="215"/>
      <c r="J13" s="219"/>
      <c r="K13" s="222"/>
      <c r="L13" s="49">
        <v>0</v>
      </c>
      <c r="M13" s="127">
        <f>IF(L13=0,0,L13-1)</f>
        <v>0</v>
      </c>
    </row>
  </sheetData>
  <mergeCells count="42">
    <mergeCell ref="K4:K5"/>
    <mergeCell ref="K8:K9"/>
    <mergeCell ref="K10:K11"/>
    <mergeCell ref="K12:K13"/>
    <mergeCell ref="J4:J5"/>
    <mergeCell ref="B4:B5"/>
    <mergeCell ref="A4:A5"/>
    <mergeCell ref="F1:F2"/>
    <mergeCell ref="G1:G2"/>
    <mergeCell ref="D1:D2"/>
    <mergeCell ref="E1:E2"/>
    <mergeCell ref="A1:C2"/>
    <mergeCell ref="C4:C5"/>
    <mergeCell ref="B12:B13"/>
    <mergeCell ref="A12:A13"/>
    <mergeCell ref="J8:J9"/>
    <mergeCell ref="J12:J13"/>
    <mergeCell ref="A10:A11"/>
    <mergeCell ref="B10:B11"/>
    <mergeCell ref="C10:C11"/>
    <mergeCell ref="B8:B9"/>
    <mergeCell ref="A8:A9"/>
    <mergeCell ref="J10:J11"/>
    <mergeCell ref="C8:C9"/>
    <mergeCell ref="C12:C13"/>
    <mergeCell ref="H8:H9"/>
    <mergeCell ref="I8:I9"/>
    <mergeCell ref="H10:H11"/>
    <mergeCell ref="I10:I11"/>
    <mergeCell ref="A6:A7"/>
    <mergeCell ref="B6:B7"/>
    <mergeCell ref="C6:C7"/>
    <mergeCell ref="J6:J7"/>
    <mergeCell ref="K6:K7"/>
    <mergeCell ref="H12:H13"/>
    <mergeCell ref="I12:I13"/>
    <mergeCell ref="H1:I2"/>
    <mergeCell ref="H3:I3"/>
    <mergeCell ref="H4:H5"/>
    <mergeCell ref="I4:I5"/>
    <mergeCell ref="H6:H7"/>
    <mergeCell ref="I6:I7"/>
  </mergeCells>
  <pageMargins left="7.874015748031496E-2" right="7.874015748031496E-2" top="0.59055118110236227" bottom="0.39370078740157483" header="0.31496062992125984" footer="0.31496062992125984"/>
  <pageSetup paperSize="9" scale="80" fitToHeight="2" orientation="landscape" r:id="rId1"/>
  <colBreaks count="1" manualBreakCount="1">
    <brk id="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221" r:id="rId4" name="Group Box 101">
              <controlPr defaultSize="0" autoFill="0" autoPict="0">
                <anchor moveWithCells="1">
                  <from>
                    <xdr:col>3</xdr:col>
                    <xdr:colOff>38100</xdr:colOff>
                    <xdr:row>4</xdr:row>
                    <xdr:rowOff>38100</xdr:rowOff>
                  </from>
                  <to>
                    <xdr:col>6</xdr:col>
                    <xdr:colOff>2514600</xdr:colOff>
                    <xdr:row>4</xdr:row>
                    <xdr:rowOff>419100</xdr:rowOff>
                  </to>
                </anchor>
              </controlPr>
            </control>
          </mc:Choice>
        </mc:AlternateContent>
        <mc:AlternateContent xmlns:mc="http://schemas.openxmlformats.org/markup-compatibility/2006">
          <mc:Choice Requires="x14">
            <control shapeId="5257" r:id="rId5" name="Option Button 137">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5258" r:id="rId6" name="Option Button 138">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5259" r:id="rId7" name="Option Button 139">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5260" r:id="rId8" name="Option Button 140">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5261" r:id="rId9" name="Group Box 141">
              <controlPr defaultSize="0" autoFill="0" autoPict="0">
                <anchor moveWithCells="1">
                  <from>
                    <xdr:col>3</xdr:col>
                    <xdr:colOff>38100</xdr:colOff>
                    <xdr:row>6</xdr:row>
                    <xdr:rowOff>38100</xdr:rowOff>
                  </from>
                  <to>
                    <xdr:col>6</xdr:col>
                    <xdr:colOff>2514600</xdr:colOff>
                    <xdr:row>6</xdr:row>
                    <xdr:rowOff>419100</xdr:rowOff>
                  </to>
                </anchor>
              </controlPr>
            </control>
          </mc:Choice>
        </mc:AlternateContent>
        <mc:AlternateContent xmlns:mc="http://schemas.openxmlformats.org/markup-compatibility/2006">
          <mc:Choice Requires="x14">
            <control shapeId="5262" r:id="rId10" name="Option Button 142">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5263" r:id="rId11" name="Option Button 143">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5264" r:id="rId12" name="Option Button 144">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5265" r:id="rId13" name="Option Button 145">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5266" r:id="rId14" name="Group Box 146">
              <controlPr defaultSize="0" autoFill="0" autoPict="0">
                <anchor moveWithCells="1">
                  <from>
                    <xdr:col>3</xdr:col>
                    <xdr:colOff>38100</xdr:colOff>
                    <xdr:row>8</xdr:row>
                    <xdr:rowOff>38100</xdr:rowOff>
                  </from>
                  <to>
                    <xdr:col>6</xdr:col>
                    <xdr:colOff>2514600</xdr:colOff>
                    <xdr:row>8</xdr:row>
                    <xdr:rowOff>419100</xdr:rowOff>
                  </to>
                </anchor>
              </controlPr>
            </control>
          </mc:Choice>
        </mc:AlternateContent>
        <mc:AlternateContent xmlns:mc="http://schemas.openxmlformats.org/markup-compatibility/2006">
          <mc:Choice Requires="x14">
            <control shapeId="5267" r:id="rId15" name="Option Button 147">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5268" r:id="rId16" name="Option Button 148">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5269" r:id="rId17" name="Option Button 149">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5270" r:id="rId18" name="Option Button 150">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5271" r:id="rId19" name="Group Box 151">
              <controlPr defaultSize="0" autoFill="0" autoPict="0">
                <anchor moveWithCells="1">
                  <from>
                    <xdr:col>3</xdr:col>
                    <xdr:colOff>38100</xdr:colOff>
                    <xdr:row>10</xdr:row>
                    <xdr:rowOff>38100</xdr:rowOff>
                  </from>
                  <to>
                    <xdr:col>6</xdr:col>
                    <xdr:colOff>2514600</xdr:colOff>
                    <xdr:row>10</xdr:row>
                    <xdr:rowOff>419100</xdr:rowOff>
                  </to>
                </anchor>
              </controlPr>
            </control>
          </mc:Choice>
        </mc:AlternateContent>
        <mc:AlternateContent xmlns:mc="http://schemas.openxmlformats.org/markup-compatibility/2006">
          <mc:Choice Requires="x14">
            <control shapeId="5272" r:id="rId20" name="Option Button 152">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5273" r:id="rId21" name="Option Button 153">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5274" r:id="rId22" name="Option Button 154">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5275" r:id="rId23" name="Option Button 155">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5276" r:id="rId24" name="Group Box 156">
              <controlPr defaultSize="0" autoFill="0" autoPict="0">
                <anchor moveWithCells="1">
                  <from>
                    <xdr:col>3</xdr:col>
                    <xdr:colOff>38100</xdr:colOff>
                    <xdr:row>12</xdr:row>
                    <xdr:rowOff>38100</xdr:rowOff>
                  </from>
                  <to>
                    <xdr:col>6</xdr:col>
                    <xdr:colOff>2514600</xdr:colOff>
                    <xdr:row>12</xdr:row>
                    <xdr:rowOff>419100</xdr:rowOff>
                  </to>
                </anchor>
              </controlPr>
            </control>
          </mc:Choice>
        </mc:AlternateContent>
        <mc:AlternateContent xmlns:mc="http://schemas.openxmlformats.org/markup-compatibility/2006">
          <mc:Choice Requires="x14">
            <control shapeId="5277" r:id="rId25" name="Option Button 157">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5278" r:id="rId26" name="Option Button 158">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5279" r:id="rId27" name="Option Button 159">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5280" r:id="rId28" name="Option Button 160">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B2CCA0"/>
  </sheetPr>
  <dimension ref="A1:N13"/>
  <sheetViews>
    <sheetView topLeftCell="H1" zoomScale="90" zoomScaleNormal="90" workbookViewId="0">
      <selection activeCell="F18" sqref="F18"/>
    </sheetView>
  </sheetViews>
  <sheetFormatPr baseColWidth="10" defaultColWidth="9.109375" defaultRowHeight="13.8" x14ac:dyDescent="0.3"/>
  <cols>
    <col min="1" max="1" width="3.33203125" style="4" customWidth="1"/>
    <col min="2" max="2" width="3.33203125" style="30" customWidth="1"/>
    <col min="3" max="3" width="25.6640625" style="33" customWidth="1"/>
    <col min="4" max="5" width="35.6640625" style="1" customWidth="1"/>
    <col min="6" max="7" width="38.6640625" style="1" customWidth="1"/>
    <col min="8" max="9" width="3.33203125" style="1" customWidth="1"/>
    <col min="10" max="11" width="50.6640625" style="23" customWidth="1"/>
    <col min="12" max="13" width="9.6640625" style="15" customWidth="1"/>
    <col min="14" max="16384" width="9.109375" style="1"/>
  </cols>
  <sheetData>
    <row r="1" spans="1:14" s="4" customFormat="1" ht="15" customHeight="1" x14ac:dyDescent="0.3">
      <c r="A1" s="235" t="s">
        <v>70</v>
      </c>
      <c r="B1" s="235"/>
      <c r="C1" s="235"/>
      <c r="D1" s="196" t="s">
        <v>71</v>
      </c>
      <c r="E1" s="198" t="s">
        <v>72</v>
      </c>
      <c r="F1" s="200" t="s">
        <v>73</v>
      </c>
      <c r="G1" s="202" t="s">
        <v>74</v>
      </c>
      <c r="H1" s="225"/>
      <c r="I1" s="226"/>
      <c r="J1" s="24" t="s">
        <v>75</v>
      </c>
      <c r="K1" s="24"/>
      <c r="L1" s="16"/>
      <c r="M1" s="16"/>
    </row>
    <row r="2" spans="1:14" s="2" customFormat="1" ht="21" customHeight="1" x14ac:dyDescent="0.3">
      <c r="A2" s="235"/>
      <c r="B2" s="235"/>
      <c r="C2" s="235"/>
      <c r="D2" s="197"/>
      <c r="E2" s="199"/>
      <c r="F2" s="201"/>
      <c r="G2" s="203"/>
      <c r="H2" s="227"/>
      <c r="I2" s="228"/>
      <c r="J2" s="25">
        <f>COUNTA(L4:L14)</f>
        <v>5</v>
      </c>
      <c r="K2" s="25"/>
      <c r="L2" s="16"/>
      <c r="M2" s="147">
        <f>COUNTIF(L5:L13,0)</f>
        <v>5</v>
      </c>
    </row>
    <row r="3" spans="1:14" s="2" customFormat="1" ht="24.9" customHeight="1" x14ac:dyDescent="0.3">
      <c r="A3" s="32" t="s">
        <v>125</v>
      </c>
      <c r="B3" s="34"/>
      <c r="C3" s="26"/>
      <c r="D3" s="5"/>
      <c r="E3" s="6"/>
      <c r="F3" s="6"/>
      <c r="G3" s="7"/>
      <c r="H3" s="229"/>
      <c r="I3" s="230"/>
      <c r="J3" s="31" t="s">
        <v>270</v>
      </c>
      <c r="K3" s="31" t="s">
        <v>78</v>
      </c>
      <c r="L3" s="56" t="s">
        <v>79</v>
      </c>
      <c r="M3" s="128" t="e">
        <f>SUM(M4:M13)/(5-M2)</f>
        <v>#DIV/0!</v>
      </c>
      <c r="N3" s="48"/>
    </row>
    <row r="4" spans="1:14" s="3" customFormat="1" ht="92.25" customHeight="1" x14ac:dyDescent="0.3">
      <c r="A4" s="231" t="s">
        <v>126</v>
      </c>
      <c r="B4" s="233">
        <v>1</v>
      </c>
      <c r="C4" s="186" t="s">
        <v>127</v>
      </c>
      <c r="D4" s="21" t="s">
        <v>128</v>
      </c>
      <c r="E4" s="21" t="s">
        <v>129</v>
      </c>
      <c r="F4" s="21" t="s">
        <v>130</v>
      </c>
      <c r="G4" s="47" t="s">
        <v>277</v>
      </c>
      <c r="H4" s="231" t="s">
        <v>126</v>
      </c>
      <c r="I4" s="233">
        <v>1</v>
      </c>
      <c r="J4" s="239"/>
      <c r="K4" s="244"/>
      <c r="L4" s="14"/>
      <c r="M4" s="50"/>
    </row>
    <row r="5" spans="1:14" s="8" customFormat="1" ht="36.9" customHeight="1" x14ac:dyDescent="0.3">
      <c r="A5" s="232"/>
      <c r="B5" s="236"/>
      <c r="C5" s="187"/>
      <c r="D5" s="17"/>
      <c r="E5" s="18"/>
      <c r="F5" s="18"/>
      <c r="G5" s="19"/>
      <c r="H5" s="232"/>
      <c r="I5" s="236"/>
      <c r="J5" s="238"/>
      <c r="K5" s="245"/>
      <c r="L5" s="14">
        <v>0</v>
      </c>
      <c r="M5" s="127">
        <f>IF(L5=0,0,L5-1)</f>
        <v>0</v>
      </c>
    </row>
    <row r="6" spans="1:14" s="22" customFormat="1" ht="117.75" customHeight="1" x14ac:dyDescent="0.3">
      <c r="A6" s="231" t="s">
        <v>126</v>
      </c>
      <c r="B6" s="233">
        <v>2</v>
      </c>
      <c r="C6" s="186" t="s">
        <v>131</v>
      </c>
      <c r="D6" s="21" t="s">
        <v>132</v>
      </c>
      <c r="E6" s="21" t="s">
        <v>133</v>
      </c>
      <c r="F6" s="21" t="s">
        <v>134</v>
      </c>
      <c r="G6" s="47" t="s">
        <v>135</v>
      </c>
      <c r="H6" s="231" t="s">
        <v>126</v>
      </c>
      <c r="I6" s="233">
        <v>2</v>
      </c>
      <c r="J6" s="237"/>
      <c r="K6" s="246"/>
      <c r="L6" s="27"/>
      <c r="M6" s="50"/>
    </row>
    <row r="7" spans="1:14" s="3" customFormat="1" ht="36.9" customHeight="1" x14ac:dyDescent="0.3">
      <c r="A7" s="232"/>
      <c r="B7" s="234"/>
      <c r="C7" s="187"/>
      <c r="D7" s="17"/>
      <c r="E7" s="18"/>
      <c r="F7" s="18"/>
      <c r="G7" s="19"/>
      <c r="H7" s="232"/>
      <c r="I7" s="234"/>
      <c r="J7" s="238"/>
      <c r="K7" s="247"/>
      <c r="L7" s="14">
        <v>0</v>
      </c>
      <c r="M7" s="127">
        <f>IF(L7=0,0,L7-1)</f>
        <v>0</v>
      </c>
    </row>
    <row r="8" spans="1:14" s="53" customFormat="1" ht="72" customHeight="1" x14ac:dyDescent="0.3">
      <c r="A8" s="216" t="s">
        <v>126</v>
      </c>
      <c r="B8" s="182">
        <v>3</v>
      </c>
      <c r="C8" s="186" t="s">
        <v>136</v>
      </c>
      <c r="D8" s="20" t="s">
        <v>137</v>
      </c>
      <c r="E8" s="20" t="s">
        <v>138</v>
      </c>
      <c r="F8" s="20" t="s">
        <v>139</v>
      </c>
      <c r="G8" s="20" t="s">
        <v>140</v>
      </c>
      <c r="H8" s="216" t="s">
        <v>126</v>
      </c>
      <c r="I8" s="182">
        <v>3</v>
      </c>
      <c r="J8" s="240"/>
      <c r="K8" s="248"/>
      <c r="L8" s="49"/>
      <c r="M8" s="50"/>
    </row>
    <row r="9" spans="1:14" s="53" customFormat="1" ht="36.9" customHeight="1" x14ac:dyDescent="0.3">
      <c r="A9" s="217"/>
      <c r="B9" s="243"/>
      <c r="C9" s="187"/>
      <c r="D9" s="17"/>
      <c r="E9" s="18"/>
      <c r="F9" s="18"/>
      <c r="G9" s="19"/>
      <c r="H9" s="217"/>
      <c r="I9" s="243"/>
      <c r="J9" s="191"/>
      <c r="K9" s="249"/>
      <c r="L9" s="49">
        <v>0</v>
      </c>
      <c r="M9" s="127">
        <f>IF(L9=0,0,L9-1)</f>
        <v>0</v>
      </c>
    </row>
    <row r="10" spans="1:14" s="53" customFormat="1" ht="81" customHeight="1" x14ac:dyDescent="0.3">
      <c r="A10" s="231" t="s">
        <v>126</v>
      </c>
      <c r="B10" s="233">
        <v>4</v>
      </c>
      <c r="C10" s="186" t="s">
        <v>141</v>
      </c>
      <c r="D10" s="20" t="s">
        <v>142</v>
      </c>
      <c r="E10" s="20" t="s">
        <v>143</v>
      </c>
      <c r="F10" s="20" t="s">
        <v>144</v>
      </c>
      <c r="G10" s="20" t="s">
        <v>145</v>
      </c>
      <c r="H10" s="231" t="s">
        <v>126</v>
      </c>
      <c r="I10" s="233">
        <v>4</v>
      </c>
      <c r="J10" s="239"/>
      <c r="K10" s="244"/>
      <c r="L10" s="49"/>
      <c r="M10" s="58"/>
    </row>
    <row r="11" spans="1:14" s="3" customFormat="1" ht="36.9" customHeight="1" x14ac:dyDescent="0.3">
      <c r="A11" s="232"/>
      <c r="B11" s="234"/>
      <c r="C11" s="187"/>
      <c r="D11" s="17"/>
      <c r="E11" s="18"/>
      <c r="F11" s="18"/>
      <c r="G11" s="19"/>
      <c r="H11" s="232"/>
      <c r="I11" s="234"/>
      <c r="J11" s="238"/>
      <c r="K11" s="245"/>
      <c r="L11" s="14">
        <v>0</v>
      </c>
      <c r="M11" s="127">
        <f>IF(L11=0,0,L11-1)</f>
        <v>0</v>
      </c>
    </row>
    <row r="12" spans="1:14" s="3" customFormat="1" ht="118.5" customHeight="1" x14ac:dyDescent="0.3">
      <c r="A12" s="231" t="s">
        <v>126</v>
      </c>
      <c r="B12" s="233">
        <v>5</v>
      </c>
      <c r="C12" s="186" t="s">
        <v>146</v>
      </c>
      <c r="D12" s="40" t="s">
        <v>147</v>
      </c>
      <c r="E12" s="40" t="s">
        <v>148</v>
      </c>
      <c r="F12" s="40" t="s">
        <v>149</v>
      </c>
      <c r="G12" s="40" t="s">
        <v>278</v>
      </c>
      <c r="H12" s="231" t="s">
        <v>126</v>
      </c>
      <c r="I12" s="233">
        <v>5</v>
      </c>
      <c r="J12" s="241"/>
      <c r="K12" s="244"/>
      <c r="L12" s="14"/>
      <c r="M12" s="59"/>
    </row>
    <row r="13" spans="1:14" s="3" customFormat="1" ht="68.25" customHeight="1" x14ac:dyDescent="0.3">
      <c r="A13" s="232"/>
      <c r="B13" s="234"/>
      <c r="C13" s="187"/>
      <c r="D13" s="17"/>
      <c r="E13" s="18"/>
      <c r="F13" s="18"/>
      <c r="G13" s="19"/>
      <c r="H13" s="232"/>
      <c r="I13" s="234"/>
      <c r="J13" s="242"/>
      <c r="K13" s="245"/>
      <c r="L13" s="14">
        <v>0</v>
      </c>
      <c r="M13" s="127">
        <f>IF(L13=0,0,L13-1)</f>
        <v>0</v>
      </c>
    </row>
  </sheetData>
  <mergeCells count="42">
    <mergeCell ref="K4:K5"/>
    <mergeCell ref="K6:K7"/>
    <mergeCell ref="K8:K9"/>
    <mergeCell ref="K10:K11"/>
    <mergeCell ref="K12:K13"/>
    <mergeCell ref="B4:B5"/>
    <mergeCell ref="C8:C9"/>
    <mergeCell ref="J6:J7"/>
    <mergeCell ref="J4:J5"/>
    <mergeCell ref="B12:B13"/>
    <mergeCell ref="J8:J9"/>
    <mergeCell ref="J12:J13"/>
    <mergeCell ref="B8:B9"/>
    <mergeCell ref="H4:H5"/>
    <mergeCell ref="I4:I5"/>
    <mergeCell ref="H6:H7"/>
    <mergeCell ref="I6:I7"/>
    <mergeCell ref="H8:H9"/>
    <mergeCell ref="I8:I9"/>
    <mergeCell ref="J10:J11"/>
    <mergeCell ref="A12:A13"/>
    <mergeCell ref="C12:C13"/>
    <mergeCell ref="H10:H11"/>
    <mergeCell ref="I10:I11"/>
    <mergeCell ref="H12:H13"/>
    <mergeCell ref="I12:I13"/>
    <mergeCell ref="H1:I2"/>
    <mergeCell ref="H3:I3"/>
    <mergeCell ref="A10:A11"/>
    <mergeCell ref="B10:B11"/>
    <mergeCell ref="C10:C11"/>
    <mergeCell ref="E1:E2"/>
    <mergeCell ref="F1:F2"/>
    <mergeCell ref="G1:G2"/>
    <mergeCell ref="C4:C5"/>
    <mergeCell ref="C6:C7"/>
    <mergeCell ref="D1:D2"/>
    <mergeCell ref="A8:A9"/>
    <mergeCell ref="A4:A5"/>
    <mergeCell ref="A1:C2"/>
    <mergeCell ref="B6:B7"/>
    <mergeCell ref="A6:A7"/>
  </mergeCells>
  <pageMargins left="7.874015748031496E-2" right="7.874015748031496E-2" top="0.59055118110236227" bottom="0.39370078740157483" header="0.31496062992125984" footer="0.31496062992125984"/>
  <pageSetup paperSize="9" scale="80" orientation="landscape"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7255" r:id="rId4" name="Group Box 87">
              <controlPr defaultSize="0" autoFill="0" autoPict="0">
                <anchor moveWithCells="1">
                  <from>
                    <xdr:col>3</xdr:col>
                    <xdr:colOff>38100</xdr:colOff>
                    <xdr:row>4</xdr:row>
                    <xdr:rowOff>38100</xdr:rowOff>
                  </from>
                  <to>
                    <xdr:col>6</xdr:col>
                    <xdr:colOff>2514600</xdr:colOff>
                    <xdr:row>4</xdr:row>
                    <xdr:rowOff>419100</xdr:rowOff>
                  </to>
                </anchor>
              </controlPr>
            </control>
          </mc:Choice>
        </mc:AlternateContent>
        <mc:AlternateContent xmlns:mc="http://schemas.openxmlformats.org/markup-compatibility/2006">
          <mc:Choice Requires="x14">
            <control shapeId="7256" r:id="rId5" name="Option Button 88">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7257" r:id="rId6" name="Option Button 89">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7258" r:id="rId7" name="Option Button 90">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7259" r:id="rId8" name="Option Button 91">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7260" r:id="rId9" name="Group Box 92">
              <controlPr defaultSize="0" autoFill="0" autoPict="0">
                <anchor moveWithCells="1">
                  <from>
                    <xdr:col>3</xdr:col>
                    <xdr:colOff>38100</xdr:colOff>
                    <xdr:row>6</xdr:row>
                    <xdr:rowOff>38100</xdr:rowOff>
                  </from>
                  <to>
                    <xdr:col>6</xdr:col>
                    <xdr:colOff>2514600</xdr:colOff>
                    <xdr:row>6</xdr:row>
                    <xdr:rowOff>419100</xdr:rowOff>
                  </to>
                </anchor>
              </controlPr>
            </control>
          </mc:Choice>
        </mc:AlternateContent>
        <mc:AlternateContent xmlns:mc="http://schemas.openxmlformats.org/markup-compatibility/2006">
          <mc:Choice Requires="x14">
            <control shapeId="7261" r:id="rId10" name="Option Button 93">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7262" r:id="rId11" name="Option Button 94">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7263" r:id="rId12" name="Option Button 95">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7264" r:id="rId13" name="Option Button 96">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7265" r:id="rId14" name="Group Box 97">
              <controlPr defaultSize="0" autoFill="0" autoPict="0">
                <anchor moveWithCells="1">
                  <from>
                    <xdr:col>3</xdr:col>
                    <xdr:colOff>38100</xdr:colOff>
                    <xdr:row>8</xdr:row>
                    <xdr:rowOff>38100</xdr:rowOff>
                  </from>
                  <to>
                    <xdr:col>6</xdr:col>
                    <xdr:colOff>2514600</xdr:colOff>
                    <xdr:row>8</xdr:row>
                    <xdr:rowOff>419100</xdr:rowOff>
                  </to>
                </anchor>
              </controlPr>
            </control>
          </mc:Choice>
        </mc:AlternateContent>
        <mc:AlternateContent xmlns:mc="http://schemas.openxmlformats.org/markup-compatibility/2006">
          <mc:Choice Requires="x14">
            <control shapeId="7266" r:id="rId15" name="Option Button 98">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7267" r:id="rId16" name="Option Button 99">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7268" r:id="rId17" name="Option Button 100">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7269" r:id="rId18" name="Option Button 101">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7270" r:id="rId19" name="Group Box 102">
              <controlPr defaultSize="0" autoFill="0" autoPict="0">
                <anchor moveWithCells="1">
                  <from>
                    <xdr:col>3</xdr:col>
                    <xdr:colOff>38100</xdr:colOff>
                    <xdr:row>10</xdr:row>
                    <xdr:rowOff>38100</xdr:rowOff>
                  </from>
                  <to>
                    <xdr:col>6</xdr:col>
                    <xdr:colOff>2514600</xdr:colOff>
                    <xdr:row>10</xdr:row>
                    <xdr:rowOff>419100</xdr:rowOff>
                  </to>
                </anchor>
              </controlPr>
            </control>
          </mc:Choice>
        </mc:AlternateContent>
        <mc:AlternateContent xmlns:mc="http://schemas.openxmlformats.org/markup-compatibility/2006">
          <mc:Choice Requires="x14">
            <control shapeId="7271" r:id="rId20" name="Option Button 103">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7272" r:id="rId21" name="Option Button 104">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7273" r:id="rId22" name="Option Button 105">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7274" r:id="rId23" name="Option Button 106">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7275" r:id="rId24" name="Group Box 107">
              <controlPr defaultSize="0" autoFill="0" autoPict="0">
                <anchor moveWithCells="1">
                  <from>
                    <xdr:col>3</xdr:col>
                    <xdr:colOff>38100</xdr:colOff>
                    <xdr:row>12</xdr:row>
                    <xdr:rowOff>38100</xdr:rowOff>
                  </from>
                  <to>
                    <xdr:col>6</xdr:col>
                    <xdr:colOff>2514600</xdr:colOff>
                    <xdr:row>12</xdr:row>
                    <xdr:rowOff>419100</xdr:rowOff>
                  </to>
                </anchor>
              </controlPr>
            </control>
          </mc:Choice>
        </mc:AlternateContent>
        <mc:AlternateContent xmlns:mc="http://schemas.openxmlformats.org/markup-compatibility/2006">
          <mc:Choice Requires="x14">
            <control shapeId="7276" r:id="rId25" name="Option Button 108">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7277" r:id="rId26" name="Option Button 109">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7278" r:id="rId27" name="Option Button 110">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7279" r:id="rId28" name="Option Button 111">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B2CCA0"/>
  </sheetPr>
  <dimension ref="A1:N17"/>
  <sheetViews>
    <sheetView topLeftCell="G1" zoomScale="90" zoomScaleNormal="90" workbookViewId="0">
      <selection activeCell="G12" sqref="G12"/>
    </sheetView>
  </sheetViews>
  <sheetFormatPr baseColWidth="10" defaultColWidth="9.109375" defaultRowHeight="14.4" x14ac:dyDescent="0.3"/>
  <cols>
    <col min="1" max="1" width="3.33203125" style="74" customWidth="1"/>
    <col min="2" max="2" width="3.33203125" style="94" customWidth="1"/>
    <col min="3" max="3" width="25.6640625" style="95" customWidth="1"/>
    <col min="4" max="5" width="35.6640625" style="70" customWidth="1"/>
    <col min="6" max="7" width="38.6640625" style="70" customWidth="1"/>
    <col min="8" max="9" width="3.33203125" style="70" customWidth="1"/>
    <col min="10" max="11" width="50.6640625" style="96" customWidth="1"/>
    <col min="12" max="13" width="9.6640625" style="57" customWidth="1"/>
    <col min="14" max="16384" width="9.109375" style="70"/>
  </cols>
  <sheetData>
    <row r="1" spans="1:14" s="74" customFormat="1" ht="15" customHeight="1" x14ac:dyDescent="0.3">
      <c r="A1" s="195" t="s">
        <v>70</v>
      </c>
      <c r="B1" s="195"/>
      <c r="C1" s="195"/>
      <c r="D1" s="196" t="s">
        <v>71</v>
      </c>
      <c r="E1" s="198" t="s">
        <v>72</v>
      </c>
      <c r="F1" s="200" t="s">
        <v>73</v>
      </c>
      <c r="G1" s="202" t="s">
        <v>74</v>
      </c>
      <c r="H1" s="206"/>
      <c r="I1" s="207"/>
      <c r="J1" s="73" t="s">
        <v>75</v>
      </c>
      <c r="K1" s="254"/>
      <c r="L1" s="48"/>
      <c r="M1" s="50"/>
    </row>
    <row r="2" spans="1:14" s="41" customFormat="1" ht="21" customHeight="1" x14ac:dyDescent="0.3">
      <c r="A2" s="195"/>
      <c r="B2" s="195"/>
      <c r="C2" s="195"/>
      <c r="D2" s="197"/>
      <c r="E2" s="199"/>
      <c r="F2" s="201"/>
      <c r="G2" s="203"/>
      <c r="H2" s="208"/>
      <c r="I2" s="209"/>
      <c r="J2" s="75">
        <f>COUNTA(L4:L13)</f>
        <v>5</v>
      </c>
      <c r="K2" s="255"/>
      <c r="L2" s="48"/>
      <c r="M2" s="147">
        <f>COUNTIF(L5:L13,0)</f>
        <v>5</v>
      </c>
    </row>
    <row r="3" spans="1:14" s="53" customFormat="1" ht="24.9" customHeight="1" x14ac:dyDescent="0.3">
      <c r="A3" s="97" t="s">
        <v>150</v>
      </c>
      <c r="B3" s="98"/>
      <c r="C3" s="99"/>
      <c r="D3" s="78"/>
      <c r="E3" s="78"/>
      <c r="F3" s="78"/>
      <c r="G3" s="79"/>
      <c r="H3" s="210"/>
      <c r="I3" s="211"/>
      <c r="J3" s="91" t="s">
        <v>77</v>
      </c>
      <c r="K3" s="91" t="s">
        <v>78</v>
      </c>
      <c r="L3" s="56" t="s">
        <v>79</v>
      </c>
      <c r="M3" s="128" t="e">
        <f>SUM(M4:M13)/(5-M2)</f>
        <v>#DIV/0!</v>
      </c>
      <c r="N3" s="48"/>
    </row>
    <row r="4" spans="1:14" s="53" customFormat="1" ht="62.1" customHeight="1" x14ac:dyDescent="0.3">
      <c r="A4" s="216" t="s">
        <v>151</v>
      </c>
      <c r="B4" s="182">
        <v>1</v>
      </c>
      <c r="C4" s="186" t="s">
        <v>152</v>
      </c>
      <c r="D4" s="40" t="s">
        <v>153</v>
      </c>
      <c r="E4" s="40" t="s">
        <v>154</v>
      </c>
      <c r="F4" s="40" t="s">
        <v>155</v>
      </c>
      <c r="G4" s="40" t="s">
        <v>156</v>
      </c>
      <c r="H4" s="216" t="s">
        <v>151</v>
      </c>
      <c r="I4" s="182">
        <v>1</v>
      </c>
      <c r="J4" s="252"/>
      <c r="K4" s="256"/>
      <c r="L4" s="49"/>
      <c r="M4" s="50"/>
    </row>
    <row r="5" spans="1:14" ht="36.9" customHeight="1" x14ac:dyDescent="0.3">
      <c r="A5" s="217"/>
      <c r="B5" s="183"/>
      <c r="C5" s="187"/>
      <c r="D5" s="17"/>
      <c r="E5" s="18"/>
      <c r="F5" s="18"/>
      <c r="G5" s="19"/>
      <c r="H5" s="217"/>
      <c r="I5" s="183"/>
      <c r="J5" s="253"/>
      <c r="K5" s="257"/>
      <c r="L5" s="49">
        <v>0</v>
      </c>
      <c r="M5" s="127">
        <f>IF(L5=0,0,L5-1)</f>
        <v>0</v>
      </c>
    </row>
    <row r="6" spans="1:14" ht="66.75" customHeight="1" x14ac:dyDescent="0.3">
      <c r="A6" s="216" t="s">
        <v>151</v>
      </c>
      <c r="B6" s="182">
        <v>2</v>
      </c>
      <c r="C6" s="186" t="s">
        <v>157</v>
      </c>
      <c r="D6" s="100" t="s">
        <v>158</v>
      </c>
      <c r="E6" s="100" t="s">
        <v>159</v>
      </c>
      <c r="F6" s="100" t="s">
        <v>160</v>
      </c>
      <c r="G6" s="100" t="s">
        <v>161</v>
      </c>
      <c r="H6" s="216" t="s">
        <v>151</v>
      </c>
      <c r="I6" s="182">
        <v>2</v>
      </c>
      <c r="J6" s="218"/>
      <c r="K6" s="218"/>
      <c r="M6" s="50"/>
    </row>
    <row r="7" spans="1:14" ht="36.9" customHeight="1" x14ac:dyDescent="0.3">
      <c r="A7" s="217"/>
      <c r="B7" s="183"/>
      <c r="C7" s="187"/>
      <c r="D7" s="17"/>
      <c r="E7" s="18"/>
      <c r="F7" s="18"/>
      <c r="G7" s="19"/>
      <c r="H7" s="217"/>
      <c r="I7" s="183"/>
      <c r="J7" s="219"/>
      <c r="K7" s="219"/>
      <c r="L7" s="49">
        <v>0</v>
      </c>
      <c r="M7" s="127">
        <f>IF(L7=0,0,L7-1)</f>
        <v>0</v>
      </c>
    </row>
    <row r="8" spans="1:14" s="41" customFormat="1" ht="62.1" customHeight="1" x14ac:dyDescent="0.3">
      <c r="A8" s="180" t="s">
        <v>151</v>
      </c>
      <c r="B8" s="184">
        <v>3</v>
      </c>
      <c r="C8" s="186" t="s">
        <v>162</v>
      </c>
      <c r="D8" s="20" t="s">
        <v>163</v>
      </c>
      <c r="E8" s="20" t="s">
        <v>164</v>
      </c>
      <c r="F8" s="20" t="s">
        <v>165</v>
      </c>
      <c r="G8" s="20" t="s">
        <v>166</v>
      </c>
      <c r="H8" s="180" t="s">
        <v>151</v>
      </c>
      <c r="I8" s="184">
        <v>3</v>
      </c>
      <c r="J8" s="221"/>
      <c r="K8" s="221"/>
      <c r="L8" s="48"/>
      <c r="M8" s="50"/>
    </row>
    <row r="9" spans="1:14" s="41" customFormat="1" ht="36.9" customHeight="1" x14ac:dyDescent="0.3">
      <c r="A9" s="181"/>
      <c r="B9" s="185"/>
      <c r="C9" s="187"/>
      <c r="D9" s="17"/>
      <c r="E9" s="18"/>
      <c r="F9" s="18"/>
      <c r="G9" s="19"/>
      <c r="H9" s="181"/>
      <c r="I9" s="185"/>
      <c r="J9" s="222"/>
      <c r="K9" s="222"/>
      <c r="L9" s="49">
        <v>0</v>
      </c>
      <c r="M9" s="127">
        <f>IF(L9=0,0,L9-1)</f>
        <v>0</v>
      </c>
    </row>
    <row r="10" spans="1:14" s="53" customFormat="1" ht="62.1" customHeight="1" x14ac:dyDescent="0.3">
      <c r="A10" s="250" t="s">
        <v>151</v>
      </c>
      <c r="B10" s="251">
        <v>4</v>
      </c>
      <c r="C10" s="186" t="s">
        <v>167</v>
      </c>
      <c r="D10" s="40" t="s">
        <v>168</v>
      </c>
      <c r="E10" s="40" t="s">
        <v>169</v>
      </c>
      <c r="F10" s="40" t="s">
        <v>170</v>
      </c>
      <c r="G10" s="40" t="s">
        <v>171</v>
      </c>
      <c r="H10" s="250" t="s">
        <v>151</v>
      </c>
      <c r="I10" s="251">
        <v>4</v>
      </c>
      <c r="J10" s="218"/>
      <c r="K10" s="218"/>
      <c r="L10" s="49"/>
      <c r="M10" s="58"/>
    </row>
    <row r="11" spans="1:14" s="53" customFormat="1" ht="36.9" customHeight="1" x14ac:dyDescent="0.3">
      <c r="A11" s="217"/>
      <c r="B11" s="183"/>
      <c r="C11" s="187"/>
      <c r="D11" s="17"/>
      <c r="E11" s="18"/>
      <c r="F11" s="18"/>
      <c r="G11" s="19"/>
      <c r="H11" s="217"/>
      <c r="I11" s="183"/>
      <c r="J11" s="219"/>
      <c r="K11" s="219"/>
      <c r="L11" s="49">
        <v>0</v>
      </c>
      <c r="M11" s="127">
        <f>IF(L11=0,0,L11-1)</f>
        <v>0</v>
      </c>
    </row>
    <row r="12" spans="1:14" s="41" customFormat="1" ht="128.25" customHeight="1" x14ac:dyDescent="0.3">
      <c r="A12" s="180" t="s">
        <v>151</v>
      </c>
      <c r="B12" s="184">
        <v>5</v>
      </c>
      <c r="C12" s="186" t="s">
        <v>172</v>
      </c>
      <c r="D12" s="93" t="s">
        <v>280</v>
      </c>
      <c r="E12" s="20" t="s">
        <v>281</v>
      </c>
      <c r="F12" s="20" t="s">
        <v>282</v>
      </c>
      <c r="G12" s="20" t="s">
        <v>279</v>
      </c>
      <c r="H12" s="180" t="s">
        <v>151</v>
      </c>
      <c r="I12" s="184">
        <v>5</v>
      </c>
      <c r="J12" s="221"/>
      <c r="K12" s="221"/>
      <c r="L12" s="48"/>
      <c r="M12" s="59"/>
    </row>
    <row r="13" spans="1:14" s="41" customFormat="1" ht="36.9" customHeight="1" x14ac:dyDescent="0.3">
      <c r="A13" s="181"/>
      <c r="B13" s="185"/>
      <c r="C13" s="187"/>
      <c r="D13" s="17"/>
      <c r="E13" s="18"/>
      <c r="F13" s="18"/>
      <c r="G13" s="19"/>
      <c r="H13" s="181"/>
      <c r="I13" s="185"/>
      <c r="J13" s="222"/>
      <c r="K13" s="222"/>
      <c r="L13" s="49">
        <v>0</v>
      </c>
      <c r="M13" s="127">
        <f>IF(L13=0,0,L13-1)</f>
        <v>0</v>
      </c>
    </row>
    <row r="17" spans="3:3" x14ac:dyDescent="0.3">
      <c r="C17" s="101"/>
    </row>
  </sheetData>
  <mergeCells count="43">
    <mergeCell ref="K6:K7"/>
    <mergeCell ref="J4:J5"/>
    <mergeCell ref="J12:J13"/>
    <mergeCell ref="J10:J11"/>
    <mergeCell ref="K1:K2"/>
    <mergeCell ref="K4:K5"/>
    <mergeCell ref="K8:K9"/>
    <mergeCell ref="K10:K11"/>
    <mergeCell ref="K12:K13"/>
    <mergeCell ref="G1:G2"/>
    <mergeCell ref="J8:J9"/>
    <mergeCell ref="D1:D2"/>
    <mergeCell ref="E1:E2"/>
    <mergeCell ref="F1:F2"/>
    <mergeCell ref="H1:I2"/>
    <mergeCell ref="H3:I3"/>
    <mergeCell ref="H4:H5"/>
    <mergeCell ref="I4:I5"/>
    <mergeCell ref="A1:C2"/>
    <mergeCell ref="B10:B11"/>
    <mergeCell ref="A10:A11"/>
    <mergeCell ref="B8:B9"/>
    <mergeCell ref="A8:A9"/>
    <mergeCell ref="B4:B5"/>
    <mergeCell ref="A4:A5"/>
    <mergeCell ref="C4:C5"/>
    <mergeCell ref="C10:C11"/>
    <mergeCell ref="C8:C9"/>
    <mergeCell ref="C12:C13"/>
    <mergeCell ref="A6:A7"/>
    <mergeCell ref="B6:B7"/>
    <mergeCell ref="C6:C7"/>
    <mergeCell ref="J6:J7"/>
    <mergeCell ref="A12:A13"/>
    <mergeCell ref="B12:B13"/>
    <mergeCell ref="H6:H7"/>
    <mergeCell ref="I6:I7"/>
    <mergeCell ref="H8:H9"/>
    <mergeCell ref="I8:I9"/>
    <mergeCell ref="H10:H11"/>
    <mergeCell ref="I10:I11"/>
    <mergeCell ref="H12:H13"/>
    <mergeCell ref="I12:I13"/>
  </mergeCells>
  <pageMargins left="0.11811023622047245" right="0.11811023622047245" top="0.59055118110236227" bottom="0.39370078740157483" header="0.31496062992125984" footer="0.31496062992125984"/>
  <pageSetup paperSize="9" scale="8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230" r:id="rId4" name="Group Box 86">
              <controlPr defaultSize="0" autoFill="0" autoPict="0">
                <anchor moveWithCells="1">
                  <from>
                    <xdr:col>3</xdr:col>
                    <xdr:colOff>38100</xdr:colOff>
                    <xdr:row>4</xdr:row>
                    <xdr:rowOff>38100</xdr:rowOff>
                  </from>
                  <to>
                    <xdr:col>6</xdr:col>
                    <xdr:colOff>2552700</xdr:colOff>
                    <xdr:row>4</xdr:row>
                    <xdr:rowOff>419100</xdr:rowOff>
                  </to>
                </anchor>
              </controlPr>
            </control>
          </mc:Choice>
        </mc:AlternateContent>
        <mc:AlternateContent xmlns:mc="http://schemas.openxmlformats.org/markup-compatibility/2006">
          <mc:Choice Requires="x14">
            <control shapeId="6231" r:id="rId5" name="Option Button 87">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6232" r:id="rId6" name="Option Button 88">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6233" r:id="rId7" name="Option Button 89">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6234" r:id="rId8" name="Option Button 90">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6235" r:id="rId9" name="Group Box 91">
              <controlPr defaultSize="0" autoFill="0" autoPict="0">
                <anchor moveWithCells="1">
                  <from>
                    <xdr:col>3</xdr:col>
                    <xdr:colOff>30480</xdr:colOff>
                    <xdr:row>6</xdr:row>
                    <xdr:rowOff>30480</xdr:rowOff>
                  </from>
                  <to>
                    <xdr:col>6</xdr:col>
                    <xdr:colOff>2545080</xdr:colOff>
                    <xdr:row>6</xdr:row>
                    <xdr:rowOff>411480</xdr:rowOff>
                  </to>
                </anchor>
              </controlPr>
            </control>
          </mc:Choice>
        </mc:AlternateContent>
        <mc:AlternateContent xmlns:mc="http://schemas.openxmlformats.org/markup-compatibility/2006">
          <mc:Choice Requires="x14">
            <control shapeId="6236" r:id="rId10" name="Option Button 92">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6237" r:id="rId11" name="Option Button 93">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6238" r:id="rId12" name="Option Button 94">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6239" r:id="rId13" name="Option Button 95">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6240" r:id="rId14" name="Group Box 96">
              <controlPr defaultSize="0" autoFill="0" autoPict="0">
                <anchor moveWithCells="1">
                  <from>
                    <xdr:col>3</xdr:col>
                    <xdr:colOff>30480</xdr:colOff>
                    <xdr:row>8</xdr:row>
                    <xdr:rowOff>38100</xdr:rowOff>
                  </from>
                  <to>
                    <xdr:col>6</xdr:col>
                    <xdr:colOff>2545080</xdr:colOff>
                    <xdr:row>8</xdr:row>
                    <xdr:rowOff>419100</xdr:rowOff>
                  </to>
                </anchor>
              </controlPr>
            </control>
          </mc:Choice>
        </mc:AlternateContent>
        <mc:AlternateContent xmlns:mc="http://schemas.openxmlformats.org/markup-compatibility/2006">
          <mc:Choice Requires="x14">
            <control shapeId="6241" r:id="rId15" name="Option Button 97">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6242" r:id="rId16" name="Option Button 98">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6243" r:id="rId17" name="Option Button 99">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6244" r:id="rId18" name="Option Button 100">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6245" r:id="rId19" name="Group Box 101">
              <controlPr defaultSize="0" autoFill="0" autoPict="0">
                <anchor moveWithCells="1">
                  <from>
                    <xdr:col>3</xdr:col>
                    <xdr:colOff>30480</xdr:colOff>
                    <xdr:row>10</xdr:row>
                    <xdr:rowOff>38100</xdr:rowOff>
                  </from>
                  <to>
                    <xdr:col>6</xdr:col>
                    <xdr:colOff>2545080</xdr:colOff>
                    <xdr:row>10</xdr:row>
                    <xdr:rowOff>419100</xdr:rowOff>
                  </to>
                </anchor>
              </controlPr>
            </control>
          </mc:Choice>
        </mc:AlternateContent>
        <mc:AlternateContent xmlns:mc="http://schemas.openxmlformats.org/markup-compatibility/2006">
          <mc:Choice Requires="x14">
            <control shapeId="6246" r:id="rId20" name="Option Button 102">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6247" r:id="rId21" name="Option Button 103">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6248" r:id="rId22" name="Option Button 104">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6249" r:id="rId23" name="Option Button 105">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6250" r:id="rId24" name="Group Box 106">
              <controlPr defaultSize="0" autoFill="0" autoPict="0">
                <anchor moveWithCells="1">
                  <from>
                    <xdr:col>3</xdr:col>
                    <xdr:colOff>30480</xdr:colOff>
                    <xdr:row>12</xdr:row>
                    <xdr:rowOff>38100</xdr:rowOff>
                  </from>
                  <to>
                    <xdr:col>6</xdr:col>
                    <xdr:colOff>2552700</xdr:colOff>
                    <xdr:row>12</xdr:row>
                    <xdr:rowOff>419100</xdr:rowOff>
                  </to>
                </anchor>
              </controlPr>
            </control>
          </mc:Choice>
        </mc:AlternateContent>
        <mc:AlternateContent xmlns:mc="http://schemas.openxmlformats.org/markup-compatibility/2006">
          <mc:Choice Requires="x14">
            <control shapeId="6251" r:id="rId25" name="Option Button 107">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6252" r:id="rId26" name="Option Button 108">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6253" r:id="rId27" name="Option Button 109">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6254" r:id="rId28" name="Option Button 110">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B2CCA0"/>
  </sheetPr>
  <dimension ref="A1:N13"/>
  <sheetViews>
    <sheetView topLeftCell="J1" zoomScale="90" zoomScaleNormal="90" workbookViewId="0">
      <selection activeCell="M3" sqref="M3"/>
    </sheetView>
  </sheetViews>
  <sheetFormatPr baseColWidth="10" defaultColWidth="9.109375" defaultRowHeight="14.4" x14ac:dyDescent="0.3"/>
  <cols>
    <col min="1" max="1" width="3.33203125" style="70" customWidth="1"/>
    <col min="2" max="2" width="3.33203125" style="108" customWidth="1"/>
    <col min="3" max="3" width="25.6640625" style="95" customWidth="1"/>
    <col min="4" max="5" width="35.6640625" style="70" customWidth="1"/>
    <col min="6" max="7" width="38.6640625" style="70" customWidth="1"/>
    <col min="8" max="8" width="3.33203125" style="70" customWidth="1"/>
    <col min="9" max="9" width="3.33203125" style="120" customWidth="1"/>
    <col min="10" max="11" width="50.6640625" style="96" customWidth="1"/>
    <col min="12" max="13" width="9.6640625" style="57" customWidth="1"/>
    <col min="14" max="16384" width="9.109375" style="70"/>
  </cols>
  <sheetData>
    <row r="1" spans="1:14" s="74" customFormat="1" ht="15" customHeight="1" x14ac:dyDescent="0.3">
      <c r="A1" s="195" t="s">
        <v>70</v>
      </c>
      <c r="B1" s="195"/>
      <c r="C1" s="195"/>
      <c r="D1" s="196" t="s">
        <v>71</v>
      </c>
      <c r="E1" s="198" t="s">
        <v>72</v>
      </c>
      <c r="F1" s="200" t="s">
        <v>73</v>
      </c>
      <c r="G1" s="202" t="s">
        <v>74</v>
      </c>
      <c r="H1" s="206"/>
      <c r="I1" s="207"/>
      <c r="J1" s="73" t="s">
        <v>75</v>
      </c>
      <c r="K1" s="73"/>
      <c r="L1" s="54"/>
      <c r="M1" s="54"/>
    </row>
    <row r="2" spans="1:14" s="41" customFormat="1" ht="21" customHeight="1" x14ac:dyDescent="0.3">
      <c r="A2" s="195"/>
      <c r="B2" s="195"/>
      <c r="C2" s="195"/>
      <c r="D2" s="197"/>
      <c r="E2" s="199"/>
      <c r="F2" s="201"/>
      <c r="G2" s="203"/>
      <c r="H2" s="208"/>
      <c r="I2" s="209"/>
      <c r="J2" s="75">
        <f>COUNTA(L4:L13)</f>
        <v>5</v>
      </c>
      <c r="K2" s="75"/>
      <c r="L2" s="48"/>
      <c r="M2" s="147">
        <f>COUNTIF(L5:L13,0)</f>
        <v>5</v>
      </c>
    </row>
    <row r="3" spans="1:14" s="41" customFormat="1" ht="24.9" customHeight="1" x14ac:dyDescent="0.3">
      <c r="A3" s="32" t="s">
        <v>173</v>
      </c>
      <c r="B3" s="102"/>
      <c r="C3" s="103"/>
      <c r="D3" s="104"/>
      <c r="E3" s="104"/>
      <c r="F3" s="104"/>
      <c r="G3" s="105"/>
      <c r="H3" s="264"/>
      <c r="I3" s="265"/>
      <c r="J3" s="106" t="s">
        <v>270</v>
      </c>
      <c r="K3" s="91" t="s">
        <v>78</v>
      </c>
      <c r="L3" s="56" t="s">
        <v>79</v>
      </c>
      <c r="M3" s="128" t="e">
        <f>SUM(M4:M13)/(5-M2)</f>
        <v>#DIV/0!</v>
      </c>
      <c r="N3" s="48"/>
    </row>
    <row r="4" spans="1:14" s="41" customFormat="1" ht="130.5" customHeight="1" x14ac:dyDescent="0.3">
      <c r="A4" s="180" t="s">
        <v>174</v>
      </c>
      <c r="B4" s="184">
        <v>1</v>
      </c>
      <c r="C4" s="186" t="s">
        <v>175</v>
      </c>
      <c r="D4" s="20" t="s">
        <v>176</v>
      </c>
      <c r="E4" s="20" t="s">
        <v>177</v>
      </c>
      <c r="F4" s="20" t="s">
        <v>178</v>
      </c>
      <c r="G4" s="20" t="s">
        <v>283</v>
      </c>
      <c r="H4" s="180" t="s">
        <v>174</v>
      </c>
      <c r="I4" s="184">
        <v>1</v>
      </c>
      <c r="J4" s="220"/>
      <c r="K4" s="220"/>
      <c r="L4" s="48"/>
      <c r="M4" s="50"/>
    </row>
    <row r="5" spans="1:14" s="41" customFormat="1" ht="36.9" customHeight="1" x14ac:dyDescent="0.3">
      <c r="A5" s="181"/>
      <c r="B5" s="185"/>
      <c r="C5" s="187"/>
      <c r="D5" s="17"/>
      <c r="E5" s="18"/>
      <c r="F5" s="18"/>
      <c r="G5" s="19"/>
      <c r="H5" s="181"/>
      <c r="I5" s="185"/>
      <c r="J5" s="220"/>
      <c r="K5" s="220"/>
      <c r="L5" s="49">
        <v>0</v>
      </c>
      <c r="M5" s="127">
        <f>IF(L5=0,0,L5-1)</f>
        <v>0</v>
      </c>
    </row>
    <row r="6" spans="1:14" ht="110.25" customHeight="1" x14ac:dyDescent="0.3">
      <c r="A6" s="212" t="s">
        <v>174</v>
      </c>
      <c r="B6" s="214">
        <v>2</v>
      </c>
      <c r="C6" s="186" t="s">
        <v>179</v>
      </c>
      <c r="D6" s="20" t="s">
        <v>180</v>
      </c>
      <c r="E6" s="20" t="s">
        <v>181</v>
      </c>
      <c r="F6" s="20" t="s">
        <v>182</v>
      </c>
      <c r="G6" s="20" t="s">
        <v>183</v>
      </c>
      <c r="H6" s="212" t="s">
        <v>174</v>
      </c>
      <c r="I6" s="214">
        <v>2</v>
      </c>
      <c r="J6" s="260"/>
      <c r="K6" s="260"/>
      <c r="M6" s="50"/>
    </row>
    <row r="7" spans="1:14" ht="36.9" customHeight="1" x14ac:dyDescent="0.3">
      <c r="A7" s="213"/>
      <c r="B7" s="215"/>
      <c r="C7" s="187"/>
      <c r="D7" s="17"/>
      <c r="E7" s="18"/>
      <c r="F7" s="18"/>
      <c r="G7" s="19"/>
      <c r="H7" s="213"/>
      <c r="I7" s="215"/>
      <c r="J7" s="261"/>
      <c r="K7" s="261"/>
      <c r="L7" s="49">
        <v>0</v>
      </c>
      <c r="M7" s="127">
        <f>IF(L7=0,0,L7-1)</f>
        <v>0</v>
      </c>
    </row>
    <row r="8" spans="1:14" s="41" customFormat="1" ht="135" customHeight="1" x14ac:dyDescent="0.3">
      <c r="A8" s="180" t="s">
        <v>174</v>
      </c>
      <c r="B8" s="184">
        <v>3</v>
      </c>
      <c r="C8" s="186" t="s">
        <v>184</v>
      </c>
      <c r="D8" s="20" t="s">
        <v>185</v>
      </c>
      <c r="E8" s="20" t="s">
        <v>186</v>
      </c>
      <c r="F8" s="20" t="s">
        <v>187</v>
      </c>
      <c r="G8" s="20" t="s">
        <v>188</v>
      </c>
      <c r="H8" s="180" t="s">
        <v>174</v>
      </c>
      <c r="I8" s="184">
        <v>3</v>
      </c>
      <c r="J8" s="220"/>
      <c r="K8" s="220"/>
      <c r="L8" s="48"/>
      <c r="M8" s="50"/>
    </row>
    <row r="9" spans="1:14" s="41" customFormat="1" ht="36.9" customHeight="1" x14ac:dyDescent="0.3">
      <c r="A9" s="181"/>
      <c r="B9" s="185"/>
      <c r="C9" s="187"/>
      <c r="D9" s="17"/>
      <c r="E9" s="18"/>
      <c r="F9" s="18"/>
      <c r="G9" s="19"/>
      <c r="H9" s="181"/>
      <c r="I9" s="185"/>
      <c r="J9" s="220"/>
      <c r="K9" s="220"/>
      <c r="L9" s="49">
        <v>0</v>
      </c>
      <c r="M9" s="127">
        <f>IF(L9=0,0,L9-1)</f>
        <v>0</v>
      </c>
    </row>
    <row r="10" spans="1:14" s="53" customFormat="1" ht="148.5" customHeight="1" x14ac:dyDescent="0.3">
      <c r="A10" s="180" t="s">
        <v>174</v>
      </c>
      <c r="B10" s="184">
        <v>4</v>
      </c>
      <c r="C10" s="186" t="s">
        <v>189</v>
      </c>
      <c r="D10" s="20" t="s">
        <v>190</v>
      </c>
      <c r="E10" s="20" t="s">
        <v>191</v>
      </c>
      <c r="F10" s="20" t="s">
        <v>192</v>
      </c>
      <c r="G10" s="20" t="s">
        <v>193</v>
      </c>
      <c r="H10" s="180" t="s">
        <v>174</v>
      </c>
      <c r="I10" s="184">
        <v>4</v>
      </c>
      <c r="J10" s="220"/>
      <c r="K10" s="220"/>
      <c r="L10" s="49"/>
      <c r="M10" s="58"/>
    </row>
    <row r="11" spans="1:14" s="53" customFormat="1" ht="36.9" customHeight="1" x14ac:dyDescent="0.3">
      <c r="A11" s="181"/>
      <c r="B11" s="185"/>
      <c r="C11" s="187"/>
      <c r="D11" s="17"/>
      <c r="E11" s="18"/>
      <c r="F11" s="18"/>
      <c r="G11" s="19"/>
      <c r="H11" s="181"/>
      <c r="I11" s="185"/>
      <c r="J11" s="220"/>
      <c r="K11" s="220"/>
      <c r="L11" s="49">
        <v>0</v>
      </c>
      <c r="M11" s="127">
        <f>IF(L11=0,0,L11-1)</f>
        <v>0</v>
      </c>
    </row>
    <row r="12" spans="1:14" s="107" customFormat="1" ht="56.25" customHeight="1" x14ac:dyDescent="0.3">
      <c r="A12" s="212" t="s">
        <v>174</v>
      </c>
      <c r="B12" s="214">
        <v>5</v>
      </c>
      <c r="C12" s="186" t="s">
        <v>194</v>
      </c>
      <c r="D12" s="20" t="s">
        <v>195</v>
      </c>
      <c r="E12" s="20" t="s">
        <v>196</v>
      </c>
      <c r="F12" s="20" t="s">
        <v>197</v>
      </c>
      <c r="G12" s="20" t="s">
        <v>198</v>
      </c>
      <c r="H12" s="212" t="s">
        <v>174</v>
      </c>
      <c r="I12" s="214">
        <v>5</v>
      </c>
      <c r="J12" s="262"/>
      <c r="K12" s="258"/>
      <c r="L12" s="64"/>
      <c r="M12" s="59"/>
    </row>
    <row r="13" spans="1:14" s="107" customFormat="1" ht="36.9" customHeight="1" x14ac:dyDescent="0.3">
      <c r="A13" s="213"/>
      <c r="B13" s="215"/>
      <c r="C13" s="187"/>
      <c r="D13" s="17"/>
      <c r="E13" s="18"/>
      <c r="F13" s="18"/>
      <c r="G13" s="19"/>
      <c r="H13" s="213"/>
      <c r="I13" s="215"/>
      <c r="J13" s="263"/>
      <c r="K13" s="259"/>
      <c r="L13" s="49">
        <v>0</v>
      </c>
      <c r="M13" s="127">
        <f>IF(L13=0,0,L13-1)</f>
        <v>0</v>
      </c>
    </row>
  </sheetData>
  <mergeCells count="42">
    <mergeCell ref="C8:C9"/>
    <mergeCell ref="B8:B9"/>
    <mergeCell ref="A8:A9"/>
    <mergeCell ref="J4:J5"/>
    <mergeCell ref="J8:J9"/>
    <mergeCell ref="A6:A7"/>
    <mergeCell ref="I6:I7"/>
    <mergeCell ref="H8:H9"/>
    <mergeCell ref="I8:I9"/>
    <mergeCell ref="F1:F2"/>
    <mergeCell ref="J6:J7"/>
    <mergeCell ref="B6:B7"/>
    <mergeCell ref="C6:C7"/>
    <mergeCell ref="A4:A5"/>
    <mergeCell ref="B4:B5"/>
    <mergeCell ref="C4:C5"/>
    <mergeCell ref="G1:G2"/>
    <mergeCell ref="A1:C2"/>
    <mergeCell ref="D1:D2"/>
    <mergeCell ref="E1:E2"/>
    <mergeCell ref="H1:I2"/>
    <mergeCell ref="H3:I3"/>
    <mergeCell ref="H4:H5"/>
    <mergeCell ref="I4:I5"/>
    <mergeCell ref="H6:H7"/>
    <mergeCell ref="A12:A13"/>
    <mergeCell ref="B12:B13"/>
    <mergeCell ref="C12:C13"/>
    <mergeCell ref="J12:J13"/>
    <mergeCell ref="C10:C11"/>
    <mergeCell ref="J10:J11"/>
    <mergeCell ref="A10:A11"/>
    <mergeCell ref="B10:B11"/>
    <mergeCell ref="H10:H11"/>
    <mergeCell ref="I10:I11"/>
    <mergeCell ref="H12:H13"/>
    <mergeCell ref="I12:I13"/>
    <mergeCell ref="K12:K13"/>
    <mergeCell ref="K4:K5"/>
    <mergeCell ref="K6:K7"/>
    <mergeCell ref="K8:K9"/>
    <mergeCell ref="K10:K11"/>
  </mergeCells>
  <pageMargins left="0.11811023622047245" right="0.11811023622047245" top="0.59055118110236227" bottom="0.39370078740157483" header="0.31496062992125984" footer="0.31496062992125984"/>
  <pageSetup paperSize="9" scale="8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361" r:id="rId4" name="Group Box 145">
              <controlPr defaultSize="0" autoFill="0" autoPict="0">
                <anchor moveWithCells="1">
                  <from>
                    <xdr:col>3</xdr:col>
                    <xdr:colOff>38100</xdr:colOff>
                    <xdr:row>4</xdr:row>
                    <xdr:rowOff>38100</xdr:rowOff>
                  </from>
                  <to>
                    <xdr:col>6</xdr:col>
                    <xdr:colOff>2552700</xdr:colOff>
                    <xdr:row>4</xdr:row>
                    <xdr:rowOff>419100</xdr:rowOff>
                  </to>
                </anchor>
              </controlPr>
            </control>
          </mc:Choice>
        </mc:AlternateContent>
        <mc:AlternateContent xmlns:mc="http://schemas.openxmlformats.org/markup-compatibility/2006">
          <mc:Choice Requires="x14">
            <control shapeId="9362" r:id="rId5" name="Option Button 146">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9363" r:id="rId6" name="Option Button 147">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9364" r:id="rId7" name="Option Button 148">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9365" r:id="rId8" name="Option Button 149">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9366" r:id="rId9" name="Group Box 150">
              <controlPr defaultSize="0" autoFill="0" autoPict="0">
                <anchor moveWithCells="1">
                  <from>
                    <xdr:col>3</xdr:col>
                    <xdr:colOff>38100</xdr:colOff>
                    <xdr:row>6</xdr:row>
                    <xdr:rowOff>38100</xdr:rowOff>
                  </from>
                  <to>
                    <xdr:col>6</xdr:col>
                    <xdr:colOff>2552700</xdr:colOff>
                    <xdr:row>6</xdr:row>
                    <xdr:rowOff>419100</xdr:rowOff>
                  </to>
                </anchor>
              </controlPr>
            </control>
          </mc:Choice>
        </mc:AlternateContent>
        <mc:AlternateContent xmlns:mc="http://schemas.openxmlformats.org/markup-compatibility/2006">
          <mc:Choice Requires="x14">
            <control shapeId="9367" r:id="rId10" name="Option Button 151">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9368" r:id="rId11" name="Option Button 152">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9369" r:id="rId12" name="Option Button 153">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9370" r:id="rId13" name="Option Button 154">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9371" r:id="rId14" name="Group Box 155">
              <controlPr defaultSize="0" autoFill="0" autoPict="0">
                <anchor moveWithCells="1">
                  <from>
                    <xdr:col>3</xdr:col>
                    <xdr:colOff>38100</xdr:colOff>
                    <xdr:row>8</xdr:row>
                    <xdr:rowOff>38100</xdr:rowOff>
                  </from>
                  <to>
                    <xdr:col>6</xdr:col>
                    <xdr:colOff>2552700</xdr:colOff>
                    <xdr:row>8</xdr:row>
                    <xdr:rowOff>419100</xdr:rowOff>
                  </to>
                </anchor>
              </controlPr>
            </control>
          </mc:Choice>
        </mc:AlternateContent>
        <mc:AlternateContent xmlns:mc="http://schemas.openxmlformats.org/markup-compatibility/2006">
          <mc:Choice Requires="x14">
            <control shapeId="9372" r:id="rId15" name="Option Button 156">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9373" r:id="rId16" name="Option Button 157">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9374" r:id="rId17" name="Option Button 158">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9375" r:id="rId18" name="Option Button 159">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9376" r:id="rId19" name="Group Box 160">
              <controlPr defaultSize="0" autoFill="0" autoPict="0">
                <anchor moveWithCells="1">
                  <from>
                    <xdr:col>3</xdr:col>
                    <xdr:colOff>38100</xdr:colOff>
                    <xdr:row>10</xdr:row>
                    <xdr:rowOff>38100</xdr:rowOff>
                  </from>
                  <to>
                    <xdr:col>6</xdr:col>
                    <xdr:colOff>2552700</xdr:colOff>
                    <xdr:row>10</xdr:row>
                    <xdr:rowOff>419100</xdr:rowOff>
                  </to>
                </anchor>
              </controlPr>
            </control>
          </mc:Choice>
        </mc:AlternateContent>
        <mc:AlternateContent xmlns:mc="http://schemas.openxmlformats.org/markup-compatibility/2006">
          <mc:Choice Requires="x14">
            <control shapeId="9377" r:id="rId20" name="Option Button 161">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9378" r:id="rId21" name="Option Button 162">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9379" r:id="rId22" name="Option Button 163">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9380" r:id="rId23" name="Option Button 164">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9381" r:id="rId24" name="Group Box 165">
              <controlPr defaultSize="0" autoFill="0" autoPict="0">
                <anchor moveWithCells="1">
                  <from>
                    <xdr:col>3</xdr:col>
                    <xdr:colOff>38100</xdr:colOff>
                    <xdr:row>12</xdr:row>
                    <xdr:rowOff>38100</xdr:rowOff>
                  </from>
                  <to>
                    <xdr:col>6</xdr:col>
                    <xdr:colOff>2552700</xdr:colOff>
                    <xdr:row>12</xdr:row>
                    <xdr:rowOff>419100</xdr:rowOff>
                  </to>
                </anchor>
              </controlPr>
            </control>
          </mc:Choice>
        </mc:AlternateContent>
        <mc:AlternateContent xmlns:mc="http://schemas.openxmlformats.org/markup-compatibility/2006">
          <mc:Choice Requires="x14">
            <control shapeId="9382" r:id="rId25" name="Option Button 166">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9383" r:id="rId26" name="Option Button 167">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9384" r:id="rId27" name="Option Button 168">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9385" r:id="rId28" name="Option Button 169">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B2CCA0"/>
  </sheetPr>
  <dimension ref="A1:N17"/>
  <sheetViews>
    <sheetView topLeftCell="G1" zoomScale="90" zoomScaleNormal="90" workbookViewId="0">
      <selection activeCell="M3" sqref="M3"/>
    </sheetView>
  </sheetViews>
  <sheetFormatPr baseColWidth="10" defaultColWidth="9.109375" defaultRowHeight="14.4" x14ac:dyDescent="0.3"/>
  <cols>
    <col min="1" max="1" width="3.33203125" style="1" customWidth="1"/>
    <col min="2" max="2" width="3.33203125" style="35" customWidth="1"/>
    <col min="3" max="3" width="25.6640625" style="1" customWidth="1"/>
    <col min="4" max="5" width="35.6640625" style="1" customWidth="1"/>
    <col min="6" max="6" width="38.6640625" style="11" customWidth="1"/>
    <col min="7" max="7" width="38.6640625" style="1" customWidth="1"/>
    <col min="8" max="9" width="3.33203125" style="1" customWidth="1"/>
    <col min="10" max="11" width="50.6640625" style="1" customWidth="1"/>
    <col min="12" max="13" width="9.6640625" style="15" customWidth="1"/>
    <col min="14" max="16384" width="9.109375" style="1"/>
  </cols>
  <sheetData>
    <row r="1" spans="1:14" s="4" customFormat="1" ht="15" customHeight="1" x14ac:dyDescent="0.3">
      <c r="A1" s="235" t="s">
        <v>70</v>
      </c>
      <c r="B1" s="235"/>
      <c r="C1" s="235"/>
      <c r="D1" s="196" t="s">
        <v>71</v>
      </c>
      <c r="E1" s="198" t="s">
        <v>72</v>
      </c>
      <c r="F1" s="200" t="s">
        <v>73</v>
      </c>
      <c r="G1" s="202" t="s">
        <v>74</v>
      </c>
      <c r="H1" s="225"/>
      <c r="I1" s="226"/>
      <c r="J1" s="24" t="s">
        <v>75</v>
      </c>
      <c r="K1" s="24"/>
      <c r="L1" s="13"/>
      <c r="M1" s="13"/>
    </row>
    <row r="2" spans="1:14" s="2" customFormat="1" ht="21" customHeight="1" x14ac:dyDescent="0.3">
      <c r="A2" s="235"/>
      <c r="B2" s="235"/>
      <c r="C2" s="235"/>
      <c r="D2" s="197"/>
      <c r="E2" s="199"/>
      <c r="F2" s="201"/>
      <c r="G2" s="203"/>
      <c r="H2" s="227"/>
      <c r="I2" s="228"/>
      <c r="J2" s="25">
        <f>COUNTA(L3:L13)-1</f>
        <v>5</v>
      </c>
      <c r="K2" s="25"/>
      <c r="L2" s="16"/>
      <c r="M2" s="147">
        <f>COUNTIF(L5:L13,0)</f>
        <v>5</v>
      </c>
    </row>
    <row r="3" spans="1:14" ht="24.9" customHeight="1" x14ac:dyDescent="0.3">
      <c r="A3" s="5" t="s">
        <v>199</v>
      </c>
      <c r="B3" s="37"/>
      <c r="C3" s="36"/>
      <c r="D3" s="6"/>
      <c r="E3" s="6"/>
      <c r="F3" s="6"/>
      <c r="G3" s="7"/>
      <c r="H3" s="229"/>
      <c r="I3" s="230"/>
      <c r="J3" s="31" t="s">
        <v>270</v>
      </c>
      <c r="K3" s="31" t="s">
        <v>78</v>
      </c>
      <c r="L3" s="56" t="s">
        <v>79</v>
      </c>
      <c r="M3" s="128" t="e">
        <f>SUM(M4:M13)/(5-M2)</f>
        <v>#DIV/0!</v>
      </c>
      <c r="N3" s="48"/>
    </row>
    <row r="4" spans="1:14" ht="48" customHeight="1" x14ac:dyDescent="0.3">
      <c r="A4" s="266" t="s">
        <v>200</v>
      </c>
      <c r="B4" s="268">
        <v>1</v>
      </c>
      <c r="C4" s="274" t="s">
        <v>201</v>
      </c>
      <c r="D4" s="47" t="s">
        <v>202</v>
      </c>
      <c r="E4" s="47" t="s">
        <v>203</v>
      </c>
      <c r="F4" s="47" t="s">
        <v>204</v>
      </c>
      <c r="G4" s="47" t="s">
        <v>205</v>
      </c>
      <c r="H4" s="266" t="s">
        <v>200</v>
      </c>
      <c r="I4" s="268">
        <v>1</v>
      </c>
      <c r="J4" s="270"/>
      <c r="K4" s="270"/>
      <c r="M4" s="50"/>
    </row>
    <row r="5" spans="1:14" ht="36.9" customHeight="1" x14ac:dyDescent="0.3">
      <c r="A5" s="267"/>
      <c r="B5" s="269"/>
      <c r="C5" s="275"/>
      <c r="D5" s="17"/>
      <c r="E5" s="18"/>
      <c r="F5" s="18"/>
      <c r="G5" s="19"/>
      <c r="H5" s="267"/>
      <c r="I5" s="269"/>
      <c r="J5" s="271"/>
      <c r="K5" s="271"/>
      <c r="L5" s="14">
        <v>0</v>
      </c>
      <c r="M5" s="127">
        <f>IF(L5=0,0,L5-1)</f>
        <v>0</v>
      </c>
    </row>
    <row r="6" spans="1:14" ht="51.9" customHeight="1" x14ac:dyDescent="0.3">
      <c r="A6" s="266" t="s">
        <v>200</v>
      </c>
      <c r="B6" s="268">
        <v>2</v>
      </c>
      <c r="C6" s="274" t="s">
        <v>206</v>
      </c>
      <c r="D6" s="47" t="s">
        <v>284</v>
      </c>
      <c r="E6" s="47" t="s">
        <v>207</v>
      </c>
      <c r="F6" s="47" t="s">
        <v>208</v>
      </c>
      <c r="G6" s="47" t="s">
        <v>209</v>
      </c>
      <c r="H6" s="266" t="s">
        <v>200</v>
      </c>
      <c r="I6" s="268">
        <v>2</v>
      </c>
      <c r="J6" s="270"/>
      <c r="K6" s="270"/>
      <c r="M6" s="50"/>
    </row>
    <row r="7" spans="1:14" ht="36.9" customHeight="1" x14ac:dyDescent="0.3">
      <c r="A7" s="267"/>
      <c r="B7" s="269"/>
      <c r="C7" s="275"/>
      <c r="D7" s="17"/>
      <c r="E7" s="18"/>
      <c r="F7" s="18"/>
      <c r="G7" s="19"/>
      <c r="H7" s="267"/>
      <c r="I7" s="269"/>
      <c r="J7" s="271"/>
      <c r="K7" s="271"/>
      <c r="L7" s="14">
        <v>0</v>
      </c>
      <c r="M7" s="127">
        <f>IF(L7=0,0,L7-1)</f>
        <v>0</v>
      </c>
    </row>
    <row r="8" spans="1:14" ht="163.5" customHeight="1" x14ac:dyDescent="0.3">
      <c r="A8" s="278" t="s">
        <v>200</v>
      </c>
      <c r="B8" s="276">
        <v>3</v>
      </c>
      <c r="C8" s="274" t="s">
        <v>210</v>
      </c>
      <c r="D8" s="47" t="s">
        <v>211</v>
      </c>
      <c r="E8" s="47" t="s">
        <v>212</v>
      </c>
      <c r="F8" s="47" t="s">
        <v>285</v>
      </c>
      <c r="G8" s="47" t="s">
        <v>286</v>
      </c>
      <c r="H8" s="278" t="s">
        <v>200</v>
      </c>
      <c r="I8" s="276">
        <v>3</v>
      </c>
      <c r="J8" s="280"/>
      <c r="K8" s="270"/>
      <c r="M8" s="50"/>
    </row>
    <row r="9" spans="1:14" ht="36.9" customHeight="1" x14ac:dyDescent="0.3">
      <c r="A9" s="279"/>
      <c r="B9" s="277"/>
      <c r="C9" s="275"/>
      <c r="D9" s="17"/>
      <c r="E9" s="18"/>
      <c r="F9" s="18"/>
      <c r="G9" s="19"/>
      <c r="H9" s="279"/>
      <c r="I9" s="277"/>
      <c r="J9" s="281"/>
      <c r="K9" s="271"/>
      <c r="L9" s="14">
        <v>0</v>
      </c>
      <c r="M9" s="127">
        <f>IF(L9=0,0,L9-1)</f>
        <v>0</v>
      </c>
    </row>
    <row r="10" spans="1:14" ht="96" customHeight="1" x14ac:dyDescent="0.3">
      <c r="A10" s="278" t="s">
        <v>200</v>
      </c>
      <c r="B10" s="276">
        <v>4</v>
      </c>
      <c r="C10" s="274" t="s">
        <v>213</v>
      </c>
      <c r="D10" s="47" t="s">
        <v>214</v>
      </c>
      <c r="E10" s="47" t="s">
        <v>215</v>
      </c>
      <c r="F10" s="47" t="s">
        <v>287</v>
      </c>
      <c r="G10" s="47" t="s">
        <v>288</v>
      </c>
      <c r="H10" s="278" t="s">
        <v>200</v>
      </c>
      <c r="I10" s="276">
        <v>4</v>
      </c>
      <c r="J10" s="270"/>
      <c r="K10" s="270"/>
      <c r="M10" s="58"/>
    </row>
    <row r="11" spans="1:14" ht="36.9" customHeight="1" x14ac:dyDescent="0.3">
      <c r="A11" s="279"/>
      <c r="B11" s="277"/>
      <c r="C11" s="275"/>
      <c r="D11" s="17"/>
      <c r="E11" s="18"/>
      <c r="F11" s="18"/>
      <c r="G11" s="19"/>
      <c r="H11" s="279"/>
      <c r="I11" s="277"/>
      <c r="J11" s="271"/>
      <c r="K11" s="271"/>
      <c r="L11" s="14">
        <v>0</v>
      </c>
      <c r="M11" s="127">
        <f>IF(L11=0,0,L11-1)</f>
        <v>0</v>
      </c>
    </row>
    <row r="12" spans="1:14" s="46" customFormat="1" ht="152.25" customHeight="1" x14ac:dyDescent="0.3">
      <c r="A12" s="278" t="s">
        <v>200</v>
      </c>
      <c r="B12" s="276">
        <v>5</v>
      </c>
      <c r="C12" s="274" t="s">
        <v>216</v>
      </c>
      <c r="D12" s="47" t="s">
        <v>217</v>
      </c>
      <c r="E12" s="47" t="s">
        <v>218</v>
      </c>
      <c r="F12" s="47" t="s">
        <v>289</v>
      </c>
      <c r="G12" s="47" t="s">
        <v>290</v>
      </c>
      <c r="H12" s="278" t="s">
        <v>200</v>
      </c>
      <c r="I12" s="276">
        <v>5</v>
      </c>
      <c r="J12" s="272"/>
      <c r="K12" s="272"/>
      <c r="L12" s="29"/>
      <c r="M12" s="59"/>
    </row>
    <row r="13" spans="1:14" s="46" customFormat="1" ht="36.9" customHeight="1" x14ac:dyDescent="0.3">
      <c r="A13" s="279"/>
      <c r="B13" s="277"/>
      <c r="C13" s="275"/>
      <c r="D13" s="17"/>
      <c r="E13" s="18"/>
      <c r="F13" s="18"/>
      <c r="G13" s="19"/>
      <c r="H13" s="279"/>
      <c r="I13" s="277"/>
      <c r="J13" s="273"/>
      <c r="K13" s="273"/>
      <c r="L13" s="14">
        <v>0</v>
      </c>
      <c r="M13" s="127">
        <f>IF(L13=0,0,L13-1)</f>
        <v>0</v>
      </c>
    </row>
    <row r="15" spans="1:14" x14ac:dyDescent="0.3">
      <c r="B15" s="52"/>
      <c r="F15" s="51"/>
    </row>
    <row r="16" spans="1:14" x14ac:dyDescent="0.3">
      <c r="B16" s="52"/>
      <c r="F16" s="51"/>
    </row>
    <row r="17" spans="2:6" x14ac:dyDescent="0.3">
      <c r="B17" s="52"/>
      <c r="F17" s="51"/>
    </row>
  </sheetData>
  <mergeCells count="42">
    <mergeCell ref="A12:A13"/>
    <mergeCell ref="D1:D2"/>
    <mergeCell ref="E1:E2"/>
    <mergeCell ref="F1:F2"/>
    <mergeCell ref="G1:G2"/>
    <mergeCell ref="A1:C2"/>
    <mergeCell ref="A4:A5"/>
    <mergeCell ref="B4:B5"/>
    <mergeCell ref="C4:C5"/>
    <mergeCell ref="J12:J13"/>
    <mergeCell ref="J6:J7"/>
    <mergeCell ref="B10:B11"/>
    <mergeCell ref="C10:C11"/>
    <mergeCell ref="B12:B13"/>
    <mergeCell ref="C12:C13"/>
    <mergeCell ref="H12:H13"/>
    <mergeCell ref="I12:I13"/>
    <mergeCell ref="J4:J5"/>
    <mergeCell ref="J10:J11"/>
    <mergeCell ref="C8:C9"/>
    <mergeCell ref="B8:B9"/>
    <mergeCell ref="A8:A9"/>
    <mergeCell ref="A6:A7"/>
    <mergeCell ref="B6:B7"/>
    <mergeCell ref="C6:C7"/>
    <mergeCell ref="J8:J9"/>
    <mergeCell ref="A10:A11"/>
    <mergeCell ref="H8:H9"/>
    <mergeCell ref="I8:I9"/>
    <mergeCell ref="H10:H11"/>
    <mergeCell ref="I10:I11"/>
    <mergeCell ref="K4:K5"/>
    <mergeCell ref="K6:K7"/>
    <mergeCell ref="K8:K9"/>
    <mergeCell ref="K10:K11"/>
    <mergeCell ref="K12:K13"/>
    <mergeCell ref="H1:I2"/>
    <mergeCell ref="H3:I3"/>
    <mergeCell ref="H4:H5"/>
    <mergeCell ref="I4:I5"/>
    <mergeCell ref="H6:H7"/>
    <mergeCell ref="I6:I7"/>
  </mergeCells>
  <pageMargins left="0.11811023622047245" right="0.11811023622047245" top="0.59055118110236227" bottom="0.39370078740157483" header="0.31496062992125984" footer="0.31496062992125984"/>
  <pageSetup paperSize="9" scale="8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Group Box 1">
              <controlPr defaultSize="0" autoFill="0" autoPict="0">
                <anchor moveWithCells="1">
                  <from>
                    <xdr:col>3</xdr:col>
                    <xdr:colOff>38100</xdr:colOff>
                    <xdr:row>4</xdr:row>
                    <xdr:rowOff>38100</xdr:rowOff>
                  </from>
                  <to>
                    <xdr:col>6</xdr:col>
                    <xdr:colOff>2552700</xdr:colOff>
                    <xdr:row>4</xdr:row>
                    <xdr:rowOff>419100</xdr:rowOff>
                  </to>
                </anchor>
              </controlPr>
            </control>
          </mc:Choice>
        </mc:AlternateContent>
        <mc:AlternateContent xmlns:mc="http://schemas.openxmlformats.org/markup-compatibility/2006">
          <mc:Choice Requires="x14">
            <control shapeId="12290" r:id="rId5" name="Option Button 2">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12291" r:id="rId6" name="Option Button 3">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12292" r:id="rId7" name="Option Button 4">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12293" r:id="rId8" name="Option Button 5">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12294" r:id="rId9" name="Group Box 6">
              <controlPr defaultSize="0" autoFill="0" autoPict="0">
                <anchor moveWithCells="1">
                  <from>
                    <xdr:col>3</xdr:col>
                    <xdr:colOff>38100</xdr:colOff>
                    <xdr:row>6</xdr:row>
                    <xdr:rowOff>38100</xdr:rowOff>
                  </from>
                  <to>
                    <xdr:col>6</xdr:col>
                    <xdr:colOff>2552700</xdr:colOff>
                    <xdr:row>6</xdr:row>
                    <xdr:rowOff>419100</xdr:rowOff>
                  </to>
                </anchor>
              </controlPr>
            </control>
          </mc:Choice>
        </mc:AlternateContent>
        <mc:AlternateContent xmlns:mc="http://schemas.openxmlformats.org/markup-compatibility/2006">
          <mc:Choice Requires="x14">
            <control shapeId="12295" r:id="rId10" name="Option Button 7">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12296" r:id="rId11" name="Option Button 8">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12297" r:id="rId12" name="Option Button 9">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12298" r:id="rId13" name="Option Button 10">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12299" r:id="rId14" name="Group Box 11">
              <controlPr defaultSize="0" autoFill="0" autoPict="0">
                <anchor moveWithCells="1">
                  <from>
                    <xdr:col>3</xdr:col>
                    <xdr:colOff>38100</xdr:colOff>
                    <xdr:row>8</xdr:row>
                    <xdr:rowOff>38100</xdr:rowOff>
                  </from>
                  <to>
                    <xdr:col>6</xdr:col>
                    <xdr:colOff>2552700</xdr:colOff>
                    <xdr:row>8</xdr:row>
                    <xdr:rowOff>419100</xdr:rowOff>
                  </to>
                </anchor>
              </controlPr>
            </control>
          </mc:Choice>
        </mc:AlternateContent>
        <mc:AlternateContent xmlns:mc="http://schemas.openxmlformats.org/markup-compatibility/2006">
          <mc:Choice Requires="x14">
            <control shapeId="12300" r:id="rId15" name="Option Button 12">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12301" r:id="rId16" name="Option Button 13">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12302" r:id="rId17" name="Option Button 14">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12303" r:id="rId18" name="Option Button 15">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12304" r:id="rId19" name="Group Box 16">
              <controlPr defaultSize="0" autoFill="0" autoPict="0">
                <anchor moveWithCells="1">
                  <from>
                    <xdr:col>3</xdr:col>
                    <xdr:colOff>38100</xdr:colOff>
                    <xdr:row>10</xdr:row>
                    <xdr:rowOff>38100</xdr:rowOff>
                  </from>
                  <to>
                    <xdr:col>6</xdr:col>
                    <xdr:colOff>2552700</xdr:colOff>
                    <xdr:row>10</xdr:row>
                    <xdr:rowOff>419100</xdr:rowOff>
                  </to>
                </anchor>
              </controlPr>
            </control>
          </mc:Choice>
        </mc:AlternateContent>
        <mc:AlternateContent xmlns:mc="http://schemas.openxmlformats.org/markup-compatibility/2006">
          <mc:Choice Requires="x14">
            <control shapeId="12305" r:id="rId20" name="Option Button 17">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12306" r:id="rId21" name="Option Button 18">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12307" r:id="rId22" name="Option Button 19">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12308" r:id="rId23" name="Option Button 20">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12309" r:id="rId24" name="Group Box 21">
              <controlPr defaultSize="0" autoFill="0" autoPict="0">
                <anchor moveWithCells="1">
                  <from>
                    <xdr:col>3</xdr:col>
                    <xdr:colOff>38100</xdr:colOff>
                    <xdr:row>12</xdr:row>
                    <xdr:rowOff>38100</xdr:rowOff>
                  </from>
                  <to>
                    <xdr:col>6</xdr:col>
                    <xdr:colOff>2552700</xdr:colOff>
                    <xdr:row>12</xdr:row>
                    <xdr:rowOff>419100</xdr:rowOff>
                  </to>
                </anchor>
              </controlPr>
            </control>
          </mc:Choice>
        </mc:AlternateContent>
        <mc:AlternateContent xmlns:mc="http://schemas.openxmlformats.org/markup-compatibility/2006">
          <mc:Choice Requires="x14">
            <control shapeId="12310" r:id="rId25" name="Option Button 22">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12311" r:id="rId26" name="Option Button 23">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12312" r:id="rId27" name="Option Button 24">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12313" r:id="rId28" name="Option Button 25">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B2CCA0"/>
  </sheetPr>
  <dimension ref="A1:N16"/>
  <sheetViews>
    <sheetView zoomScale="90" zoomScaleNormal="90" workbookViewId="0">
      <selection activeCell="J4" sqref="J4:J5"/>
    </sheetView>
  </sheetViews>
  <sheetFormatPr baseColWidth="10" defaultColWidth="9.109375" defaultRowHeight="14.4" x14ac:dyDescent="0.3"/>
  <cols>
    <col min="1" max="2" width="3.33203125" style="70" customWidth="1"/>
    <col min="3" max="3" width="25.6640625" style="70" customWidth="1"/>
    <col min="4" max="7" width="35.6640625" style="70" customWidth="1"/>
    <col min="8" max="9" width="3.33203125" style="70" customWidth="1"/>
    <col min="10" max="11" width="50.6640625" style="96" customWidth="1"/>
    <col min="12" max="13" width="9.6640625" style="57" customWidth="1"/>
    <col min="14" max="16384" width="9.109375" style="70"/>
  </cols>
  <sheetData>
    <row r="1" spans="1:14" s="74" customFormat="1" ht="15" customHeight="1" x14ac:dyDescent="0.3">
      <c r="A1" s="195" t="s">
        <v>70</v>
      </c>
      <c r="B1" s="195"/>
      <c r="C1" s="195"/>
      <c r="D1" s="196" t="s">
        <v>71</v>
      </c>
      <c r="E1" s="198" t="s">
        <v>72</v>
      </c>
      <c r="F1" s="200" t="s">
        <v>73</v>
      </c>
      <c r="G1" s="202" t="s">
        <v>74</v>
      </c>
      <c r="H1" s="206"/>
      <c r="I1" s="207"/>
      <c r="J1" s="73" t="s">
        <v>75</v>
      </c>
      <c r="K1" s="73"/>
      <c r="L1" s="54"/>
      <c r="M1" s="54"/>
    </row>
    <row r="2" spans="1:14" s="41" customFormat="1" ht="21" customHeight="1" x14ac:dyDescent="0.3">
      <c r="A2" s="195"/>
      <c r="B2" s="195"/>
      <c r="C2" s="195"/>
      <c r="D2" s="197"/>
      <c r="E2" s="199"/>
      <c r="F2" s="201"/>
      <c r="G2" s="203"/>
      <c r="H2" s="208"/>
      <c r="I2" s="209"/>
      <c r="J2" s="75">
        <f>COUNTA(L4:L13)</f>
        <v>6</v>
      </c>
      <c r="K2" s="75"/>
      <c r="L2" s="50"/>
      <c r="M2" s="147">
        <f>COUNTIF(L5:L13,0)</f>
        <v>5</v>
      </c>
    </row>
    <row r="3" spans="1:14" s="41" customFormat="1" ht="24.9" customHeight="1" x14ac:dyDescent="0.3">
      <c r="A3" s="97" t="s">
        <v>219</v>
      </c>
      <c r="B3" s="78"/>
      <c r="C3" s="78"/>
      <c r="D3" s="97"/>
      <c r="E3" s="78"/>
      <c r="F3" s="78"/>
      <c r="G3" s="79"/>
      <c r="H3" s="210"/>
      <c r="I3" s="211"/>
      <c r="J3" s="91" t="s">
        <v>270</v>
      </c>
      <c r="K3" s="91" t="s">
        <v>78</v>
      </c>
      <c r="L3" s="56" t="s">
        <v>79</v>
      </c>
      <c r="M3" s="128" t="e">
        <f>SUM(M4:M13)/(5-M2)</f>
        <v>#DIV/0!</v>
      </c>
      <c r="N3" s="48"/>
    </row>
    <row r="4" spans="1:14" ht="111" customHeight="1" x14ac:dyDescent="0.3">
      <c r="A4" s="216" t="s">
        <v>220</v>
      </c>
      <c r="B4" s="182">
        <v>1</v>
      </c>
      <c r="C4" s="186" t="s">
        <v>221</v>
      </c>
      <c r="D4" s="20" t="s">
        <v>222</v>
      </c>
      <c r="E4" s="20" t="s">
        <v>223</v>
      </c>
      <c r="F4" s="40" t="s">
        <v>224</v>
      </c>
      <c r="G4" s="40" t="s">
        <v>225</v>
      </c>
      <c r="H4" s="216" t="s">
        <v>220</v>
      </c>
      <c r="I4" s="182">
        <v>1</v>
      </c>
      <c r="J4" s="284" t="s">
        <v>293</v>
      </c>
      <c r="K4" s="282"/>
      <c r="L4" s="57">
        <v>1</v>
      </c>
      <c r="M4" s="50"/>
    </row>
    <row r="5" spans="1:14" ht="36.9" customHeight="1" x14ac:dyDescent="0.3">
      <c r="A5" s="217"/>
      <c r="B5" s="183"/>
      <c r="C5" s="187"/>
      <c r="D5" s="17"/>
      <c r="E5" s="18"/>
      <c r="F5" s="18"/>
      <c r="G5" s="19"/>
      <c r="H5" s="217"/>
      <c r="I5" s="183"/>
      <c r="J5" s="284"/>
      <c r="K5" s="282"/>
      <c r="L5" s="49">
        <v>0</v>
      </c>
      <c r="M5" s="127">
        <f>IF(L5=0,0,L5-1)</f>
        <v>0</v>
      </c>
    </row>
    <row r="6" spans="1:14" ht="95.25" customHeight="1" x14ac:dyDescent="0.3">
      <c r="A6" s="216" t="s">
        <v>220</v>
      </c>
      <c r="B6" s="182">
        <v>2</v>
      </c>
      <c r="C6" s="186" t="s">
        <v>226</v>
      </c>
      <c r="D6" s="40" t="s">
        <v>227</v>
      </c>
      <c r="E6" s="40" t="s">
        <v>228</v>
      </c>
      <c r="F6" s="40" t="s">
        <v>229</v>
      </c>
      <c r="G6" s="40" t="s">
        <v>230</v>
      </c>
      <c r="H6" s="216" t="s">
        <v>220</v>
      </c>
      <c r="I6" s="182">
        <v>2</v>
      </c>
      <c r="J6" s="282"/>
      <c r="K6" s="282"/>
      <c r="M6" s="50"/>
    </row>
    <row r="7" spans="1:14" ht="36.9" customHeight="1" x14ac:dyDescent="0.3">
      <c r="A7" s="217"/>
      <c r="B7" s="183"/>
      <c r="C7" s="187"/>
      <c r="D7" s="17"/>
      <c r="E7" s="18"/>
      <c r="F7" s="18"/>
      <c r="G7" s="19"/>
      <c r="H7" s="217"/>
      <c r="I7" s="183"/>
      <c r="J7" s="282"/>
      <c r="K7" s="282"/>
      <c r="L7" s="49">
        <v>0</v>
      </c>
      <c r="M7" s="127">
        <f>IF(L7=0,0,L7-1)</f>
        <v>0</v>
      </c>
    </row>
    <row r="8" spans="1:14" s="107" customFormat="1" ht="51.9" customHeight="1" x14ac:dyDescent="0.3">
      <c r="A8" s="212" t="s">
        <v>220</v>
      </c>
      <c r="B8" s="214">
        <v>3</v>
      </c>
      <c r="C8" s="186" t="s">
        <v>231</v>
      </c>
      <c r="D8" s="40" t="s">
        <v>232</v>
      </c>
      <c r="E8" s="40" t="s">
        <v>233</v>
      </c>
      <c r="F8" s="40" t="s">
        <v>234</v>
      </c>
      <c r="G8" s="40" t="s">
        <v>235</v>
      </c>
      <c r="H8" s="212" t="s">
        <v>220</v>
      </c>
      <c r="I8" s="214">
        <v>3</v>
      </c>
      <c r="J8" s="189"/>
      <c r="K8" s="283"/>
      <c r="L8" s="64"/>
      <c r="M8" s="50"/>
    </row>
    <row r="9" spans="1:14" s="107" customFormat="1" ht="36.9" customHeight="1" x14ac:dyDescent="0.3">
      <c r="A9" s="213"/>
      <c r="B9" s="215"/>
      <c r="C9" s="187"/>
      <c r="D9" s="17"/>
      <c r="E9" s="18"/>
      <c r="F9" s="18"/>
      <c r="G9" s="19"/>
      <c r="H9" s="213"/>
      <c r="I9" s="215"/>
      <c r="J9" s="189"/>
      <c r="K9" s="283"/>
      <c r="L9" s="63">
        <v>0</v>
      </c>
      <c r="M9" s="127">
        <f>IF(L9=0,0,L9-1)</f>
        <v>0</v>
      </c>
    </row>
    <row r="10" spans="1:14" s="41" customFormat="1" ht="165.75" customHeight="1" x14ac:dyDescent="0.3">
      <c r="A10" s="216" t="s">
        <v>220</v>
      </c>
      <c r="B10" s="182">
        <v>4</v>
      </c>
      <c r="C10" s="186" t="s">
        <v>236</v>
      </c>
      <c r="D10" s="20" t="s">
        <v>237</v>
      </c>
      <c r="E10" s="20" t="s">
        <v>238</v>
      </c>
      <c r="F10" s="20" t="s">
        <v>239</v>
      </c>
      <c r="G10" s="20" t="s">
        <v>240</v>
      </c>
      <c r="H10" s="216" t="s">
        <v>220</v>
      </c>
      <c r="I10" s="182">
        <v>4</v>
      </c>
      <c r="J10" s="220"/>
      <c r="K10" s="220"/>
      <c r="L10" s="48"/>
      <c r="M10" s="58"/>
    </row>
    <row r="11" spans="1:14" s="41" customFormat="1" ht="36.9" customHeight="1" x14ac:dyDescent="0.3">
      <c r="A11" s="217"/>
      <c r="B11" s="183"/>
      <c r="C11" s="187"/>
      <c r="D11" s="17"/>
      <c r="E11" s="18"/>
      <c r="F11" s="18"/>
      <c r="G11" s="19"/>
      <c r="H11" s="217"/>
      <c r="I11" s="183"/>
      <c r="J11" s="220"/>
      <c r="K11" s="220"/>
      <c r="L11" s="49">
        <v>0</v>
      </c>
      <c r="M11" s="127">
        <f>IF(L11=0,0,L11-1)</f>
        <v>0</v>
      </c>
    </row>
    <row r="12" spans="1:14" s="41" customFormat="1" ht="143.25" customHeight="1" x14ac:dyDescent="0.3">
      <c r="A12" s="216" t="s">
        <v>220</v>
      </c>
      <c r="B12" s="184">
        <v>5</v>
      </c>
      <c r="C12" s="186" t="s">
        <v>241</v>
      </c>
      <c r="D12" s="109" t="s">
        <v>242</v>
      </c>
      <c r="E12" s="109" t="s">
        <v>243</v>
      </c>
      <c r="F12" s="109" t="s">
        <v>291</v>
      </c>
      <c r="G12" s="109" t="s">
        <v>292</v>
      </c>
      <c r="H12" s="216" t="s">
        <v>220</v>
      </c>
      <c r="I12" s="184">
        <v>5</v>
      </c>
      <c r="J12" s="220"/>
      <c r="K12" s="220"/>
      <c r="L12" s="48"/>
      <c r="M12" s="59"/>
    </row>
    <row r="13" spans="1:14" s="53" customFormat="1" ht="36.9" customHeight="1" x14ac:dyDescent="0.3">
      <c r="A13" s="217"/>
      <c r="B13" s="185"/>
      <c r="C13" s="187"/>
      <c r="D13" s="17"/>
      <c r="E13" s="18"/>
      <c r="F13" s="18"/>
      <c r="G13" s="19"/>
      <c r="H13" s="217"/>
      <c r="I13" s="185"/>
      <c r="J13" s="220"/>
      <c r="K13" s="220"/>
      <c r="L13" s="49">
        <v>0</v>
      </c>
      <c r="M13" s="127">
        <f>IF(L13=0,0,L13-1)</f>
        <v>0</v>
      </c>
    </row>
    <row r="16" spans="1:14" x14ac:dyDescent="0.3">
      <c r="E16" s="70" t="s">
        <v>260</v>
      </c>
    </row>
  </sheetData>
  <mergeCells count="42">
    <mergeCell ref="H12:H13"/>
    <mergeCell ref="I12:I13"/>
    <mergeCell ref="H1:I2"/>
    <mergeCell ref="H3:I3"/>
    <mergeCell ref="H6:H7"/>
    <mergeCell ref="I6:I7"/>
    <mergeCell ref="H8:H9"/>
    <mergeCell ref="I8:I9"/>
    <mergeCell ref="H10:H11"/>
    <mergeCell ref="I10:I11"/>
    <mergeCell ref="J4:J5"/>
    <mergeCell ref="K4:K5"/>
    <mergeCell ref="G1:G2"/>
    <mergeCell ref="F1:F2"/>
    <mergeCell ref="D1:D2"/>
    <mergeCell ref="E1:E2"/>
    <mergeCell ref="H4:H5"/>
    <mergeCell ref="I4:I5"/>
    <mergeCell ref="C12:C13"/>
    <mergeCell ref="B12:B13"/>
    <mergeCell ref="C10:C11"/>
    <mergeCell ref="C8:C9"/>
    <mergeCell ref="A1:C2"/>
    <mergeCell ref="A6:A7"/>
    <mergeCell ref="B6:B7"/>
    <mergeCell ref="C6:C7"/>
    <mergeCell ref="A12:A13"/>
    <mergeCell ref="A8:A9"/>
    <mergeCell ref="A10:A11"/>
    <mergeCell ref="A4:A5"/>
    <mergeCell ref="B8:B9"/>
    <mergeCell ref="B10:B11"/>
    <mergeCell ref="B4:B5"/>
    <mergeCell ref="C4:C5"/>
    <mergeCell ref="J6:J7"/>
    <mergeCell ref="K6:K7"/>
    <mergeCell ref="K8:K9"/>
    <mergeCell ref="K10:K11"/>
    <mergeCell ref="K12:K13"/>
    <mergeCell ref="J8:J9"/>
    <mergeCell ref="J12:J13"/>
    <mergeCell ref="J10:J11"/>
  </mergeCells>
  <pageMargins left="7.874015748031496E-2" right="7.874015748031496E-2" top="0.39370078740157483" bottom="0.19685039370078741" header="0.31496062992125984" footer="0.31496062992125984"/>
  <pageSetup paperSize="9" scale="80" orientation="landscape" r:id="rId1"/>
  <colBreaks count="1" manualBreakCount="1">
    <brk id="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1393" r:id="rId4" name="Group Box 129">
              <controlPr defaultSize="0" autoFill="0" autoPict="0">
                <anchor moveWithCells="1">
                  <from>
                    <xdr:col>3</xdr:col>
                    <xdr:colOff>38100</xdr:colOff>
                    <xdr:row>4</xdr:row>
                    <xdr:rowOff>38100</xdr:rowOff>
                  </from>
                  <to>
                    <xdr:col>6</xdr:col>
                    <xdr:colOff>2354580</xdr:colOff>
                    <xdr:row>4</xdr:row>
                    <xdr:rowOff>419100</xdr:rowOff>
                  </to>
                </anchor>
              </controlPr>
            </control>
          </mc:Choice>
        </mc:AlternateContent>
        <mc:AlternateContent xmlns:mc="http://schemas.openxmlformats.org/markup-compatibility/2006">
          <mc:Choice Requires="x14">
            <control shapeId="11394" r:id="rId5" name="Option Button 130">
              <controlPr defaultSize="0" autoFill="0" autoLine="0" autoPict="0">
                <anchor moveWithCells="1">
                  <from>
                    <xdr:col>3</xdr:col>
                    <xdr:colOff>899160</xdr:colOff>
                    <xdr:row>4</xdr:row>
                    <xdr:rowOff>114300</xdr:rowOff>
                  </from>
                  <to>
                    <xdr:col>3</xdr:col>
                    <xdr:colOff>1638300</xdr:colOff>
                    <xdr:row>4</xdr:row>
                    <xdr:rowOff>350520</xdr:rowOff>
                  </to>
                </anchor>
              </controlPr>
            </control>
          </mc:Choice>
        </mc:AlternateContent>
        <mc:AlternateContent xmlns:mc="http://schemas.openxmlformats.org/markup-compatibility/2006">
          <mc:Choice Requires="x14">
            <control shapeId="11395" r:id="rId6" name="Option Button 131">
              <controlPr defaultSize="0" autoFill="0" autoLine="0" autoPict="0">
                <anchor moveWithCells="1">
                  <from>
                    <xdr:col>4</xdr:col>
                    <xdr:colOff>876300</xdr:colOff>
                    <xdr:row>4</xdr:row>
                    <xdr:rowOff>121920</xdr:rowOff>
                  </from>
                  <to>
                    <xdr:col>4</xdr:col>
                    <xdr:colOff>1516380</xdr:colOff>
                    <xdr:row>4</xdr:row>
                    <xdr:rowOff>350520</xdr:rowOff>
                  </to>
                </anchor>
              </controlPr>
            </control>
          </mc:Choice>
        </mc:AlternateContent>
        <mc:AlternateContent xmlns:mc="http://schemas.openxmlformats.org/markup-compatibility/2006">
          <mc:Choice Requires="x14">
            <control shapeId="11396" r:id="rId7" name="Option Button 132">
              <controlPr defaultSize="0" autoFill="0" autoLine="0" autoPict="0" altText="Option">
                <anchor moveWithCells="1">
                  <from>
                    <xdr:col>5</xdr:col>
                    <xdr:colOff>998220</xdr:colOff>
                    <xdr:row>4</xdr:row>
                    <xdr:rowOff>121920</xdr:rowOff>
                  </from>
                  <to>
                    <xdr:col>5</xdr:col>
                    <xdr:colOff>1638300</xdr:colOff>
                    <xdr:row>4</xdr:row>
                    <xdr:rowOff>350520</xdr:rowOff>
                  </to>
                </anchor>
              </controlPr>
            </control>
          </mc:Choice>
        </mc:AlternateContent>
        <mc:AlternateContent xmlns:mc="http://schemas.openxmlformats.org/markup-compatibility/2006">
          <mc:Choice Requires="x14">
            <control shapeId="11397" r:id="rId8" name="Option Button 133">
              <controlPr defaultSize="0" autoFill="0" autoLine="0" autoPict="0">
                <anchor moveWithCells="1">
                  <from>
                    <xdr:col>6</xdr:col>
                    <xdr:colOff>1021080</xdr:colOff>
                    <xdr:row>4</xdr:row>
                    <xdr:rowOff>121920</xdr:rowOff>
                  </from>
                  <to>
                    <xdr:col>6</xdr:col>
                    <xdr:colOff>1661160</xdr:colOff>
                    <xdr:row>4</xdr:row>
                    <xdr:rowOff>350520</xdr:rowOff>
                  </to>
                </anchor>
              </controlPr>
            </control>
          </mc:Choice>
        </mc:AlternateContent>
        <mc:AlternateContent xmlns:mc="http://schemas.openxmlformats.org/markup-compatibility/2006">
          <mc:Choice Requires="x14">
            <control shapeId="11398" r:id="rId9" name="Group Box 134">
              <controlPr defaultSize="0" autoFill="0" autoPict="0">
                <anchor moveWithCells="1">
                  <from>
                    <xdr:col>3</xdr:col>
                    <xdr:colOff>38100</xdr:colOff>
                    <xdr:row>6</xdr:row>
                    <xdr:rowOff>38100</xdr:rowOff>
                  </from>
                  <to>
                    <xdr:col>6</xdr:col>
                    <xdr:colOff>2354580</xdr:colOff>
                    <xdr:row>6</xdr:row>
                    <xdr:rowOff>419100</xdr:rowOff>
                  </to>
                </anchor>
              </controlPr>
            </control>
          </mc:Choice>
        </mc:AlternateContent>
        <mc:AlternateContent xmlns:mc="http://schemas.openxmlformats.org/markup-compatibility/2006">
          <mc:Choice Requires="x14">
            <control shapeId="11399" r:id="rId10" name="Option Button 135">
              <controlPr defaultSize="0" autoFill="0" autoLine="0" autoPict="0">
                <anchor moveWithCells="1">
                  <from>
                    <xdr:col>3</xdr:col>
                    <xdr:colOff>899160</xdr:colOff>
                    <xdr:row>6</xdr:row>
                    <xdr:rowOff>114300</xdr:rowOff>
                  </from>
                  <to>
                    <xdr:col>3</xdr:col>
                    <xdr:colOff>1638300</xdr:colOff>
                    <xdr:row>6</xdr:row>
                    <xdr:rowOff>350520</xdr:rowOff>
                  </to>
                </anchor>
              </controlPr>
            </control>
          </mc:Choice>
        </mc:AlternateContent>
        <mc:AlternateContent xmlns:mc="http://schemas.openxmlformats.org/markup-compatibility/2006">
          <mc:Choice Requires="x14">
            <control shapeId="11400" r:id="rId11" name="Option Button 136">
              <controlPr defaultSize="0" autoFill="0" autoLine="0" autoPict="0">
                <anchor moveWithCells="1">
                  <from>
                    <xdr:col>4</xdr:col>
                    <xdr:colOff>876300</xdr:colOff>
                    <xdr:row>6</xdr:row>
                    <xdr:rowOff>121920</xdr:rowOff>
                  </from>
                  <to>
                    <xdr:col>4</xdr:col>
                    <xdr:colOff>1516380</xdr:colOff>
                    <xdr:row>6</xdr:row>
                    <xdr:rowOff>350520</xdr:rowOff>
                  </to>
                </anchor>
              </controlPr>
            </control>
          </mc:Choice>
        </mc:AlternateContent>
        <mc:AlternateContent xmlns:mc="http://schemas.openxmlformats.org/markup-compatibility/2006">
          <mc:Choice Requires="x14">
            <control shapeId="11401" r:id="rId12" name="Option Button 137">
              <controlPr defaultSize="0" autoFill="0" autoLine="0" autoPict="0" altText="Option">
                <anchor moveWithCells="1">
                  <from>
                    <xdr:col>5</xdr:col>
                    <xdr:colOff>998220</xdr:colOff>
                    <xdr:row>6</xdr:row>
                    <xdr:rowOff>121920</xdr:rowOff>
                  </from>
                  <to>
                    <xdr:col>5</xdr:col>
                    <xdr:colOff>1638300</xdr:colOff>
                    <xdr:row>6</xdr:row>
                    <xdr:rowOff>350520</xdr:rowOff>
                  </to>
                </anchor>
              </controlPr>
            </control>
          </mc:Choice>
        </mc:AlternateContent>
        <mc:AlternateContent xmlns:mc="http://schemas.openxmlformats.org/markup-compatibility/2006">
          <mc:Choice Requires="x14">
            <control shapeId="11402" r:id="rId13" name="Option Button 138">
              <controlPr defaultSize="0" autoFill="0" autoLine="0" autoPict="0">
                <anchor moveWithCells="1">
                  <from>
                    <xdr:col>6</xdr:col>
                    <xdr:colOff>1021080</xdr:colOff>
                    <xdr:row>6</xdr:row>
                    <xdr:rowOff>121920</xdr:rowOff>
                  </from>
                  <to>
                    <xdr:col>6</xdr:col>
                    <xdr:colOff>1661160</xdr:colOff>
                    <xdr:row>6</xdr:row>
                    <xdr:rowOff>350520</xdr:rowOff>
                  </to>
                </anchor>
              </controlPr>
            </control>
          </mc:Choice>
        </mc:AlternateContent>
        <mc:AlternateContent xmlns:mc="http://schemas.openxmlformats.org/markup-compatibility/2006">
          <mc:Choice Requires="x14">
            <control shapeId="11403" r:id="rId14" name="Group Box 139">
              <controlPr defaultSize="0" autoFill="0" autoPict="0">
                <anchor moveWithCells="1">
                  <from>
                    <xdr:col>3</xdr:col>
                    <xdr:colOff>38100</xdr:colOff>
                    <xdr:row>8</xdr:row>
                    <xdr:rowOff>60960</xdr:rowOff>
                  </from>
                  <to>
                    <xdr:col>6</xdr:col>
                    <xdr:colOff>2354580</xdr:colOff>
                    <xdr:row>8</xdr:row>
                    <xdr:rowOff>441960</xdr:rowOff>
                  </to>
                </anchor>
              </controlPr>
            </control>
          </mc:Choice>
        </mc:AlternateContent>
        <mc:AlternateContent xmlns:mc="http://schemas.openxmlformats.org/markup-compatibility/2006">
          <mc:Choice Requires="x14">
            <control shapeId="11404" r:id="rId15" name="Option Button 140">
              <controlPr defaultSize="0" autoFill="0" autoLine="0" autoPict="0">
                <anchor moveWithCells="1">
                  <from>
                    <xdr:col>3</xdr:col>
                    <xdr:colOff>899160</xdr:colOff>
                    <xdr:row>8</xdr:row>
                    <xdr:rowOff>114300</xdr:rowOff>
                  </from>
                  <to>
                    <xdr:col>3</xdr:col>
                    <xdr:colOff>1638300</xdr:colOff>
                    <xdr:row>8</xdr:row>
                    <xdr:rowOff>350520</xdr:rowOff>
                  </to>
                </anchor>
              </controlPr>
            </control>
          </mc:Choice>
        </mc:AlternateContent>
        <mc:AlternateContent xmlns:mc="http://schemas.openxmlformats.org/markup-compatibility/2006">
          <mc:Choice Requires="x14">
            <control shapeId="11405" r:id="rId16" name="Option Button 141">
              <controlPr defaultSize="0" autoFill="0" autoLine="0" autoPict="0">
                <anchor moveWithCells="1">
                  <from>
                    <xdr:col>4</xdr:col>
                    <xdr:colOff>876300</xdr:colOff>
                    <xdr:row>8</xdr:row>
                    <xdr:rowOff>121920</xdr:rowOff>
                  </from>
                  <to>
                    <xdr:col>4</xdr:col>
                    <xdr:colOff>1516380</xdr:colOff>
                    <xdr:row>8</xdr:row>
                    <xdr:rowOff>350520</xdr:rowOff>
                  </to>
                </anchor>
              </controlPr>
            </control>
          </mc:Choice>
        </mc:AlternateContent>
        <mc:AlternateContent xmlns:mc="http://schemas.openxmlformats.org/markup-compatibility/2006">
          <mc:Choice Requires="x14">
            <control shapeId="11406" r:id="rId17" name="Option Button 142">
              <controlPr defaultSize="0" autoFill="0" autoLine="0" autoPict="0" altText="Option">
                <anchor moveWithCells="1">
                  <from>
                    <xdr:col>5</xdr:col>
                    <xdr:colOff>998220</xdr:colOff>
                    <xdr:row>8</xdr:row>
                    <xdr:rowOff>121920</xdr:rowOff>
                  </from>
                  <to>
                    <xdr:col>5</xdr:col>
                    <xdr:colOff>1638300</xdr:colOff>
                    <xdr:row>8</xdr:row>
                    <xdr:rowOff>350520</xdr:rowOff>
                  </to>
                </anchor>
              </controlPr>
            </control>
          </mc:Choice>
        </mc:AlternateContent>
        <mc:AlternateContent xmlns:mc="http://schemas.openxmlformats.org/markup-compatibility/2006">
          <mc:Choice Requires="x14">
            <control shapeId="11407" r:id="rId18" name="Option Button 143">
              <controlPr defaultSize="0" autoFill="0" autoLine="0" autoPict="0">
                <anchor moveWithCells="1">
                  <from>
                    <xdr:col>6</xdr:col>
                    <xdr:colOff>1021080</xdr:colOff>
                    <xdr:row>8</xdr:row>
                    <xdr:rowOff>121920</xdr:rowOff>
                  </from>
                  <to>
                    <xdr:col>6</xdr:col>
                    <xdr:colOff>1661160</xdr:colOff>
                    <xdr:row>8</xdr:row>
                    <xdr:rowOff>350520</xdr:rowOff>
                  </to>
                </anchor>
              </controlPr>
            </control>
          </mc:Choice>
        </mc:AlternateContent>
        <mc:AlternateContent xmlns:mc="http://schemas.openxmlformats.org/markup-compatibility/2006">
          <mc:Choice Requires="x14">
            <control shapeId="11408" r:id="rId19" name="Group Box 144">
              <controlPr defaultSize="0" autoFill="0" autoPict="0">
                <anchor moveWithCells="1">
                  <from>
                    <xdr:col>3</xdr:col>
                    <xdr:colOff>38100</xdr:colOff>
                    <xdr:row>10</xdr:row>
                    <xdr:rowOff>60960</xdr:rowOff>
                  </from>
                  <to>
                    <xdr:col>6</xdr:col>
                    <xdr:colOff>2354580</xdr:colOff>
                    <xdr:row>10</xdr:row>
                    <xdr:rowOff>441960</xdr:rowOff>
                  </to>
                </anchor>
              </controlPr>
            </control>
          </mc:Choice>
        </mc:AlternateContent>
        <mc:AlternateContent xmlns:mc="http://schemas.openxmlformats.org/markup-compatibility/2006">
          <mc:Choice Requires="x14">
            <control shapeId="11409" r:id="rId20" name="Option Button 145">
              <controlPr defaultSize="0" autoFill="0" autoLine="0" autoPict="0">
                <anchor moveWithCells="1">
                  <from>
                    <xdr:col>3</xdr:col>
                    <xdr:colOff>899160</xdr:colOff>
                    <xdr:row>10</xdr:row>
                    <xdr:rowOff>114300</xdr:rowOff>
                  </from>
                  <to>
                    <xdr:col>3</xdr:col>
                    <xdr:colOff>1638300</xdr:colOff>
                    <xdr:row>10</xdr:row>
                    <xdr:rowOff>350520</xdr:rowOff>
                  </to>
                </anchor>
              </controlPr>
            </control>
          </mc:Choice>
        </mc:AlternateContent>
        <mc:AlternateContent xmlns:mc="http://schemas.openxmlformats.org/markup-compatibility/2006">
          <mc:Choice Requires="x14">
            <control shapeId="11410" r:id="rId21" name="Option Button 146">
              <controlPr defaultSize="0" autoFill="0" autoLine="0" autoPict="0">
                <anchor moveWithCells="1">
                  <from>
                    <xdr:col>4</xdr:col>
                    <xdr:colOff>876300</xdr:colOff>
                    <xdr:row>10</xdr:row>
                    <xdr:rowOff>121920</xdr:rowOff>
                  </from>
                  <to>
                    <xdr:col>4</xdr:col>
                    <xdr:colOff>1516380</xdr:colOff>
                    <xdr:row>10</xdr:row>
                    <xdr:rowOff>350520</xdr:rowOff>
                  </to>
                </anchor>
              </controlPr>
            </control>
          </mc:Choice>
        </mc:AlternateContent>
        <mc:AlternateContent xmlns:mc="http://schemas.openxmlformats.org/markup-compatibility/2006">
          <mc:Choice Requires="x14">
            <control shapeId="11411" r:id="rId22" name="Option Button 147">
              <controlPr defaultSize="0" autoFill="0" autoLine="0" autoPict="0" altText="Option">
                <anchor moveWithCells="1">
                  <from>
                    <xdr:col>5</xdr:col>
                    <xdr:colOff>998220</xdr:colOff>
                    <xdr:row>10</xdr:row>
                    <xdr:rowOff>121920</xdr:rowOff>
                  </from>
                  <to>
                    <xdr:col>5</xdr:col>
                    <xdr:colOff>1638300</xdr:colOff>
                    <xdr:row>10</xdr:row>
                    <xdr:rowOff>350520</xdr:rowOff>
                  </to>
                </anchor>
              </controlPr>
            </control>
          </mc:Choice>
        </mc:AlternateContent>
        <mc:AlternateContent xmlns:mc="http://schemas.openxmlformats.org/markup-compatibility/2006">
          <mc:Choice Requires="x14">
            <control shapeId="11412" r:id="rId23" name="Option Button 148">
              <controlPr defaultSize="0" autoFill="0" autoLine="0" autoPict="0">
                <anchor moveWithCells="1">
                  <from>
                    <xdr:col>6</xdr:col>
                    <xdr:colOff>1021080</xdr:colOff>
                    <xdr:row>10</xdr:row>
                    <xdr:rowOff>121920</xdr:rowOff>
                  </from>
                  <to>
                    <xdr:col>6</xdr:col>
                    <xdr:colOff>1661160</xdr:colOff>
                    <xdr:row>10</xdr:row>
                    <xdr:rowOff>350520</xdr:rowOff>
                  </to>
                </anchor>
              </controlPr>
            </control>
          </mc:Choice>
        </mc:AlternateContent>
        <mc:AlternateContent xmlns:mc="http://schemas.openxmlformats.org/markup-compatibility/2006">
          <mc:Choice Requires="x14">
            <control shapeId="11413" r:id="rId24" name="Group Box 149">
              <controlPr defaultSize="0" autoFill="0" autoPict="0">
                <anchor moveWithCells="1">
                  <from>
                    <xdr:col>3</xdr:col>
                    <xdr:colOff>38100</xdr:colOff>
                    <xdr:row>12</xdr:row>
                    <xdr:rowOff>38100</xdr:rowOff>
                  </from>
                  <to>
                    <xdr:col>6</xdr:col>
                    <xdr:colOff>2354580</xdr:colOff>
                    <xdr:row>12</xdr:row>
                    <xdr:rowOff>419100</xdr:rowOff>
                  </to>
                </anchor>
              </controlPr>
            </control>
          </mc:Choice>
        </mc:AlternateContent>
        <mc:AlternateContent xmlns:mc="http://schemas.openxmlformats.org/markup-compatibility/2006">
          <mc:Choice Requires="x14">
            <control shapeId="11414" r:id="rId25" name="Option Button 150">
              <controlPr defaultSize="0" autoFill="0" autoLine="0" autoPict="0">
                <anchor moveWithCells="1">
                  <from>
                    <xdr:col>3</xdr:col>
                    <xdr:colOff>899160</xdr:colOff>
                    <xdr:row>12</xdr:row>
                    <xdr:rowOff>114300</xdr:rowOff>
                  </from>
                  <to>
                    <xdr:col>3</xdr:col>
                    <xdr:colOff>1638300</xdr:colOff>
                    <xdr:row>12</xdr:row>
                    <xdr:rowOff>350520</xdr:rowOff>
                  </to>
                </anchor>
              </controlPr>
            </control>
          </mc:Choice>
        </mc:AlternateContent>
        <mc:AlternateContent xmlns:mc="http://schemas.openxmlformats.org/markup-compatibility/2006">
          <mc:Choice Requires="x14">
            <control shapeId="11415" r:id="rId26" name="Option Button 151">
              <controlPr defaultSize="0" autoFill="0" autoLine="0" autoPict="0">
                <anchor moveWithCells="1">
                  <from>
                    <xdr:col>4</xdr:col>
                    <xdr:colOff>876300</xdr:colOff>
                    <xdr:row>12</xdr:row>
                    <xdr:rowOff>121920</xdr:rowOff>
                  </from>
                  <to>
                    <xdr:col>4</xdr:col>
                    <xdr:colOff>1516380</xdr:colOff>
                    <xdr:row>12</xdr:row>
                    <xdr:rowOff>350520</xdr:rowOff>
                  </to>
                </anchor>
              </controlPr>
            </control>
          </mc:Choice>
        </mc:AlternateContent>
        <mc:AlternateContent xmlns:mc="http://schemas.openxmlformats.org/markup-compatibility/2006">
          <mc:Choice Requires="x14">
            <control shapeId="11416" r:id="rId27" name="Option Button 152">
              <controlPr defaultSize="0" autoFill="0" autoLine="0" autoPict="0" altText="Option">
                <anchor moveWithCells="1">
                  <from>
                    <xdr:col>5</xdr:col>
                    <xdr:colOff>998220</xdr:colOff>
                    <xdr:row>12</xdr:row>
                    <xdr:rowOff>121920</xdr:rowOff>
                  </from>
                  <to>
                    <xdr:col>5</xdr:col>
                    <xdr:colOff>1638300</xdr:colOff>
                    <xdr:row>12</xdr:row>
                    <xdr:rowOff>350520</xdr:rowOff>
                  </to>
                </anchor>
              </controlPr>
            </control>
          </mc:Choice>
        </mc:AlternateContent>
        <mc:AlternateContent xmlns:mc="http://schemas.openxmlformats.org/markup-compatibility/2006">
          <mc:Choice Requires="x14">
            <control shapeId="11417" r:id="rId28" name="Option Button 153">
              <controlPr defaultSize="0" autoFill="0" autoLine="0" autoPict="0">
                <anchor moveWithCells="1">
                  <from>
                    <xdr:col>6</xdr:col>
                    <xdr:colOff>1021080</xdr:colOff>
                    <xdr:row>12</xdr:row>
                    <xdr:rowOff>121920</xdr:rowOff>
                  </from>
                  <to>
                    <xdr:col>6</xdr:col>
                    <xdr:colOff>1661160</xdr:colOff>
                    <xdr:row>12</xdr:row>
                    <xdr:rowOff>350520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2CCA0"/>
  </sheetPr>
  <dimension ref="A1:Q8"/>
  <sheetViews>
    <sheetView workbookViewId="0">
      <selection activeCell="M15" sqref="M15"/>
    </sheetView>
  </sheetViews>
  <sheetFormatPr baseColWidth="10" defaultColWidth="9.109375" defaultRowHeight="13.8" x14ac:dyDescent="0.3"/>
  <cols>
    <col min="1" max="16384" width="9.109375" style="1"/>
  </cols>
  <sheetData>
    <row r="1" spans="1:17" x14ac:dyDescent="0.3">
      <c r="B1" s="136">
        <v>0</v>
      </c>
      <c r="C1" s="136">
        <v>0.2</v>
      </c>
      <c r="D1" s="136">
        <v>0.4</v>
      </c>
      <c r="E1" s="136">
        <v>0.6</v>
      </c>
      <c r="F1" s="136">
        <v>0.8</v>
      </c>
      <c r="G1" s="136">
        <v>1</v>
      </c>
      <c r="H1" s="136">
        <v>1.2</v>
      </c>
      <c r="I1" s="136">
        <v>1.4</v>
      </c>
      <c r="J1" s="136">
        <v>1.6</v>
      </c>
      <c r="K1" s="136">
        <v>1.8</v>
      </c>
      <c r="L1" s="136">
        <v>2</v>
      </c>
      <c r="M1" s="136">
        <v>2.2000000000000002</v>
      </c>
      <c r="N1" s="136">
        <v>2.4</v>
      </c>
      <c r="O1" s="136">
        <v>2.6</v>
      </c>
      <c r="P1" s="136">
        <v>2.8</v>
      </c>
      <c r="Q1" s="136">
        <v>3</v>
      </c>
    </row>
    <row r="2" spans="1:17" x14ac:dyDescent="0.3">
      <c r="A2" s="135">
        <v>5</v>
      </c>
      <c r="B2" s="15">
        <v>0</v>
      </c>
      <c r="C2" s="15">
        <v>0</v>
      </c>
      <c r="D2" s="15">
        <v>0</v>
      </c>
      <c r="E2" s="15">
        <v>1</v>
      </c>
      <c r="F2" s="15">
        <v>1</v>
      </c>
      <c r="G2" s="15">
        <v>1</v>
      </c>
      <c r="H2" s="15">
        <v>1</v>
      </c>
      <c r="I2" s="15">
        <v>1</v>
      </c>
      <c r="J2" s="15">
        <v>2</v>
      </c>
      <c r="K2" s="15">
        <v>2</v>
      </c>
      <c r="L2" s="15">
        <v>2</v>
      </c>
      <c r="M2" s="15">
        <v>2</v>
      </c>
      <c r="N2" s="15">
        <v>2</v>
      </c>
      <c r="O2" s="15">
        <v>3</v>
      </c>
      <c r="P2" s="15">
        <v>3</v>
      </c>
      <c r="Q2" s="15">
        <v>3</v>
      </c>
    </row>
    <row r="3" spans="1:17" x14ac:dyDescent="0.3">
      <c r="A3" s="135">
        <v>4</v>
      </c>
      <c r="B3" s="137">
        <v>0</v>
      </c>
      <c r="C3" s="137">
        <v>0</v>
      </c>
      <c r="D3" s="137">
        <v>0</v>
      </c>
      <c r="E3" s="137">
        <v>1</v>
      </c>
      <c r="F3" s="137">
        <v>1</v>
      </c>
      <c r="G3" s="137">
        <v>1</v>
      </c>
      <c r="H3" s="137">
        <v>1</v>
      </c>
      <c r="I3" s="137">
        <v>2</v>
      </c>
      <c r="J3" s="137">
        <v>2</v>
      </c>
      <c r="K3" s="137">
        <v>2</v>
      </c>
      <c r="L3" s="137">
        <v>2</v>
      </c>
      <c r="M3" s="137">
        <v>3</v>
      </c>
      <c r="N3" s="137">
        <v>3</v>
      </c>
      <c r="O3" s="138"/>
      <c r="P3" s="138"/>
      <c r="Q3" s="137"/>
    </row>
    <row r="4" spans="1:17" x14ac:dyDescent="0.3">
      <c r="A4" s="135">
        <v>3</v>
      </c>
      <c r="B4" s="137">
        <v>0</v>
      </c>
      <c r="C4" s="137">
        <v>0</v>
      </c>
      <c r="D4" s="137">
        <v>1</v>
      </c>
      <c r="E4" s="137">
        <v>1</v>
      </c>
      <c r="F4" s="137">
        <v>1</v>
      </c>
      <c r="G4" s="137">
        <v>2</v>
      </c>
      <c r="H4" s="137">
        <v>2</v>
      </c>
      <c r="I4" s="137">
        <v>2</v>
      </c>
      <c r="J4" s="137">
        <v>3</v>
      </c>
      <c r="K4" s="137">
        <v>3</v>
      </c>
      <c r="L4" s="138"/>
      <c r="M4" s="137"/>
      <c r="N4" s="137"/>
      <c r="O4" s="138"/>
      <c r="P4" s="138"/>
      <c r="Q4" s="137"/>
    </row>
    <row r="6" spans="1:17" x14ac:dyDescent="0.3">
      <c r="A6" s="139" t="str">
        <f>Organisation!L3</f>
        <v>Sélection</v>
      </c>
      <c r="B6" s="140"/>
      <c r="C6" s="139" t="str">
        <f>'Gestion stratégique'!L3</f>
        <v>Sélection</v>
      </c>
      <c r="D6" s="140"/>
      <c r="E6" s="139" t="str">
        <f>Financier!L3</f>
        <v>Sélection</v>
      </c>
      <c r="F6" s="140"/>
      <c r="G6" s="139" t="str">
        <f>Sociétariat!L3</f>
        <v>Sélection</v>
      </c>
      <c r="H6" s="140"/>
      <c r="I6" s="139" t="str">
        <f>'Formation et services'!L3</f>
        <v>Sélection</v>
      </c>
      <c r="J6" s="140"/>
      <c r="K6" s="139" t="str">
        <f>'Ventes et marketing'!L3</f>
        <v>Sélection</v>
      </c>
      <c r="L6" s="140"/>
      <c r="M6" s="139" t="str">
        <f>SGI!L3</f>
        <v>Sélection</v>
      </c>
      <c r="N6" s="140"/>
    </row>
    <row r="7" spans="1:17" x14ac:dyDescent="0.3">
      <c r="A7" s="141">
        <f>Organisation!M3</f>
        <v>0</v>
      </c>
      <c r="B7" s="142">
        <f>MATCH(A7,$B1:$Q1,0)</f>
        <v>1</v>
      </c>
      <c r="C7" s="141" t="e">
        <f>'Gestion stratégique'!M3</f>
        <v>#DIV/0!</v>
      </c>
      <c r="D7" s="142" t="e">
        <f>MATCH(C7,$B1:$Q1,0)</f>
        <v>#DIV/0!</v>
      </c>
      <c r="E7" s="141" t="e">
        <f>Financier!M3</f>
        <v>#DIV/0!</v>
      </c>
      <c r="F7" s="142" t="e">
        <f>MATCH(E7,$B1:$Q1,0)</f>
        <v>#DIV/0!</v>
      </c>
      <c r="G7" s="141" t="e">
        <f>Sociétariat!M3</f>
        <v>#DIV/0!</v>
      </c>
      <c r="H7" s="142" t="e">
        <f>MATCH(G7,$B1:$Q1,0)</f>
        <v>#DIV/0!</v>
      </c>
      <c r="I7" s="141" t="e">
        <f>'Formation et services'!M3</f>
        <v>#DIV/0!</v>
      </c>
      <c r="J7" s="142" t="e">
        <f>MATCH(I7,$B1:$Q1,0)</f>
        <v>#DIV/0!</v>
      </c>
      <c r="K7" s="141" t="e">
        <f>'Ventes et marketing'!M3</f>
        <v>#DIV/0!</v>
      </c>
      <c r="L7" s="142" t="e">
        <f>MATCH(K7,$B1:$Q1,0)</f>
        <v>#DIV/0!</v>
      </c>
      <c r="M7" s="141">
        <f>Organisation!M3</f>
        <v>0</v>
      </c>
      <c r="N7" s="142">
        <f>MATCH(M7,$B1:$Q1,0)</f>
        <v>1</v>
      </c>
    </row>
    <row r="8" spans="1:17" x14ac:dyDescent="0.3">
      <c r="A8" s="143" t="e">
        <f>INDEX($B2:$Q4,MATCH(A6,$A2:$A4,0),B7)</f>
        <v>#N/A</v>
      </c>
      <c r="B8" s="144"/>
      <c r="C8" s="143" t="e">
        <f>INDEX($B2:$Q4,MATCH(C6,$A2:$A4,0),D7)</f>
        <v>#N/A</v>
      </c>
      <c r="D8" s="144"/>
      <c r="E8" s="143" t="e">
        <f>INDEX($B2:$Q4,MATCH(E6,$A2:$A4,0),F7)</f>
        <v>#N/A</v>
      </c>
      <c r="F8" s="144"/>
      <c r="G8" s="143" t="e">
        <f>INDEX($B2:$Q4,MATCH(G6,$A2:$A4,0),H7)</f>
        <v>#N/A</v>
      </c>
      <c r="H8" s="144"/>
      <c r="I8" s="143" t="e">
        <f>INDEX($B2:$Q4,MATCH(I6,$A2:$A4,0),J7)</f>
        <v>#N/A</v>
      </c>
      <c r="J8" s="144"/>
      <c r="K8" s="143" t="e">
        <f>INDEX($B2:$Q4,MATCH(K6,$A2:$A4,0),L7)</f>
        <v>#N/A</v>
      </c>
      <c r="L8" s="144"/>
      <c r="M8" s="143" t="e">
        <f>INDEX($B2:$Q4,MATCH(M6,$A2:$A4,0),N7)</f>
        <v>#N/A</v>
      </c>
      <c r="N8" s="1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B13"/>
  <sheetViews>
    <sheetView workbookViewId="0">
      <selection activeCell="N24" sqref="N24"/>
    </sheetView>
  </sheetViews>
  <sheetFormatPr baseColWidth="10" defaultColWidth="9.109375" defaultRowHeight="14.4" x14ac:dyDescent="0.3"/>
  <sheetData>
    <row r="1" spans="1:2" x14ac:dyDescent="0.3">
      <c r="A1" t="s">
        <v>244</v>
      </c>
    </row>
    <row r="2" spans="1:2" x14ac:dyDescent="0.3">
      <c r="A2" t="s">
        <v>245</v>
      </c>
    </row>
    <row r="3" spans="1:2" x14ac:dyDescent="0.3">
      <c r="A3" t="s">
        <v>246</v>
      </c>
    </row>
    <row r="4" spans="1:2" x14ac:dyDescent="0.3">
      <c r="A4" t="s">
        <v>247</v>
      </c>
    </row>
    <row r="5" spans="1:2" x14ac:dyDescent="0.3">
      <c r="A5" t="s">
        <v>248</v>
      </c>
    </row>
    <row r="6" spans="1:2" x14ac:dyDescent="0.3">
      <c r="A6" t="s">
        <v>249</v>
      </c>
    </row>
    <row r="7" spans="1:2" x14ac:dyDescent="0.3">
      <c r="A7" t="s">
        <v>250</v>
      </c>
    </row>
    <row r="8" spans="1:2" x14ac:dyDescent="0.3">
      <c r="A8" t="s">
        <v>251</v>
      </c>
    </row>
    <row r="10" spans="1:2" x14ac:dyDescent="0.3">
      <c r="A10" s="9" t="s">
        <v>252</v>
      </c>
      <c r="B10" t="s">
        <v>253</v>
      </c>
    </row>
    <row r="11" spans="1:2" x14ac:dyDescent="0.3">
      <c r="A11" s="10" t="s">
        <v>254</v>
      </c>
      <c r="B11" t="s">
        <v>255</v>
      </c>
    </row>
    <row r="12" spans="1:2" x14ac:dyDescent="0.3">
      <c r="A12" t="s">
        <v>256</v>
      </c>
      <c r="B12" t="s">
        <v>257</v>
      </c>
    </row>
    <row r="13" spans="1:2" x14ac:dyDescent="0.3">
      <c r="A13" s="12" t="s">
        <v>258</v>
      </c>
      <c r="B13" t="s">
        <v>259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35FC0B73862942B5D735B921808A61" ma:contentTypeVersion="11" ma:contentTypeDescription="Een nieuw document maken." ma:contentTypeScope="" ma:versionID="9dd18553ed127a73accc87fed3cb59c8">
  <xsd:schema xmlns:xsd="http://www.w3.org/2001/XMLSchema" xmlns:xs="http://www.w3.org/2001/XMLSchema" xmlns:p="http://schemas.microsoft.com/office/2006/metadata/properties" xmlns:ns2="f85326c8-53d7-4073-8fb0-737c737bb331" xmlns:ns3="5765bac3-0fca-4b4e-935f-16f2a024ce24" targetNamespace="http://schemas.microsoft.com/office/2006/metadata/properties" ma:root="true" ma:fieldsID="9555343b411ce4ad973e8295dea21686" ns2:_="" ns3:_="">
    <xsd:import namespace="f85326c8-53d7-4073-8fb0-737c737bb331"/>
    <xsd:import namespace="5765bac3-0fca-4b4e-935f-16f2a024ce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5326c8-53d7-4073-8fb0-737c737bb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65bac3-0fca-4b4e-935f-16f2a024ce24"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FD9D76-5A4F-43F2-BE01-8E7A20F10C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5326c8-53d7-4073-8fb0-737c737bb331"/>
    <ds:schemaRef ds:uri="5765bac3-0fca-4b4e-935f-16f2a024ce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033E8D7-9A97-4B8F-B226-077CCA3BB93A}">
  <ds:schemaRefs>
    <ds:schemaRef ds:uri="http://schemas.microsoft.com/sharepoint/v3/contenttype/forms"/>
  </ds:schemaRefs>
</ds:datastoreItem>
</file>

<file path=customXml/itemProps3.xml><?xml version="1.0" encoding="utf-8"?>
<ds:datastoreItem xmlns:ds="http://schemas.openxmlformats.org/officeDocument/2006/customXml" ds:itemID="{6B3F41E9-FF78-4D66-805F-D5C2A123A1B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12</vt:i4>
      </vt:variant>
      <vt:variant>
        <vt:lpstr>Plages nommées</vt:lpstr>
      </vt:variant>
      <vt:variant>
        <vt:i4>1</vt:i4>
      </vt:variant>
    </vt:vector>
  </HeadingPairs>
  <TitlesOfParts>
    <vt:vector size="13" baseType="lpstr">
      <vt:lpstr>Page de couverture</vt:lpstr>
      <vt:lpstr>Infos générales</vt:lpstr>
      <vt:lpstr>Résumé</vt:lpstr>
      <vt:lpstr>Organisation</vt:lpstr>
      <vt:lpstr>Gestion stratégique</vt:lpstr>
      <vt:lpstr>Financier</vt:lpstr>
      <vt:lpstr>Sociétariat</vt:lpstr>
      <vt:lpstr>Formation et services</vt:lpstr>
      <vt:lpstr>Ventes et marketing</vt:lpstr>
      <vt:lpstr>SGI</vt:lpstr>
      <vt:lpstr>Sheet1</vt:lpstr>
      <vt:lpstr>Sheet2</vt:lpstr>
      <vt:lpstr>'Page de couverture'!Zone_d_impression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Koen den Braber</dc:creator>
  <cp:lastModifiedBy>RAINFOREST ALLIANCE</cp:lastModifiedBy>
  <cp:lastPrinted>2020-10-12T14:15:27Z</cp:lastPrinted>
  <dcterms:created xsi:type="dcterms:W3CDTF">2018-12-05T13:53:38Z</dcterms:created>
  <dcterms:modified xsi:type="dcterms:W3CDTF">2025-06-13T09:26:34Z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0x010100D035FC0B73862942B5D735B921808A61</vt:lpwstr>
  </property>
</Properties>
</file>