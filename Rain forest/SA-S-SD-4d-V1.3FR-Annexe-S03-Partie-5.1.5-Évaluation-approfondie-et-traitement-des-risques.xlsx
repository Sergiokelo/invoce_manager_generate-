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https://raorg.sharepoint.com/sites/StandardsAssurance/Shared Documents/Standards Team/Felix/Annex S3 Jan 2023/"/>
    </mc:Choice>
  </mc:AlternateContent>
  <xr:revisionPtr revIDLastSave="81" documentId="13_ncr:1_{2871A31C-C258-434B-B650-25EF22751856}" xr6:coauthVersionLast="47" xr6:coauthVersionMax="47" xr10:uidLastSave="{C4C6063D-2A18-4F06-82FE-3ECA37711CC8}"/>
  <bookViews>
    <workbookView xWindow="2685" yWindow="2685" windowWidth="38010" windowHeight="15885" tabRatio="714" firstSheet="2" activeTab="2" xr2:uid="{C532CD66-7872-4201-8FF2-174FE478527C}"/>
  </bookViews>
  <sheets>
    <sheet name="summary" sheetId="13" state="hidden" r:id="rId1"/>
    <sheet name="NEW integrated RA (S + L)" sheetId="24" state="hidden" r:id="rId2"/>
    <sheet name="Page de couverture" sheetId="29" r:id="rId3"/>
    <sheet name="Document d’orientation " sheetId="30" r:id="rId4"/>
    <sheet name="A&amp;A_Évaluation approfondie des " sheetId="23" r:id="rId5"/>
    <sheet name="Overview and guidance" sheetId="15" state="hidden" r:id="rId6"/>
    <sheet name="Indiv. cert. Risk Assessment" sheetId="21" state="hidden" r:id="rId7"/>
    <sheet name="Risk assessment l1" sheetId="20" state="hidden" r:id="rId8"/>
    <sheet name="Sheet2" sheetId="2" state="hidden" r:id="rId9"/>
    <sheet name="Group risk assessment L0" sheetId="1" state="hidden" r:id="rId10"/>
  </sheets>
  <definedNames>
    <definedName name="_xlnm._FilterDatabase" localSheetId="1" hidden="1">'NEW integrated RA (S + L)'!$A$2:$J$147</definedName>
    <definedName name="_xlnm.Print_Area" localSheetId="2">'Page de couverture'!$A$1:$M$31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4" i="20" l="1"/>
  <c r="P64" i="20" s="1"/>
  <c r="O61" i="20"/>
  <c r="P61" i="20" s="1"/>
  <c r="O57" i="20"/>
  <c r="P57" i="20" s="1"/>
  <c r="O45" i="20"/>
  <c r="P45" i="20" s="1"/>
  <c r="O43" i="20"/>
  <c r="P43" i="20" s="1"/>
  <c r="O38" i="20"/>
  <c r="P38" i="20" s="1"/>
  <c r="O32" i="20"/>
  <c r="P32" i="20" s="1"/>
  <c r="O18" i="20"/>
  <c r="P18" i="20" s="1"/>
  <c r="O16" i="20"/>
  <c r="P16" i="20" s="1"/>
  <c r="O10" i="20"/>
  <c r="P10" i="20" s="1"/>
  <c r="M7" i="20"/>
  <c r="P6" i="13"/>
  <c r="Q6" i="13" s="1"/>
  <c r="R6" i="13" s="1"/>
  <c r="P5" i="13"/>
  <c r="Q5" i="13" s="1"/>
  <c r="R5" i="13" s="1"/>
  <c r="K8" i="13"/>
  <c r="K6" i="13"/>
  <c r="K10" i="13"/>
  <c r="K11" i="13"/>
  <c r="K9" i="13"/>
  <c r="K7" i="13"/>
  <c r="K5" i="13"/>
  <c r="K4" i="13"/>
  <c r="K3" i="13"/>
  <c r="K2" i="13"/>
  <c r="P11" i="13"/>
  <c r="Q11" i="13" s="1"/>
  <c r="R11" i="13" s="1"/>
  <c r="P7" i="13"/>
  <c r="Q7" i="13" s="1"/>
  <c r="R7" i="13" s="1"/>
  <c r="P9" i="13"/>
  <c r="Q9" i="13" s="1"/>
  <c r="R9" i="13" s="1"/>
  <c r="P10" i="13"/>
  <c r="Q10" i="13" s="1"/>
  <c r="R10" i="13" s="1"/>
  <c r="P8" i="13"/>
  <c r="Q8" i="13" s="1"/>
  <c r="R8" i="13" s="1"/>
  <c r="P3" i="13"/>
  <c r="Q3" i="13" s="1"/>
  <c r="R3" i="13" s="1"/>
  <c r="P4" i="13"/>
  <c r="Q4" i="13" s="1"/>
  <c r="R4" i="13" s="1"/>
  <c r="P2" i="13"/>
  <c r="Q2" i="13" s="1"/>
  <c r="R2" i="13" s="1"/>
  <c r="P58" i="20" l="1"/>
  <c r="P19" i="20" s="1"/>
  <c r="P13" i="20" s="1"/>
  <c r="P8" i="20" s="1"/>
  <c r="P12" i="13"/>
  <c r="Q12" i="13" s="1"/>
  <c r="R1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tc={D77DCAB9-A0FF-4DCB-AA30-8E42EAEBFD83}</author>
    <author>tc={B1906721-8D61-4664-8B67-8D8FA813BAF1}</author>
  </authors>
  <commentList>
    <comment ref="D124" authorId="0" shapeId="0" xr:uid="{D77DCAB9-A0FF-4DCB-AA30-8E42EAEBFD83}">
      <text>
        <t xml:space="preserve">[Threaded comment]
Your version of Excel allows you to read this threaded comment; however, any edits to it will get removed if the file is opened in a newer version of Excel. Learn more: https://go.microsoft.com/fwlink/?linkid=870924
Comment:
    I think we should ask this for everyone - because it is likely that there are areas of natural ecosystems / natural vegetation cover that are not connected; to me this is one of the priorities where a lot could be gained, also looking at the question of Anneke "What are the priorities for groups". So I would delete the "other variable" here
</t>
      </text>
    </comment>
    <comment ref="F126" authorId="1" shapeId="0" xr:uid="{B1906721-8D61-4664-8B67-8D8FA813BAF1}">
      <text>
        <t xml:space="preserve">[Threaded comment]
Your version of Excel allows you to read this threaded comment; however, any edits to it will get removed if the file is opened in a newer version of Excel. Learn more: https://go.microsoft.com/fwlink/?linkid=870924
Comment:
    To me this is part of the overall plan to comply with 4.2.3; i.e. those natural ecosystems/vegetation that doesn't contain local species should move towards those and can then be counted as "natural vegetation".
But I am wondering now, whether we shouldn't make this question then more broad, and leading to all management actions to reach 4.2.3; for example, we could ask "Do you expect to have percentages of natural vegetation that are close to 10/15%"; and then we coudl give examples like "identify areas that you could restore" etc. But it would be a bit double with the 4.2.4 - But I am now wondering whether this wouldn't be the cleaner option. Rens, happy to talk about this if you want!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tc={20AD0091-992C-4E2A-9B8F-2790C5B54A87}</author>
  </authors>
  <commentList>
    <comment ref="I108" authorId="0" shapeId="0" xr:uid="{20AD0091-992C-4E2A-9B8F-2790C5B54A87}">
      <text>
        <t xml:space="preserve">[Threaded comment]
Your version of Excel allows you to read this threaded comment; however, any edits to it will get removed if the file is opened in a newer version of Excel. Learn more: https://go.microsoft.com/fwlink/?linkid=870924
Comment:
    All for now. But once the CC risk/impact screening has been automated and included only countries that fall into med or high risk categories need to fulfil these criteria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tc={D86FAB50-634A-4CDC-8C53-5B6E1B17CEE8}</author>
    <author>tc={5EE8AF6A-808A-4DED-AD6A-D677A866E58F}</author>
    <author>tc={6E9FE9EA-A14B-4934-808B-1A9E3C98243A}</author>
    <author>tc={DAB26FE6-4FDB-4EB8-B49D-D6C21318F750}</author>
    <author>tc={FD94C455-077A-4296-B815-6804B40ABE96}</author>
  </authors>
  <commentList>
    <comment ref="F66" authorId="0" shapeId="0" xr:uid="{D86FAB50-634A-4CDC-8C53-5B6E1B17CEE8}">
      <text>
        <t xml:space="preserve">[Threaded comment]
Your version of Excel allows you to read this threaded comment; however, any edits to it will get removed if the file is opened in a newer version of Excel. Learn more: https://go.microsoft.com/fwlink/?linkid=870924
Comment:
    Questions that need to be verified at the level of the group members should be included in the internal inspection tool, not in this risk assessment
</t>
      </text>
    </comment>
    <comment ref="I69" authorId="1" shapeId="0" xr:uid="{5EE8AF6A-808A-4DED-AD6A-D677A866E58F}">
      <text>
        <t>[Threaded comment]
Your version of Excel allows you to read this threaded comment; however, any edits to it will get removed if the file is opened in a newer version of Excel. Learn more: https://go.microsoft.com/fwlink/?linkid=870924
Comment:
    Group management does not have the list of under 18 aged group member workers or uner 18 family of group member workers. This could be potentially done in year 1 with under 18 children of group members.
Reply:
    meike totally agree - have changed</t>
      </text>
    </comment>
    <comment ref="F70" authorId="2" shapeId="0" xr:uid="{6E9FE9EA-A14B-4934-808B-1A9E3C98243A}">
      <text>
        <t xml:space="preserve">[Threaded comment]
Your version of Excel allows you to read this threaded comment; however, any edits to it will get removed if the file is opened in a newer version of Excel. Learn more: https://go.microsoft.com/fwlink/?linkid=870924
Comment:
    question for internal inspection
</t>
      </text>
    </comment>
    <comment ref="F92" authorId="3" shapeId="0" xr:uid="{DAB26FE6-4FDB-4EB8-B49D-D6C21318F750}">
      <text>
        <t xml:space="preserve">[Threaded comment]
Your version of Excel allows you to read this threaded comment; however, any edits to it will get removed if the file is opened in a newer version of Excel. Learn more: https://go.microsoft.com/fwlink/?linkid=870924
Comment:
    do we need to specify what is 'significant'?
</t>
      </text>
    </comment>
    <comment ref="H128" authorId="4" shapeId="0" xr:uid="{FD94C455-077A-4296-B815-6804B40ABE96}">
      <text>
        <t xml:space="preserve">[Threaded comment]
Your version of Excel allows you to read this threaded comment; however, any edits to it will get removed if the file is opened in a newer version of Excel. Learn more: https://go.microsoft.com/fwlink/?linkid=870924
Comment:
    All for now. But once the CC risk/impact screening has been automated and included only countries that fall into med or high risk categories need to fulfil these criteria
</t>
      </text>
    </comment>
  </commentList>
</comments>
</file>

<file path=xl/sharedStrings.xml><?xml version="1.0" encoding="utf-8"?>
<sst xmlns="http://schemas.openxmlformats.org/spreadsheetml/2006/main" count="3006" uniqueCount="881">
  <si>
    <t>Score</t>
  </si>
  <si>
    <t>Level</t>
  </si>
  <si>
    <t>¬</t>
  </si>
  <si>
    <t>¬¬</t>
  </si>
  <si>
    <t>¬¬¬</t>
  </si>
  <si>
    <t>Question</t>
  </si>
  <si>
    <t>Requirements in standard</t>
  </si>
  <si>
    <t>Which CH type does this apply to?</t>
  </si>
  <si>
    <t>Other variables</t>
  </si>
  <si>
    <t>Issue</t>
  </si>
  <si>
    <t>Mitigation self-assessment – risk questions</t>
  </si>
  <si>
    <t>Answer parameter</t>
  </si>
  <si>
    <t xml:space="preserve">Country/sector  risk context applicability </t>
  </si>
  <si>
    <t xml:space="preserve">Mitigation actions to be included in the Management Plan </t>
  </si>
  <si>
    <t>Comments</t>
  </si>
  <si>
    <t>Management</t>
  </si>
  <si>
    <t>Group Certification</t>
  </si>
  <si>
    <t>Deforestation/ Native vegetation</t>
  </si>
  <si>
    <t>Do you expect production sites of group members to be shifting or expanding?</t>
  </si>
  <si>
    <t>no</t>
  </si>
  <si>
    <t xml:space="preserve">All </t>
  </si>
  <si>
    <t>No additional action needed</t>
  </si>
  <si>
    <t xml:space="preserve">Yes </t>
  </si>
  <si>
    <t>All</t>
  </si>
  <si>
    <t>Ensure that producers and workers know that natural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</si>
  <si>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AP: not sure if this question is needed - mitigation measures are basically implementing th standard on the new farm units. They will anyway have to implement the whole standard, not only the criteria related to native vegetation
RR: I think it is good to keep, to assess the risks of expanding to new areas</t>
  </si>
  <si>
    <t>Large</t>
  </si>
  <si>
    <t xml:space="preserve">Are production sites shifting or expanding? </t>
  </si>
  <si>
    <t>Ensure that workers know that natural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</si>
  <si>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AP: not sure if this question is needed - mitigation measures are basically implementing th standard on the new farm units. They will anyway have to implement the whole standard, not only the criteria related to native vegetation</t>
  </si>
  <si>
    <t>1.8 Traceability</t>
  </si>
  <si>
    <t>Intermediaries</t>
  </si>
  <si>
    <t>Do you/will you make use of intermediaries and/or subcontractors* in your supply chain?</t>
  </si>
  <si>
    <t>yes</t>
  </si>
  <si>
    <t>Set up a clear traceability flow, that includes the documented and physical traceability rules for all actors in your supply chain (farmers, subcontractors, intermediary, processing units, transport, collection centers, management etc.).
Train all actors on your traceability procedure. This includes the intermediaries and/or subcontractors.
Monitor traceability and record keeping at all actors.  
Monitoring intermediaries especially during the harvest period. For monitoring, verify calibration of scales and record keeping at intermediaries and cross-check with information of sales from a sample of producers.</t>
  </si>
  <si>
    <t xml:space="preserve">
Set up a clear traceability flow, that includes the documented and physical traceability rules for all actors in your supply chain (farmers, processing units, transport, collection centers, management etc.).
Train all actors on your traceability procedure.
Monitor traceability and record keeping at all actors.  
</t>
  </si>
  <si>
    <t>Subcontractors</t>
  </si>
  <si>
    <t>Do you/will you make use of subcontractors* in your supply chain?</t>
  </si>
  <si>
    <t xml:space="preserve">Set up a clear traceability flow, that includes the documented and physical traceability rules for all actors in your supply chain (processing units, transport, subcontractors, warehouse etc.).
Train all actors on your traceability procedure.
Monitor traceability and record keeping at all actors. For subcontractors, verifying if all subcontractors comply with the traceability procedure and all requirements in the standard that apply to them is part of the self-assessment.
</t>
  </si>
  <si>
    <t>No</t>
  </si>
  <si>
    <t xml:space="preserve">Set up a clear traceability flow, that includes the documented and physical traceability rules for all actors in your supply chain (processing units, transport, subcontractors, warehouse etc.).
Train all actors on your traceability procedure.
Monitor traceability and record keeping at all actors. </t>
  </si>
  <si>
    <t>Record keeping</t>
  </si>
  <si>
    <t>Do you expect farmers to have difficulties keeping (traceability) records?</t>
  </si>
  <si>
    <t>Include administrion/keeping of receipts in training plan.
The group supports the farmer to keep the receipts at the same place (ex: plastic folder)
Put up signs to encourage farmers to keep receipts
Monitor keeping of receipts</t>
  </si>
  <si>
    <t>AP: Do we mean records or receipts that they receive from the buying station/group? In the standard, farmers are not requested to keep records so not sure if 'record books' is needed.
If receipt, then 
- the group needs to find a system for the farmer to keep them at the same place (ex: plastic folder)
- remove the term 'record' to align with the standard and avoid confusion
Changed</t>
  </si>
  <si>
    <t>Product separation</t>
  </si>
  <si>
    <t>Do you/will you only handle RA certified product and only buy from RA certified producers?</t>
  </si>
  <si>
    <t>No further actions needed (apart from actions on compliance with the standard)</t>
  </si>
  <si>
    <t>Implement a system for identifying the products originating from certified producers by means of physical or visual identification and in the tracebaility documents (receipts, registry, etc.).
Example of visual identification can be tags on the bags during the product transportation and storage</t>
  </si>
  <si>
    <t>Do group members have access to different market outlets / different buyers for their certifiers product?</t>
  </si>
  <si>
    <t xml:space="preserve">Information on harvested volumes based on deliveries might not be reliable, therefore, put a system in place to get information on harvested volumes (this can be done by asking  producers directly through out the year or during internal inspections).
 Collect the information on harvested volume throughout the year (monthly basis) instead of once a year during internal inspections
</t>
  </si>
  <si>
    <t>AP: I would focus the mitigation action on getting the information on harvested volume through out the year (monthly basis) instead of once a year during internal inspections
Changed</t>
  </si>
  <si>
    <t>Anneke: how can you reduce this risk?</t>
  </si>
  <si>
    <t>Do group members often rely on farm operators to manage their farm?</t>
  </si>
  <si>
    <t>all</t>
  </si>
  <si>
    <t>Guarantee that the farm manager is the same year after year through the internal inspections and that they are aware of the traceability requirements. 
Check if farm operator also manages non-certified farms and if so, encourage to include them in the certified group as well. 
Always invite the farm operator to trainings (on traceability and other topics)</t>
  </si>
  <si>
    <t>AP: mitigation action could be to always invite the farm operator to trainings (on traceability and other topics), unless already in the standard
Changed</t>
  </si>
  <si>
    <t>Anneke: not the right place to put it in the risk assessment?</t>
  </si>
  <si>
    <t>Productivity &amp; profitability</t>
  </si>
  <si>
    <t>Optimum yield</t>
  </si>
  <si>
    <t>Is the average yield of the certified crop of the group members at or above the average yield for the crop in your country?</t>
  </si>
  <si>
    <t>Yes</t>
  </si>
  <si>
    <t>AP: is a definition of 'optimum yield' needed?
RR: Changed the formulation of the question</t>
  </si>
  <si>
    <t>Optmimum yield</t>
  </si>
  <si>
    <t>No/Don't know</t>
  </si>
  <si>
    <t>Train staff to recognise &amp; prioritise production constraints in field 
Identify the main productivity constraints in the field
Establish trials and business model farms to showcase impact of rejuvenation, fertilisation and good pest and disease control</t>
  </si>
  <si>
    <t>AP: production or productivity constraints?
RR: productivity, so also costs of production</t>
  </si>
  <si>
    <t>Access to inputs and knowledge</t>
  </si>
  <si>
    <t>Do all group members have access to agricultural inputs and adequate knowledge to optimize productivity?</t>
  </si>
  <si>
    <t>Identify the main needs among group members regarding inputs and knowledge.
Support group members with training on finance, business management and understanding production costs and net income (self-selected requirement 1.4.5)
If needed, facilitate accesss to financial services (e.g. loans for farm investments) (self-selected requirement 1.4.5)</t>
  </si>
  <si>
    <t>Living income</t>
  </si>
  <si>
    <t>Do you estimate that all group members earn a decent income with the production of the certified crop?</t>
  </si>
  <si>
    <t>Assess the total net income for a representative sample of group member households, using the Living Income benchmark (self-selected requirement 1.9.6)
Support group members with training on finance, business management and understanding production costs and net income (self-selected requirement 1.4.5)
If needed, facilitate accesss to financial services (e.g. loans for farm investments) (self-selected requirement 1.4.5)
Support group members to make informed decisions on income diversification strategies, e.g. other income generating activities, product upgrading (self-selected requirement 1.4.6)</t>
  </si>
  <si>
    <t>Farming practices</t>
  </si>
  <si>
    <t>2.6 Agrochemical management</t>
  </si>
  <si>
    <t>Pesticides use</t>
  </si>
  <si>
    <t>Use of prohibited agrochemicals</t>
  </si>
  <si>
    <t xml:space="preserve">Review the Agrochemicals Rainforest Alliance Prohibited List : 
Is it common practice in the region to use one or more of the agrochemicals from the Rainforest Alliance Prohibited List, including on the non-certified crops on the farm? </t>
  </si>
  <si>
    <t xml:space="preserve">In case use of banned pesticide use is found during the external audit, the CB may issue a non-certification. To avoid this, include in your management plan:
Group member training on the prohibition of the use of banned agrochemicals, and which ones those are. 
Group members training on the risk of using highly hazardous agrochemicals.
Verify use of banned agrochemicals in internal inspections. 
Monitoring of use of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</si>
  <si>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AP: I would separate the 2 questions, answering a Yes/No is confusing here.  
Changed</t>
  </si>
  <si>
    <t xml:space="preserve">Review the Agrochemicals Rainforest Alliance Prohibited List : 
do you use one or more of the agrochemicals from the Rainforest Alliance Prohibited List, including on the non-certified crops on the farm? </t>
  </si>
  <si>
    <t>In case use of prohibited pesticide use is found during the external audit, the CB may issue a non-certification. Farms that have used pesticides agrochemicals for the harvest to be certified cannot be included in the certification and have to wait for the next harvest cycle to apply again. If you haven't, then ensure ban of use of prohibited agrochemicals by implementing:
Get rid of all prohibited agrochemicals prohibited agrochemicals, and which ones those are. 
Staff training on the risk of using highly hazardous agrochemicals.
Verify use of prohibited agrochemicals in internal inspections. 
Monitoring of use of agrochemicals during application period.</t>
  </si>
  <si>
    <t>If you are certified by other standards, are there any RA banned agrochemicals that are not banned under these other standards?</t>
  </si>
  <si>
    <t xml:space="preserve">In case use of prohibited pesticide is found during the external audit, the CB may issue a non-certification. To avoid this, include in your management plan:
Group member training on the ban of the use of prohibited agrochemicals, and which ones those are. 
Group members training on the risk of using highly hazardous agrochemicals.
Verify use of prohibited agrochemicals in internal inspections. 
Monitoring of use of agrochemicals during application period.
Set up system to collect stocks of prohibited agrochemicals from the group members.
Note: farmers that have used prohibited agrochemicals for the harvest to be certified cannot be included in the certification and have to wait for the next harvest cycle to apply again. </t>
  </si>
  <si>
    <t>If you are certified by other standards, are there any Rainforest Alliance prohibited agrochemicals that are not banned under these other standards?</t>
  </si>
  <si>
    <t>In case use of prohibited pesticide use is found during the external audit, the CB may issue a non-certification. Farms that have used prohibited agrochemicals for the harvest to be certified cannot be included in the certification and have to wait for the next harvest cycle to apply again. If you haven't, then ensure ban of use of prohibited agrochemicals by implementing:
Get rid of all prohibited agrochemicals.
Staff training on the ban of the use of prohibited agrochemicals, and which ones those are. 
Staff training on the risk of using highly hazardous agrochemicals.
Verify use of prohibited agrochemicals in internal inspections. 
Monitoring of use of agrochemicals during application period.</t>
  </si>
  <si>
    <t>Amount of pesticide applications</t>
  </si>
  <si>
    <t>Is it common practice that producers firstly try biological, physical, and other non-chemical control methods for pest control before using agrochemicals?</t>
  </si>
  <si>
    <t xml:space="preserve">Pay special attention to compliance with chapter 2.5 of the Agricultural Standard. In case needed, contact a local university or extension service for development of the Integrated Pest Management procedure. Identify sources for the purchase of lower toxicity agrochemicals as well as non-chemical pest control products.
Make sure all members have the necessary knowledge and skills to apply Integrated Pest Management.
Train members on record keeping.
Monitor use of agrochemicals and application of IPM procedure by group members (including record keeping), during application time. 
</t>
  </si>
  <si>
    <t>Use of PPE</t>
  </si>
  <si>
    <t xml:space="preserve">
Is it common practice that group members or their workers use Personal Protective Equipment (PPE) for application of agrochemicals? </t>
  </si>
  <si>
    <t>AP: don't use the abbreviation PPE but the entire words
I would rephrase 'Is it common practice that workers of group members use PPE for application of agrochemicals? ' to 'Is it common practice that group members or their workers use PPE for application of agrochemicals? 
Changed</t>
  </si>
  <si>
    <t>Ensure availability of sufficient PPE for all those applying agrochemicals.
Develop and implement management policies on the correct use of PPE.
Make sure all those applying agrochemicals are trained on correct application of the agrochemicals and PPE.
Group members trained on the risk of using highly hazardous agrochemicals.
Explore the option of developing spray teams to replace agrochemical application by individual group members.
Monitor the use of PPEs during application time.</t>
  </si>
  <si>
    <t xml:space="preserve">AP: Remove the part 'for group', this question will only populate for group certification
Why 'training on banned agrochemicals' as a mitigation measure for this point? 
Changed </t>
  </si>
  <si>
    <t>Are all workers spraying agrochemicals using the correct  Personal Protective Equipment (PPE) at all times when they apply agrochemicals?</t>
  </si>
  <si>
    <t xml:space="preserve">No </t>
  </si>
  <si>
    <t>Make an assessment among the workers on the reasons for not using PPE. 
Use the outcomes of this assessment to define the measures.
Develop and implement management policies on the correct use of PPE.
Make sure all those applying agrochemicals are trained on correct application of the agrochemicals and PPE.
Ensure availability of sufficient PPE for all those applying agrochemicals.
Monitor the use of PPEs during application time.</t>
  </si>
  <si>
    <t>2.4 Soil conservation</t>
  </si>
  <si>
    <t>Erosion</t>
  </si>
  <si>
    <t>Are there any areas that have a slope steeper than 1m rise over 3m run over an area &gt;0.1ha?</t>
  </si>
  <si>
    <t>Implement measures to protect against erosion, including planting of native groundcover, contour planting, living barriers and drainage/dewatering systems.</t>
  </si>
  <si>
    <t xml:space="preserve">Make sure no gully forming is happening and that organic top layer is not washed </t>
  </si>
  <si>
    <t>Waterlogging</t>
  </si>
  <si>
    <t>Are there any areas within the farm / group member farms with long periods of standing water after rain?</t>
  </si>
  <si>
    <t>Implement measures to improve drainage through physical measures, digging drainage trenches, or improving soil structure to increase the soil’s potential to take up water and store it</t>
  </si>
  <si>
    <t>Is high ground water level a problem in certain areas?</t>
  </si>
  <si>
    <t>Assess whether the area is suitable for crop cultivation and consider what crops are suitable for these areas. 
In some cases: improve drainage and/or conserve protective vegetation</t>
  </si>
  <si>
    <t>Drought</t>
  </si>
  <si>
    <t>Is drought (becoming) a limiting factor for crop production?</t>
  </si>
  <si>
    <t xml:space="preserve">Keep soil covered to reduce evapotransperation.                                                
Assure deep-rooting crops are used.                                                                         
Consider mixed cropping, preferable with shrub / tree crops 
Provide shade
When irrigating: assure water losses are minimised and check if lime/salt crusts are found in upper layer. If so, consult a soil institute.                                                                                                      </t>
  </si>
  <si>
    <t>ALl</t>
  </si>
  <si>
    <t xml:space="preserve">Make sure soil structure is conserved to avoid compaction </t>
  </si>
  <si>
    <t>Working Conditions</t>
  </si>
  <si>
    <t>1.5 Grievance mechanism</t>
  </si>
  <si>
    <t>Grievance Mechanism</t>
  </si>
  <si>
    <t>Is information about the grievance mechanism and the assess and address committee visible and accessible to all workers?</t>
  </si>
  <si>
    <t>Check &amp; update public display regularly to make sure information is still correct, visible and accessible to all; including languages of local and temporary staff</t>
  </si>
  <si>
    <t xml:space="preserve">Grievance Mechanism </t>
  </si>
  <si>
    <t>Ensure that producers and workers have access to practical information in their language about how and where they can access the grievance mechanism and the assess and address committee when they have a grievance that they want to be resolved.</t>
  </si>
  <si>
    <t>3.1 A&amp;A</t>
  </si>
  <si>
    <t xml:space="preserve">Equal opportunities &amp; prevention of discrimination </t>
  </si>
  <si>
    <t xml:space="preserve">Are any of the following populations present on or near the farm or group:
- Migrant workers (foreign or from within the country)
- Specific ethnic minorities (any ethnicities which are not the largest ethnicity within the workforce)
-Indigenous people (where applicable)
-People that do not speak the dominant language in the country &amp; region </t>
  </si>
  <si>
    <t>Assess whether members of these populations are working on the farm or contracted by group members.
Make sure that group and farm management is aware of the kind of populations that are present and registers their specifics: kind of population, number (estimation), language and other where relevant</t>
  </si>
  <si>
    <t>Do hiring procedures follow rules and regulations to prevent discriminatory practices?</t>
  </si>
  <si>
    <t>Make sure all job vacancies are announced widely, in appropriate languages</t>
  </si>
  <si>
    <t>Workplace Violence and Harassment prevention</t>
  </si>
  <si>
    <t xml:space="preserve">Has the management taken any targeted action to prevent violence and harassment (including sexual harassment)? </t>
  </si>
  <si>
    <t xml:space="preserve">Workplace Violence and Harassment </t>
  </si>
  <si>
    <t xml:space="preserve"> Implement at least one of the following measures:
- Training of trainers, technical staff and other persons in direct contact with members and  workers on respectful behavior and concepts of workplace violence and harassment
- training of workers on the topic on respectful behavior and concepts of workplace violence and harassment
Please note: in most cases workplace violence and harassment will relate to experiences faced by women. However risks are also faced by men. Ensure your answers cover risks in relation to all workers regardless of gender.</t>
  </si>
  <si>
    <t>Age verification</t>
  </si>
  <si>
    <t>Is there a risk that farm group members are not validating hired workers' ages at the time they are appointed?</t>
  </si>
  <si>
    <t>Check with internal inspections the small farms' workers registration on year of birth</t>
  </si>
  <si>
    <t>1) Communicate to all farmers that have hired workers, how to verify the age of all new hires at the workplace, including those supplied by labour providers. 
2) Verification of age should be based on identity documents, school and medical records or other verifiable forms of identification proof. 
3) Check with internal inspection the data in the workers list</t>
  </si>
  <si>
    <t>Does the site require proof of age and retain documentation when hiring workers?</t>
  </si>
  <si>
    <t>Medium &amp; High
According to RA risk maps on Child Labor</t>
  </si>
  <si>
    <t xml:space="preserve">Conduct a review once per year to verify that there are identity documents on file for all workers under the age of 18; </t>
  </si>
  <si>
    <t>AP:'Country/sector risk context applicability' =&gt;  specify that we are using the child labor risk maps (not visible for the producer but needed for technology)</t>
  </si>
  <si>
    <t>Low</t>
  </si>
  <si>
    <t>1) Verify the ages of all young workers on site while respecting children’s protection and privacy rights 
2) Develop and implement a system to verify the identity and age of all new hires at the workplace, including those supplied by labour providers. 
3) Ensure the system bases its decisions on verifiable forms of identification proof, including identity documents, school and medical records. Include in the age verification system school enrolment &amp; status. 
4) Ensure information about age from which children can work and circumstances under which are clearly communicated to staff and workers.</t>
  </si>
  <si>
    <t xml:space="preserve">                     </t>
  </si>
  <si>
    <t>Hazardous work</t>
  </si>
  <si>
    <t>Has the group management listed any tasks, processes or other working conditions that could be hazardous to young workers?</t>
  </si>
  <si>
    <t xml:space="preserve">Low </t>
  </si>
  <si>
    <t>Communicate this list to all group members that hire young workers</t>
  </si>
  <si>
    <t>List the tasks and processes that involve hazardous working conditions ; communicate this to all group members</t>
  </si>
  <si>
    <t>1) List the hazardous tasks / processes. 
2) Communicate this list to all group members and; 
3) through training and child labor monitoring, ensure members are aware that workers younger than 18 cannot perform these hazardous tasks. 
4) check with internal inspections</t>
  </si>
  <si>
    <t xml:space="preserve">1) Develop a list of tasks and work processes – aligned with any relevant national policy - from which under 18s would be banned from performing.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Communicate to all group members what tasks are and are not hazardous                                                                               
4) Clarify to group members that work by under 18s must be performed in accordance with the list                                   
5) clarify internal steps and potential internal sanctions where it is discovered that a member is permitting under-18s to perform hazardous work.
</t>
  </si>
  <si>
    <t>Farm has formally registered workers aged under the age of 18</t>
  </si>
  <si>
    <t xml:space="preserve">Has the farm management listed any tasks, processes or other working conditions taking place on the farm that could be hazardous to young workers? </t>
  </si>
  <si>
    <t xml:space="preserve">List the hazardous tasks / processes and ensure all supervisors are aware that workers younger than 18 cannot perform these. </t>
  </si>
  <si>
    <t>AP: 'Farm has formally registered workers aged under the age of 18' is part of the profile completion 1 (or do we expect the producer to answer that in the risk assessment tool)?
RR: Is that indeed included in profile completion 1? I would not agree to put it in profile completion, since this can change at any time...</t>
  </si>
  <si>
    <t xml:space="preserve">1) Develop a list of tasks and work processes – aligned with any relevant national policy or law - that under 18s cannot perform.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Ensure supervisors are aware of this list and pro-actively prevent young workers from being involved in hazardous tasks </t>
  </si>
  <si>
    <t>1) Develop a list of tasks and work processes – aligned with relevant national policy or law - that under 18s are banned from performing. Ensure the list covers jobs that involve hazardous substances, dangerous equipment, working at height, and/ or heavy lifting. The list of tasks should also make clear that young workers are prohibited from performing work at night.
2) Review the list every season to ensure list is up to date with national law and policy  
3) Conduct a health and safety review/risk assessment of all major farm activities to identify the major hazards, plus proposed steps to remove or reduce exposure for young workers [e.g. remove dangers of machinery, sharp tools, harmful substances, work at height, carrying heavy loads, working at height and working at night). 
4) Ensure all supervisors are aware of the hazardous tasks list and which tasks young workers are allowed to perform. 
5) conduct awareness with your workers, especially those working in teams with young workers, about what tasks young workers are allowed to perform and from which age</t>
  </si>
  <si>
    <t>Education</t>
  </si>
  <si>
    <t>Is there a risk that school-going aged children of group staff, or group members, or children of workers, do not attend school within a safe walking / traveling distance? (Use the map of the group area to assess this)</t>
  </si>
  <si>
    <t xml:space="preserve"> 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</si>
  <si>
    <t>AP: why not group members' children? 
Changed</t>
  </si>
  <si>
    <t xml:space="preserve">Education </t>
  </si>
  <si>
    <t>1) create awareness about importance of education with group members &amp; discuss ways with members how group can support children's education 
2)  Identify in internal inspections if there are group members whose children have a higher risk of not attending school due to larger distance or other accessibility issues</t>
  </si>
  <si>
    <t>Families living on-site</t>
  </si>
  <si>
    <t xml:space="preserve">Are children living on-site and of school-going age going to school within safe walking distance or at reasonable traveling distance using safe transport? </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</si>
  <si>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 provide support to workers whose children are not in school so that they can access education;</t>
  </si>
  <si>
    <t>AP: is 'Families living on-site?' part of profile completion 1 (or do we expect the producer to answer that in the risk assessment tool)?
RR: Yes, so only if they indicated this with YES in the profile completion 1, this question appears in the risk assessment</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</si>
  <si>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t>
  </si>
  <si>
    <t xml:space="preserve">Coordinate with the local school and request to be informed should any of the children living on site drop out or attend very irregularly [ensure this process is aligned with national law on data protection] </t>
  </si>
  <si>
    <t xml:space="preserve">Family workers </t>
  </si>
  <si>
    <t xml:space="preserve">Is there a risk that under-18s perform work on the farm?
</t>
  </si>
  <si>
    <t>Set up child labour monitoring process 
1)Appoint member of staff to supervise the work of all under 18s registered as working on the farm and to monitor the under 18s health and school attendance
2) the responsible staff member checks locations where under-18 olds work, to ensure young workers are not undertaking hazardous tasks and not engaged during school hours or at night/ without sufficient periods for rest in between school days. Frequency should depend on level of risk (e.g. the higher the risk, the more frequent the monitoring) Record findings of these visits. 
3) Follow the RA Remediation tool when removing children from child labor, ensuring care is taken to minimise damage to families when they miss out on income. Supervisors and workers are informed about policy of hiring young workers, including the age from which children can be hired individually, in accordance with the Rainforest Alliance Standard as well as the national law.</t>
  </si>
  <si>
    <t>Supervisors and workers are informed about policy of hiring young workers, including the age from which children can be hired individually, in accordance with the Rainforest Alliance Standard as well as the national law.</t>
  </si>
  <si>
    <t>Appoint child labor monitors [sufficient to provide an effective degree of coverage and visibility across farm] to maintain oversight over children’s working, health and school attendance patterns and to maintain awareness of the group child labor policy across inspectors, farmers, young worker supervisors and hired workers themselves.</t>
  </si>
  <si>
    <t>Inform supervisors and workers about policy of hiring young workers, including the age from which children can be hired individually, in accordance with the Rainforest Alliance Standard as well as the national law.</t>
  </si>
  <si>
    <t>Is there a risk that under-18s perform work on any of the farms within the group?</t>
  </si>
  <si>
    <t>1) Inform members about the policy regarding family child work, including the age from which children can support their parents, and from which age children can be hired individually to conduct light work, in accordance with the Rainforest Alliance Standard as well as the national law. 
2) Explain the assess and address model to members to promote transparency about child labor risks and support solutions to mitigate the risk</t>
  </si>
  <si>
    <t>Appoint child labor monitors [sufficient to provide an effective degree of coverage and visibility across farms in the producer group] to maintain oversight over children’s working, health and school attendance patterns and to maintain awareness of the group child labor policy across inspectors, farmers, young worker supervisors and hired workers themselves.</t>
  </si>
  <si>
    <t>Labour providers</t>
  </si>
  <si>
    <t>Is it likely that group members use labour providers to recruit workers?</t>
  </si>
  <si>
    <t xml:space="preserve">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groups members are working (if any) and under what conditions. </t>
  </si>
  <si>
    <t>Medium &amp; High
According to RA risk maps on Forced Labor</t>
  </si>
  <si>
    <t xml:space="preserve">1. Check the labor providers that are active in the region, and their compliance with legal requirements. 
2. Raise awareness among group members on how to work with labor providers, which labor providers should be avoided, and that there needs to be a contract in place (if more than 5 year round workers) or that the name contract and registration number need to be recorded (group members with less than 5 workers)
 3. Check with internal inspections with which labor providers group members are working (if any) and under what conditions.
 4. Verify whether the workers recruited through labor providers are treated equally with other workers and provided the same information about their protections under the RA standard. </t>
  </si>
  <si>
    <t>Does the farm/group management  use labour providers to recruit any workers?</t>
  </si>
  <si>
    <t xml:space="preserve">yes </t>
  </si>
  <si>
    <t>1. Make sure that the labor providers used are licensed or certified by the appropriate government authority, if one exists.</t>
  </si>
  <si>
    <t>1. Ensure that farms have written contracts with each labor provider, requiring that labor providers abide by RA worker protection standards. 
2. When possible, farms should directly contract workers who are recruited by labor providers. 
3. For workers whose direct employer is a labor provider, check the Assess &amp; Address monitoring system periodically with some of these workers to ensure that their pay, working conditions, etc. are as promised by the labor provider. 
4. Make sure that the workers recruited through labor providers are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Management should assign responsibility to one or more members of staff to oversee labor providers' compliance and the above measures. Farms should stop working with labor recruiters that do not meet these expectations.</t>
  </si>
  <si>
    <t>Wage payment practices</t>
  </si>
  <si>
    <t>Is it likely that group members pay their workers by volume/piece rate?</t>
  </si>
  <si>
    <t>Training/awareness raising of group members on how to assure that workers receive a fair payment</t>
  </si>
  <si>
    <t>Are workers paid by volume/piece rate?</t>
  </si>
  <si>
    <t xml:space="preserve">1. Farm-group management must ensure that workers have written or verbal contracts in place according to requirement 3.3.
2. When calculated by volume, workers' pay must equal at least the minimum wage based on a 48-hour working week or national legal working hours limit. 
3. Deductions from wages for costs such as employer-provided housing or food must only be taken with workers' consent. 
4. Ensure that personnel responsible for wage payment are correctly trained in calculations and requirements. </t>
  </si>
  <si>
    <t xml:space="preserve">Freedom of movement </t>
  </si>
  <si>
    <t>Are there security guards on the farm?</t>
  </si>
  <si>
    <t>1.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
3. Train security guards on rights of workers, eg that workers living on the farm have the right of movement on and off the farm outside working hours.</t>
  </si>
  <si>
    <t>AP: (I am not a specialist but) reading the mitigation measures, it seems that if the answer is Yes, they are in an illegal situation (restricting freedom of movement)??
Changed question and included other measure</t>
  </si>
  <si>
    <t>Prison/military labor</t>
  </si>
  <si>
    <t>Are any workers recruited/provided to the farm/group by military or prison officials?</t>
  </si>
  <si>
    <t>1. Military officials mobilizing military personnel to perform agricultural labor is a form of forced labor.  Make sure that farms do not utilize this type of labor.
2. Enusre that any prisoners working on the farm have freely provided their consent to work. 
3. Ensure that prison labors are treated the same as all other workers with respect to contracts, pay, working conditions, and all other worker protections in the RA standard.</t>
  </si>
  <si>
    <t>Deposit or document retention</t>
  </si>
  <si>
    <t>Do workers give any money (such as deposits) or documents (such as passports) to farm management or labor providers?</t>
  </si>
  <si>
    <t>1. Enusre that workers are not required to pay any type of deposit or provide any personal document to management, other than to confirm identity at the time of hiring.
2. In instances where workers prefer to provide documents or other belongings to management for safe keeping, ensure that workers have permanent, unrestricted access to these locations.</t>
  </si>
  <si>
    <t>1.6 Gender</t>
  </si>
  <si>
    <t xml:space="preserve">Gender Commitment from Leadership </t>
  </si>
  <si>
    <t>Has the group/farm management already been taking actions to address gender and/or women empowerment for at least more than a year?</t>
  </si>
  <si>
    <t>Continue the actions</t>
  </si>
  <si>
    <t>Formulate a policy on gender equality and women’s empowerment to be shared with the rest of the group.
Group/farm management to take a training course on gender, for example the RA gender training module on line. 
Stakeholder mapping of gender related organizations that could help to incorporate gender within group</t>
  </si>
  <si>
    <t>Female representation in group</t>
  </si>
  <si>
    <t xml:space="preserve">Are female members representing at least 25%  of the total number of group members? </t>
  </si>
  <si>
    <t>AP: this is already in the standard. I would put 'no action'
Changed</t>
  </si>
  <si>
    <t xml:space="preserve">Keep record of group members per gender 
Make an assessment of the reasons why female membership is limited, by interviewing female members and non members and consulting the policy on membership and document those. </t>
  </si>
  <si>
    <t>Representation in higher level functions</t>
  </si>
  <si>
    <t>Are women currently equally represented (in relation to the total % of female members or workers) amongst trainers, supervisors, management staff and/or other high level functions within the group or farm management?</t>
  </si>
  <si>
    <t>AP: same here, records of staff per gender is in the standard
Changed</t>
  </si>
  <si>
    <t>Keep records of all staff positions per gender and type of position 
Establish a minimum quota for female trainers, supervisors, management staff and other high level functions.  (For groups or farms with more than 50% of female members or workers, the female representation should at least be 50%, be doesn't need to be higher than 50%)
Organize training targeted at female farmers or workers that is needed to be eligible as a trainer, supervisor or other high level function 
Make sure job announcements reach male AND female farmers and workers and that job requirements are achievable for female farmers and workers
Give training to management staff involved in recruitment on unconscious bias and methodologies to prevent gender based discriminatory practices</t>
  </si>
  <si>
    <t>Female farmers participation in trainings</t>
  </si>
  <si>
    <t>Are female workers/group members currently equally participating (compared to the total % of female members or workers)  in trainings?</t>
  </si>
  <si>
    <t>Keep records of training participants per gender and monitor the continuity of the equal participation of female workers and members</t>
  </si>
  <si>
    <t>Female farmers particication in trainings</t>
  </si>
  <si>
    <t>Keep records of training participants per gender
Check with female members and workers what are the potential hindrances of their participation in trainings
Conduct trainings at days/times/locations where women can easily attend and send personal invitations</t>
  </si>
  <si>
    <t>3.4 Living Wage</t>
  </si>
  <si>
    <t>Payment of Living Wage</t>
  </si>
  <si>
    <t>Does the farm management keep records of the data that need to be inserted in the Rainforest Alliance Salary Matrix Tool? Data that need to be inserted are:  type of unit against which payments are made, overtime payments, bonus payments, payments in kind, etc. These data need to be specified per type of worker, and per gender.</t>
  </si>
  <si>
    <t>No further actions needed as a preparation to assess the total remunerations of workers against the Living Wage benchmark (3.4.1).</t>
  </si>
  <si>
    <t>To be checked. 
The more detailed questions on the LW assessment should be included in the guidance for the LW tool
AP: this means that the producer needs to receive the living wage tool before to answer that question (keep in mind for certification process)
RR: I agree. Maybe we should leave this out for now. It is mainly an assessment of the feasiblity to work with the LW tool....</t>
  </si>
  <si>
    <t>Set up a system for collecting the necessary data about piece-rate payments (if applicable), additional financial payments(over-time wor, bonuses); additional in-kind benefits provided to workers (food donations, health care services, housing); disaggregated by types of workers, and gender, to be able to assess the total remuneration of workers against the LW benchmark (3.4.1)</t>
  </si>
  <si>
    <t>3.7 Housing</t>
  </si>
  <si>
    <t>Are there any variations in the climate regime or high labor intensive periods that would require you to take adaptive measures in the housing conditions provided to the workers?</t>
  </si>
  <si>
    <t>For climate reasons:  check the risks for flooding, leakages, heat, etc. of the housing. Take measures to improve.
For amount of labor coming in: check if there is enough space for all workers, is there enough ventilation; is there sufficient separation of housing by gender. Take the measures to improve</t>
  </si>
  <si>
    <t>Environment</t>
  </si>
  <si>
    <t>4.1.3 / 4.1.4 HCV assessment</t>
  </si>
  <si>
    <t>HCVA</t>
  </si>
  <si>
    <t>Is the farm located closer than 5 km to an Intact Forest Landscape?</t>
  </si>
  <si>
    <t xml:space="preserve">List all activities by farmers (and any resident staff) that involve tree felling, clearing or burning of vegetation, cattle-grazing, and hunting/collection in the wider landscape outside the farm, and stop or redirect any activity that may degrade the structure or species composition of an IFL. </t>
  </si>
  <si>
    <t xml:space="preserve">
RR: For groups this should be part of the improvement, year 3, since HCV assessment is an improvement for groups. Or do we change this as a core for groups as well? </t>
  </si>
  <si>
    <t>AP: 'intact forest landscape' ? Makes it confusing if we are using terms that are not part of the standard - RR: needs to be in, because this is the HCV risk assessment part</t>
  </si>
  <si>
    <t>Is the farm  located in or closer than 2 km to a designated Protected Area (PA), a Key Biodiversity Area (KBA), a Ramsar site or a UNESCO World Heritage site</t>
  </si>
  <si>
    <t>Make sure the main conservation attributes of the area are not threatened, i.e. the values for which the area has been protected or classified as a PA, KBA or Ramsar site</t>
  </si>
  <si>
    <t>AP: Makes it confusing if we are using terms that are not part of the standard RR: needs to be in, because this is the HCV risk assment part</t>
  </si>
  <si>
    <t xml:space="preserve">Do local communities have any legal or customary rights on the farm? </t>
  </si>
  <si>
    <t>a) Map local community land uses on the farm in a participatory and inclusive way with the affected community; 
b) Identify and mitigate any direct and indirect impacts from farming activities on these resources, or on habitat that support these resources;
c) Formalise agreements with communities on the use and management of such areas using Free, Prior and Informed Consent principles, and document the process.</t>
  </si>
  <si>
    <t>Do you use communal lands for purposes related to production or processing of the certified crop, e.g. timber collection?</t>
  </si>
  <si>
    <t>a) Identify and describe all current or planned practices related with farming or processing of the certified crops, such as drying, building sheds, etc. that use resources from communal lands; 
b) Evaluate if these activities impact on the vegetation structure or on the community’s land-uses;
c) Seek ways to reduce negative impacts and avoid relying on the resources of communal lands when expanding or diversifying farming activities</t>
  </si>
  <si>
    <t xml:space="preserve"> larger than 10,000 hectares</t>
  </si>
  <si>
    <t>Have you answered yes to questions on Intact Forst Landscapes (IFL), Key Biodiversity Areas (KBAs) (etc.) or customary rights of communities?</t>
  </si>
  <si>
    <t>a) Commission a HCVRN Licenced Assessor to do an HCV assessment;
b) Develop and implement an HCV Management and Monitoring plan based on the recommendations in the report;
c) Consider how threats outside the farm could affect HCVs within the farm boundaries. Seek opportunities to engage with neighbouring farmers and communities to address and mitigate such threats across the wider landscape;
d) If you answered ‘Yes’ on Question 5 (covers basic needs of indigenous and local people which are supplied by natural_x000D_
ecosystems) , develop your management and monitoring plan in collaboration with the affected communities.</t>
  </si>
  <si>
    <t xml:space="preserve">Can this be automatized? We know the size, and the answers to the previous questions. Henriette: We know the size, but we don't necessarily know the answer to the previous questions, as it will not be automized, right?
</t>
  </si>
  <si>
    <t>AP: I wouldn't use any abbreviation in this tool
Changed</t>
  </si>
  <si>
    <t xml:space="preserve">4.2 Conservation and enhancement of natural ecoystems and native Vegetation </t>
  </si>
  <si>
    <t>multiple areas of natural ecosystem</t>
  </si>
  <si>
    <t>Ecosystem Connectivity</t>
  </si>
  <si>
    <t xml:space="preserve">Are the areas of natural ecosystem and natural vegetation cover connected by landscape corridors? </t>
  </si>
  <si>
    <t>Plan to connect existing ecosystem fragments with habitat or landscape corridors. 
Maintain and enhance buffer zones around existing ecosystem fragments to prevent encroachment of farm activities and enforce agrochemical "non-application zones".</t>
  </si>
  <si>
    <t>AP: 
- is 'multiple areas of natural ecosystem' part of profile completion 1 (or do we expect the producer to answer that in the risk assessment tool)?
- do we mean Areas of natural ecosystems within the group members' property? If not, I don't see how the mitigation measure is possible for a group</t>
  </si>
  <si>
    <t>natural  vegetation</t>
  </si>
  <si>
    <t xml:space="preserve">Do you expect all on-farm natural ecosystems, including hedges, tree lines, riparian buffers, and forest, to contain locally adapted vegetation? </t>
  </si>
  <si>
    <t>Maintain existing natural vegetation; Ensure that the total farm area with natural vegetation meets the criteria in 4.2.2-4.2.6</t>
  </si>
  <si>
    <t>Change native into natural?</t>
  </si>
  <si>
    <t>Don't know</t>
  </si>
  <si>
    <t xml:space="preserve">Investigate whether all on-farm natural ecosystems, including hedges, tree lines, riparian buffers, and forest, contain locally adapted vegetation. If not identify appropriate species that can be planted to increase the proportion of natural vegetation in on-farm natural ecosystems including forests, riparian buffers, hedges, and tree lines. </t>
  </si>
  <si>
    <t>natural vegetation</t>
  </si>
  <si>
    <t xml:space="preserve">Identify appropriate natural species that can be planted to increase the proportion of natural vegetation in on-farm natural ecosystems including forests, riparian buffers, hedges, and tree lines. </t>
  </si>
  <si>
    <t>Please select the natural eco-systems that you have on your farm: on-site forest, on-site wetlands, on-farm grassland/rangeland or non-natural desert,  permanently fallow land, multiple areas of natural ecosystem.</t>
  </si>
  <si>
    <t>Drop down with multiplpe answers possible</t>
  </si>
  <si>
    <t>Determines if next questions apply</t>
  </si>
  <si>
    <t>Group</t>
  </si>
  <si>
    <t>Please select the natural eco-systems that you expect to be on the geographical area of your sites and group members: on-site forest, on-site wetlands, on-site grassland/rangeland or non-natural desert,  permanently fallow land, multiple areas of natural ecosystem.</t>
  </si>
  <si>
    <t>On-site forest</t>
  </si>
  <si>
    <t>Forests</t>
  </si>
  <si>
    <t xml:space="preserve">Does the forest resemble natural forest in terms of canopy cover, forest strata, and the presence of vines or lianas? See document titiled Guidance on Implementing 4.1-4.3 for more information on measuring forest quality.
</t>
  </si>
  <si>
    <t>AP: is 'on site forest' a data part of profile completion 1 (or do we expect the producer to answer that in the risk assessment tool)?</t>
  </si>
  <si>
    <t>Plan to manage canopy cover, forest strata, and presence of vines or lianas (e.g., by creating openings, planting additional species, and restricting harvesting or grazing as neccessary) to facilitate natural forest regeneration and growth. See document titled Guidance on Implementing 4.1-4.3 for more details on managing on-farm forests.</t>
  </si>
  <si>
    <t>"Are there on-site forests, and do these resemble natural forests…"</t>
  </si>
  <si>
    <t xml:space="preserve"> on-farm wetlands</t>
  </si>
  <si>
    <t>Waterways, Water Sources, and Wetlands</t>
  </si>
  <si>
    <t xml:space="preserve">Do wetlands store or convey flood waters at any time of the year?
</t>
  </si>
  <si>
    <t>Plan to delineate and manage wetland and active floodplain, and ensure that production or processing activities do not encroach into the floodplain</t>
  </si>
  <si>
    <t>on-farm wetlands</t>
  </si>
  <si>
    <t>AP: is 'on farm wetland' part of profile completion 1 (or do we expect the producer to answer that in the risk assessment tool)?</t>
  </si>
  <si>
    <t>on-farm grassland/rangeland or non-natural desert</t>
  </si>
  <si>
    <t>Grassland, Rangeland, and Non-natural Desert</t>
  </si>
  <si>
    <t>Do grassland/rangeland or non-natural desert areas contain large bare areas that are at risk of eroding into nearby waterways?</t>
  </si>
  <si>
    <t>Plant additional native groundcover (grasses, shrubs, trees) and implement measures to protect against erosion.</t>
  </si>
  <si>
    <t>AP: is 'on-farm grassland/rangeland or non-natural desert' part of profile completion 1 (or do we expect the producer to answer that in the risk assessment tool)?</t>
  </si>
  <si>
    <t>Monitor the area for erosion and implement erosion control measures as neccessary. Conserve and enhance any existing native vegetation.</t>
  </si>
  <si>
    <t xml:space="preserve"> permanently fallow land</t>
  </si>
  <si>
    <t>Fallow Land</t>
  </si>
  <si>
    <t xml:space="preserve">Are trees regenerating naturally on permanently fallow land?
</t>
  </si>
  <si>
    <t>AP: is 'permanentlhy fallow land' part of profile completion 1 (or do we expect the producer to answer that in the risk assessment tool)?</t>
  </si>
  <si>
    <t>permanently fallow land</t>
  </si>
  <si>
    <t xml:space="preserve">Re-vegetate fallow land by planting native grass, shrub, and tree species in accordance with an appropriate successional regime </t>
  </si>
  <si>
    <t xml:space="preserve">Climate Change </t>
  </si>
  <si>
    <t>Climate change risks</t>
  </si>
  <si>
    <t>Are management, supervisors, and/or technical staff trained in assessing the risks and impacts that climate change poses to livelihoods and production systems?</t>
  </si>
  <si>
    <t>Training/awareness raising on climate change risks and their impacts on agricultural production systems and livelihoods more broadly.</t>
  </si>
  <si>
    <t>Have management, supervisors, and/or technical staff identified the most significant climate change threats/risks/impacts (current and projected) on livelihood resources and farming systems?</t>
  </si>
  <si>
    <t>Carry out the RA climate change risk assesment to identify and describe the most significant climate risks based on RA CC risk assessment tool.
a) Develop a farm map identifying most at risk areas based on identified climate impacts;    
 b) Develop mitigation strategies to address identified risk as they relate to other standard criteria e.g. soil management;   
c) Develop mitigation strategies to address identified risk as they relate to other livelihood strategies i.e. opportunties for diversification so that people are managing risk by planning for and investing in the future.</t>
  </si>
  <si>
    <t>Link with the CCA risk assessment tool</t>
  </si>
  <si>
    <t>`</t>
  </si>
  <si>
    <t xml:space="preserve">Do management, supervisors, and /or technical staff have access to relevant climate change information, skills and services to develop and employ adaptation strategies?  </t>
  </si>
  <si>
    <t>Awareness raising about available information to improve adaptive capacity and resilience, early warning systems, support tools and importance of equal rights to access resources.</t>
  </si>
  <si>
    <t>Are emergency measures to deal with extreme weather events and their potential impacts (i.e. evacuation plan) developed and in place?</t>
  </si>
  <si>
    <t>Based on risk map and where appicable develop an emergency response plan for household and/wider community locations e.g. households located on steep slopes at risk of landslides.</t>
  </si>
  <si>
    <t>Suggested additional questions on productivity and profitability</t>
  </si>
  <si>
    <t>Décharge de responsabilité concernant la traduction </t>
  </si>
  <si>
    <t>Plus d’informations ? </t>
  </si>
  <si>
    <r>
      <rPr>
        <sz val="10"/>
        <color theme="1"/>
        <rFont val="Century Gothic"/>
        <family val="2"/>
      </rPr>
      <t>Pour plus d’information sur Rainforest Alliance, visitez le site </t>
    </r>
    <r>
      <rPr>
        <sz val="10"/>
        <color rgb="FF1A52C2"/>
        <rFont val="Century Gothic"/>
        <family val="2"/>
      </rPr>
      <t>www.rainforest-alliance.org</t>
    </r>
    <r>
      <rPr>
        <sz val="10"/>
        <color theme="1"/>
        <rFont val="Century Gothic"/>
        <family val="2"/>
      </rPr>
      <t> ou contactez </t>
    </r>
    <r>
      <rPr>
        <sz val="10"/>
        <color rgb="FF1A52C2"/>
        <rFont val="Century Gothic"/>
        <family val="2"/>
      </rPr>
      <t>info@ra.org</t>
    </r>
    <r>
      <rPr>
        <sz val="10"/>
        <color theme="1"/>
        <rFont val="Century Gothic"/>
        <family val="2"/>
      </rPr>
      <t> </t>
    </r>
  </si>
  <si>
    <t>Nom du document :</t>
  </si>
  <si>
    <t>Expire le :</t>
  </si>
  <si>
    <t>Jusqu’à nouvel ordre</t>
  </si>
  <si>
    <t>Lié à :</t>
  </si>
  <si>
    <t>Remplace :</t>
  </si>
  <si>
    <t xml:space="preserve">Applicable aux : </t>
  </si>
  <si>
    <t>Pays/Région :</t>
  </si>
  <si>
    <t>Tous</t>
  </si>
  <si>
    <t>Produit agricole :</t>
  </si>
  <si>
    <t xml:space="preserve">Type de certification : </t>
  </si>
  <si>
    <t>Exigences de la norme</t>
  </si>
  <si>
    <t>A quel type de TC s’appliquent-elles ?</t>
  </si>
  <si>
    <t>Problème</t>
  </si>
  <si>
    <t>Questions concernant l’auto-évaluation et les risques de l’atténuation</t>
  </si>
  <si>
    <t>Paramètre de réponse</t>
  </si>
  <si>
    <t xml:space="preserve">Applicabilité par rapport au contexte des risques du pays/secteur </t>
  </si>
  <si>
    <t xml:space="preserve">Actions d’atténuation à intégrer dans le plan de gestion </t>
  </si>
  <si>
    <t>1.</t>
  </si>
  <si>
    <t>5.1.5</t>
  </si>
  <si>
    <t xml:space="preserve">direction du groupe </t>
  </si>
  <si>
    <t>Absentéisme scolaire</t>
  </si>
  <si>
    <t xml:space="preserve">Les communautés comptent-elles parmi leurs membres des agriculteurs dont les enfants présentent un risque plus élevé d’absentéisme scolaire ? 
Déterminer si certaines communautés sont exposées aux situations suivantes qui sont souvent les causes d’absentéisme ou de déscolarisation des enfants : 
1.	L’école est-elle trop éloignée pour que les enfants puissent s’y rendre à pied ou l’enseignement est-il dispensé dans des locaux inadaptés ?
2.	Les enseignants sont-ils souvent absents ?
3.	Le nombre d’élèves par classe est-il supérieur à 60 ou l’enseignement est-il dispensé dans des locaux inadaptés ?
4.	Les familles sont-elles trop pauvres pour pouvoir acheter les fournitures scolaires (uniforme, cahiers, crayons, etc.) ?
5.	L'école est-elle privée d’eau courante et/ou d’installations sanitaires ?
6.	L’école inflige-t-elle couramment des châtiments corporels ?
7.	Constate-t-on une déscolarisation des filles en âge de scolarité obligatoire dans cette communauté ?                                                        
8. Constate-t-on des niveaux élevés de grossesse des adolescentes ? Et les jeunes filles enceintes ou les jeunes mères sont-elles dans l’impossibilité de fréquenter l’école ?                                                     </t>
  </si>
  <si>
    <t xml:space="preserve">oui </t>
  </si>
  <si>
    <t>Risque moyen ou élevé de travail des enfants</t>
  </si>
  <si>
    <t>Il est important de mettre en œuvre les activités ci-dessous en cas de réponse positive à une ou plusieurs de ces questions dans les communautés d’où viennent les membres des exploitations :                                                                                                  
Les actions d’atténuation doivent cibler les causes spécifiques de la déscolarisation prématurée. 
Les actions doivent au minimum : 
A. Renforcer le contrôle des foyers ou des communautés des ces travailleurs et travailler sur les actions possibles d’atténuation.                                                 
B. Éveiller la prise de conscience de l’importance de l’éducation en se focalisant spécialement sur les filles qui abandonnent prématurément où dont l'absentéisme est le plus fréquent, en visant des objectifs définis de résolution de ces problèmes.
C. Si possible, permettre aux enfants exposés au risque de déscolarisation de fréquenter l’école en leur distribuant les fournitures scolaires (uniforme, crayons, cahiers, cartables). 
Actions supplémentaires éventuelles avec le soutien de partenaires pour des raisons spécifiques (les actions ci-dessous correspondent aux problèmes identifiés par l’évaluation approfondie ci-contre) :
1. Réclamer auprès du Ministère de l'éducation l'implantation d'une école annexe dans la communauté ou la création d'un service de transport scolaire.                                                   
2. et 6.  Former les enseignants et travailler avec le Ministère de l'éducation pour garantir que l'absentéisme des enseignants soit sanctionné.                                                                                                          
3. et 5. Réclamer au Ministère de l'éducation et au district la construction de nouvelles écoles et installations sanitaires (co-investissement possible avec la chaîne d'approvisionnement).                                                                                                                          
4. Réclamer la réduction des frais de scolarité pour les enfants les plus exposés au risque de déscolarisation et les plus vulnérables                            
5. Voir ci-dessus.                                                                                                                                                                                                        7.Éveiller chez les dirigeants et membre s de la communauté, la conscience de l’égalité des genres et de l’importance de l’éducation des filles.                                                                         
8. Réclamer au Ministère de l'éducation la poursuite de la scolarisation des filles enceintes parallèlement aux autres filles et unir les jeunes filles dans les réseaux de soutien aux jeunes mères.                                                                                                           Travailler à l’éradication de ces causes avec les écoles locales, les organisations communautaires et si possible les ONG et les partenaires de la chaîne d’approvisionnement.</t>
  </si>
  <si>
    <t>non</t>
  </si>
  <si>
    <t>Inclure la fréquentation de l'école et la déscolarisation dans le suivi régulier.</t>
  </si>
  <si>
    <t>grandes exploitations / TC individuels</t>
  </si>
  <si>
    <t>Existe-t-il sur l'exploitation des travailleurs dont les enfants sont exposés à un risque plus élevé de déscolarisation ? 
Déterminer si certaines communautés sont exposées aux situations suivantes qui sont souvent les causes d’absentéisme ou de déscolarisation des enfants : 
1.	L’école est trop éloignée pour que les enfants puissent s’y rendre à pied ou il n’existe aucun autre moyen de transport
2.	Les enseignants sont souvent absents
3.	Le nombre d’élèves par classe est supérieur à 60 ou l’enseignement est dispensé dans des locaux inadaptés
4.	On constate que les filles de cette communauté sont déscolarisées alors qu’elles sont encore à l’âge de la scolarité obligatoire
5.	L'école est-elle privée d’eau courante et/ou d’installations sanitaires
6.	Châtiments corporels à l’école
7.	Hauts niveaux de grossesse des adolescentes</t>
  </si>
  <si>
    <t>oui</t>
  </si>
  <si>
    <t>Il est important de mettre en œuvre les activités ci-dessous en cas de réponse positive à une ou plusieurs de ces questions dans les communautés d’où viennent les travailleurs des exploitation :                                                                                                  
Les actions d’atténuation doivent cibler les causes spécifiques de la déscolarisation prématurée. 
Les actions doivent au minimum : 
A. Renforcer le contrôle des foyers ou des communautés des ces travailleurs et travailler sur les actions possibles d’atténuation.                                                 
B. Éveiller la prise de conscience de l’importance de l’éducation en se focalisant spécialement sur les filles qui abandonnent prématurément où dont l'absentéisme est le plus fréquent, en visant des objectifs définis de résolution de ces problèmes.
C. Si possible, permettre aux enfants exposés au risque de déscolarisation de fréquenter l’école en leur distribuant les fournitures scolaires (uniforme, crayons, cahiers, cartables).
Actions supplémentaires éventuelles avec le soutien de partenaires pour des raisons spécifiques (les actions ci-dessous correspondent aux problèmes identifiés par l’évaluation approfondie ci-contre) :
1. Réclamer auprès du Ministère de l'éducation l'implantation d'une école annexe dans la communauté ou la création d'un service de transport scolaire.
2. et 6.  Former les enseignants et travailler avec le Ministère de l'éducation pour garantir que l'absentéisme des enseignants soit sanctionné.
3. et 5. Réclamer au Ministère de l'éducation et au district la construction de nouvelles écoles et installations sanitaires (co-investissement possible avec la chaîne d'approvisionnement).
4. Réclamer la réduction des frais de scolarité pour les enfants les plus exposés au risque de déscolarisation et les plus vulnérables                            
5. Voir ci-dessus.                                                                                                                                                                                                        7.Éveiller chez les dirigeants et membre s de la communauté, la conscience de l’égalité des genres et de l’importance de l’éducation des filles.
8. Réclamer au Ministère de l'éducation la poursuite de la scolarisation des filles enceintes parallèlement aux autres filles et unir les jeunes filles dans les réseaux de soutien aux jeunes mères.                                                                                                           Travailler à l’éradication de ces causes avec les écoles locales, les organisations communautaires et si possible les ONG et les partenaires de la chaîne d’approvisionnement.</t>
  </si>
  <si>
    <t>2.</t>
  </si>
  <si>
    <t>Accès des enfants en âge préscolaire</t>
  </si>
  <si>
    <t xml:space="preserve">Existe-t-il des communautés où les enfants en âge préscolaire n’ont pas accès ou ont un accès limité à l’école ? </t>
  </si>
  <si>
    <t>Si oui, mener une enquête supplémentaire pour savoir si les enfants en âge préscolaire accompagnent leurs parents aux champs et s'ils sont exposés à un risque de travail des enfants et/ou à des substances et des outils dangereux.
Les actions à mener doivent au minimum : 
1. Informer les parents sur les risques que l’exposition aux substances et outils dangereux font courir aux enfants,
2. Travailler avec les membres de l’exploitation et les organisations locales pour identifier ou développer des lieux adaptés et sûrs d'accueil des enfants quand leurs parents travaillent (y compris les installations de puériculture de la communauté établies par les membres des TC)                     
Si possible, il est recommandé d’inclure les actions supplémentaires suivantes : 
3. faciliter la création d’un accueil préscolaire en étroite collaboration avec l’administration locale de l’éducation, les ONG et les partenaires de la chaîne d'approvisionnement.</t>
  </si>
  <si>
    <t>Veiller à ce que les parents m’emmènent pas les enfants aux champs et promouvoir l’accueil préscolaire.</t>
  </si>
  <si>
    <t>L'accueil préscolaire des enfants des travailleurs est-il limité ou inexistant ? ?</t>
  </si>
  <si>
    <t>Vérifier que les travailleurs n’emmènent pas leurs enfants avec eux quand ils travaillent aux champs au risque qu’ils soient soumis au travail des enfants et/ou exposés à des matières ou des outils dangereux.
Les actions à mener peuvent comprendre : 
1. Informer les travailleurs sur les risques que l’exposition aux substances et outils dangereux fait courir aux enfants,
2. Créer des lieux appropriés et sûrs d'accueil des enfants quand leurs parents ou les travailleurs sont au travail (l’accueil préscolaire sur place avec l’aide de l’administration ou des travailleurs eux-mêmes)
3 faciliter la création d’un accueil préscolaire en étroite collaboration avec l’administration locale de l’éducation, les ONG et les partenaires de la chaîne d'approvisionnement</t>
  </si>
  <si>
    <t xml:space="preserve">Promouvoir le recours à l’accueil préscolaire et surveiller la fréquentation des lieux de travail par les enfants </t>
  </si>
  <si>
    <t>3.</t>
  </si>
  <si>
    <t>pauvreté / vulnérabilité</t>
  </si>
  <si>
    <r>
      <rPr>
        <sz val="11"/>
        <color theme="1"/>
        <rFont val="Calibri"/>
        <family val="2"/>
        <scheme val="minor"/>
      </rPr>
      <t>Existe-t-il des communautés qui présentent des niveaux relativement hauts de pauvreté ou de vulnérabilité ?</t>
    </r>
    <r>
      <rPr>
        <sz val="11"/>
        <color theme="1"/>
        <rFont val="Calibri"/>
        <family val="2"/>
        <scheme val="minor"/>
      </rPr>
      <t xml:space="preserve">
</t>
    </r>
    <r>
      <rPr>
        <sz val="11"/>
        <color rgb="FF000000"/>
        <rFont val="Calibri"/>
        <family val="2"/>
        <scheme val="minor"/>
      </rPr>
      <t xml:space="preserve">Les questions ci-dessous doivent permettre d’identifier certains des facteurs clés qui </t>
    </r>
    <r>
      <rPr>
        <sz val="11"/>
        <color rgb="FF000000"/>
        <rFont val="Calibri"/>
        <family val="2"/>
        <scheme val="minor"/>
      </rPr>
      <t xml:space="preserve">aggravent les risques de </t>
    </r>
    <r>
      <rPr>
        <sz val="11"/>
        <color rgb="FF000000"/>
        <rFont val="Calibri"/>
        <family val="2"/>
        <scheme val="minor"/>
      </rPr>
      <t>travail des enfants :</t>
    </r>
    <r>
      <rPr>
        <sz val="11"/>
        <color rgb="FF000000"/>
        <rFont val="Calibri"/>
        <family val="2"/>
        <scheme val="minor"/>
      </rPr>
      <t xml:space="preserve"> 
</t>
    </r>
    <r>
      <rPr>
        <sz val="11"/>
        <color rgb="FF000000"/>
        <rFont val="Calibri"/>
        <family val="2"/>
        <scheme val="minor"/>
      </rPr>
      <t>1.</t>
    </r>
    <r>
      <rPr>
        <sz val="11"/>
        <color rgb="FF000000"/>
        <rFont val="Calibri"/>
        <family val="2"/>
        <scheme val="minor"/>
      </rPr>
      <t xml:space="preserve">	</t>
    </r>
    <r>
      <rPr>
        <sz val="11"/>
        <color rgb="FF000000"/>
        <rFont val="Calibri"/>
        <family val="2"/>
        <scheme val="minor"/>
      </rPr>
      <t>La communauté est-elle éloignée ?</t>
    </r>
    <r>
      <rPr>
        <sz val="11"/>
        <color rgb="FF000000"/>
        <rFont val="Calibri"/>
        <family val="2"/>
        <scheme val="minor"/>
      </rPr>
      <t xml:space="preserve"> 
</t>
    </r>
    <r>
      <rPr>
        <sz val="11"/>
        <color rgb="FF000000"/>
        <rFont val="Calibri"/>
        <family val="2"/>
        <scheme val="minor"/>
      </rPr>
      <t>2.</t>
    </r>
    <r>
      <rPr>
        <sz val="11"/>
        <color rgb="FF000000"/>
        <rFont val="Calibri"/>
        <family val="2"/>
        <scheme val="minor"/>
      </rPr>
      <t xml:space="preserve">	</t>
    </r>
    <r>
      <rPr>
        <sz val="11"/>
        <color rgb="FF000000"/>
        <rFont val="Calibri"/>
        <family val="2"/>
        <scheme val="minor"/>
      </rPr>
      <t xml:space="preserve">La communauté </t>
    </r>
    <r>
      <rPr>
        <sz val="11"/>
        <color rgb="FF000000"/>
        <rFont val="Calibri"/>
        <family val="2"/>
        <scheme val="minor"/>
      </rPr>
      <t>est-elle privée de l'</t>
    </r>
    <r>
      <rPr>
        <sz val="11"/>
        <color rgb="FF000000"/>
        <rFont val="Calibri"/>
        <family val="2"/>
        <scheme val="minor"/>
      </rPr>
      <t>accès à l’électricité ou au réseau de téléphone mobile ?</t>
    </r>
    <r>
      <rPr>
        <sz val="11"/>
        <color rgb="FF000000"/>
        <rFont val="Calibri"/>
        <family val="2"/>
        <scheme val="minor"/>
      </rPr>
      <t xml:space="preserve">
</t>
    </r>
    <r>
      <rPr>
        <sz val="11"/>
        <color rgb="FF000000"/>
        <rFont val="Calibri"/>
        <family val="2"/>
        <scheme val="minor"/>
      </rPr>
      <t>3.</t>
    </r>
    <r>
      <rPr>
        <sz val="11"/>
        <color rgb="FF000000"/>
        <rFont val="Calibri"/>
        <family val="2"/>
        <scheme val="minor"/>
      </rPr>
      <t xml:space="preserve">	</t>
    </r>
    <r>
      <rPr>
        <sz val="11"/>
        <color rgb="FF000000"/>
        <rFont val="Calibri"/>
        <family val="2"/>
        <scheme val="minor"/>
      </rPr>
      <t>La surface des lopins de terre est-elle inférieure à la moyenne ?</t>
    </r>
    <r>
      <rPr>
        <sz val="11"/>
        <color rgb="FF000000"/>
        <rFont val="Calibri"/>
        <family val="2"/>
        <scheme val="minor"/>
      </rPr>
      <t xml:space="preserve">
</t>
    </r>
    <r>
      <rPr>
        <sz val="11"/>
        <color rgb="FF000000"/>
        <rFont val="Calibri"/>
        <family val="2"/>
        <scheme val="minor"/>
      </rPr>
      <t>4.</t>
    </r>
    <r>
      <rPr>
        <sz val="11"/>
        <color rgb="FF000000"/>
        <rFont val="Calibri"/>
        <family val="2"/>
        <scheme val="minor"/>
      </rPr>
      <t xml:space="preserve">	</t>
    </r>
    <r>
      <rPr>
        <sz val="11"/>
        <color rgb="FF000000"/>
        <rFont val="Calibri"/>
        <family val="2"/>
        <scheme val="minor"/>
      </rPr>
      <t>La plupart des foyers sont-ils sans sources de revenu alternatives à la culture certifiée ?</t>
    </r>
    <r>
      <rPr>
        <sz val="11"/>
        <color rgb="FF000000"/>
        <rFont val="Calibri"/>
        <family val="2"/>
        <scheme val="minor"/>
      </rPr>
      <t xml:space="preserve">
</t>
    </r>
    <r>
      <rPr>
        <sz val="11"/>
        <color rgb="FF000000"/>
        <rFont val="Calibri"/>
        <family val="2"/>
        <scheme val="minor"/>
      </rPr>
      <t>5.</t>
    </r>
    <r>
      <rPr>
        <sz val="11"/>
        <color rgb="FF000000"/>
        <rFont val="Calibri"/>
        <family val="2"/>
        <scheme val="minor"/>
      </rPr>
      <t xml:space="preserve">	</t>
    </r>
    <r>
      <rPr>
        <sz val="11"/>
        <color rgb="FF000000"/>
        <rFont val="Calibri"/>
        <family val="2"/>
        <scheme val="minor"/>
      </rPr>
      <t>Existe-t-il beaucoup de foyers où le chef de famille est une femme ou un enfant ?</t>
    </r>
    <r>
      <rPr>
        <sz val="11"/>
        <color rgb="FF000000"/>
        <rFont val="Calibri"/>
        <family val="2"/>
        <scheme val="minor"/>
      </rPr>
      <t xml:space="preserve">
</t>
    </r>
    <r>
      <rPr>
        <sz val="11"/>
        <color rgb="FF000000"/>
        <rFont val="Calibri"/>
        <family val="2"/>
        <scheme val="minor"/>
      </rPr>
      <t>6.</t>
    </r>
    <r>
      <rPr>
        <sz val="11"/>
        <color rgb="FF000000"/>
        <rFont val="Calibri"/>
        <family val="2"/>
        <scheme val="minor"/>
      </rPr>
      <t xml:space="preserve"> </t>
    </r>
    <r>
      <rPr>
        <sz val="11"/>
        <color rgb="FF000000"/>
        <rFont val="Calibri"/>
        <family val="2"/>
        <scheme val="minor"/>
      </rPr>
      <t>Existe-t-il un nombre élevé de familles migrantes ?</t>
    </r>
    <r>
      <rPr>
        <sz val="11"/>
        <color rgb="FF000000"/>
        <rFont val="Calibri"/>
        <family val="2"/>
        <scheme val="minor"/>
      </rPr>
      <t xml:space="preserve">   </t>
    </r>
    <r>
      <rPr>
        <sz val="11"/>
        <color rgb="FF000000"/>
        <rFont val="Calibri"/>
        <family val="2"/>
        <scheme val="minor"/>
      </rPr>
      <t>7.</t>
    </r>
    <r>
      <rPr>
        <sz val="11"/>
        <color rgb="FF000000"/>
        <rFont val="Calibri"/>
        <family val="2"/>
        <scheme val="minor"/>
      </rPr>
      <t xml:space="preserve"> </t>
    </r>
    <r>
      <rPr>
        <sz val="11"/>
        <color rgb="FF000000"/>
        <rFont val="Calibri"/>
        <family val="2"/>
        <scheme val="minor"/>
      </rPr>
      <t>Des membres de la communauté ont-ils récemment subi un choc économique (</t>
    </r>
    <r>
      <rPr>
        <sz val="11"/>
        <color rgb="FF000000"/>
        <rFont val="Calibri"/>
        <family val="2"/>
        <scheme val="minor"/>
      </rPr>
      <t>sanitaire</t>
    </r>
    <r>
      <rPr>
        <sz val="11"/>
        <color rgb="FF000000"/>
        <rFont val="Calibri"/>
        <family val="2"/>
        <scheme val="minor"/>
      </rPr>
      <t xml:space="preserve">, </t>
    </r>
    <r>
      <rPr>
        <sz val="11"/>
        <color rgb="FF000000"/>
        <rFont val="Calibri"/>
        <family val="2"/>
        <scheme val="minor"/>
      </rPr>
      <t>environnemental) ?</t>
    </r>
    <r>
      <rPr>
        <sz val="11"/>
        <color theme="1"/>
        <rFont val="Calibri"/>
        <family val="2"/>
        <scheme val="minor"/>
      </rPr>
      <t xml:space="preserve">                             </t>
    </r>
  </si>
  <si>
    <t>Établir une veille supplémentaire de ces communautés et travailler sur les action possibles d’atténuation en collaboration avec les communautés, de sorte à renforcer la parole de la communauté grâce par exemple à une formation sur la manière de demander de l’aide aux autorités ou aux coopératives, etc. La pauvreté et la vulnérabilité comptent parmi les causes majeures du travail des enfants. Renforcer la résilience et augmenter le revenu des agriculteurs peut faciliter la prévention et la réduction du travail des enfants.
Les mesures d’atténuation de chacune des causes recensées en colonne F peuvent inclure les actions suivantes (les numéros ci-dessous correspondent à la numérotation des questions en colonne F) basées sur les besoins locaux et les opportunités locales :
1.  Soutenir l'amélioration de la mise sur le marché des produits locaux. Améliorer les pratiques agricoles pour augmenter le rendement et le revenu
2. Réclamer l'extension du réseau d'électrification ou du réseau de téléphonie mobile
3. et 4. Favoriser la diversification des cultures ou des sources de revenu et des plans d'épargne et de crédit du village (AVEC)
5. Établir des liens avec les programmes publics de sécurité sociale ou de transfert monétaire pour les foyers vulnérables
6. Évaluer la situation des familles de migrants et des enfants des travailleurs en termes d’accès à l’éducation, d’exposition aux substances et aux outils dangereux et au risque de travail des enfants. Agir en collaboration avec les représentants des migrants et faciliter l'accès des groupes aux services et à leurs droits
Si nécessaire, travailler avec les partenaires commerciaux et les ONG pour la mise en œuvre des mesures présentées ci-dessus.</t>
  </si>
  <si>
    <t xml:space="preserve">Surveiller la vulnérabilité des membres les plus exposés aux risques (foyers dont le chef de famille est une femme ou un enfant) </t>
  </si>
  <si>
    <r>
      <t xml:space="preserve">Existe-t-il des groupes de travailleurs qui présentent de hauts niveaux de pauvreté ou de vulnérabilité ?
</t>
    </r>
    <r>
      <rPr>
        <sz val="11"/>
        <color rgb="FF000000"/>
        <rFont val="Calibri"/>
        <family val="2"/>
        <scheme val="minor"/>
      </rPr>
      <t>Les questions ci-dessous ont pour objet d’aider les auditeurs et les directions de ligne ou de site à identifier les travailleurs individuels les plus menacés de pauvreté et de vulnérabilité. Ces questions peuvent comprendre sans pour autant s’y limiter :</t>
    </r>
    <r>
      <rPr>
        <sz val="11"/>
        <color theme="1"/>
        <rFont val="Calibri"/>
        <family val="2"/>
        <scheme val="minor"/>
      </rPr>
      <t xml:space="preserve">
1. Certains travailleurs sont-ils employés temporairement ou à temps partiel sans protection sociale ?
2. Certaines travailleuses sont-elles les seuls soutiens ou chefs de famille de leur foyer ?
3. Certains travailleurs sont-ils des travailleurs migrants ?
4. Certains travailleurs font-ils partie de groupes marginalisés (handicapés, minorités ethniques, indigènes ou religieuses) avec des droits ou une représentation limités ?
5. Des membres de la communauté ont-ils récemment subi un choc économique (sanitaire, environnemental ou politique) ?
Pauvreté et vulnérabilité sont les causes déterminantes du travail des enfants et du travail forcé. L’élévation des niveaux de résilience et de revenu des agriculteurs et des travailleurs facilitent la lutte contre ces fléaux.</t>
    </r>
  </si>
  <si>
    <t>Risque moyen ou élevé de travail des enfants et de travail forcé</t>
  </si>
  <si>
    <t>Accompagner les travailleurs fortement exposés et rechercher activement les causes profondes de leur vulnérabilité. Les mesures d’atténuation doivent être élaborées en collaboration avec les représentants des travailleurs vulnérables et peuvent comprendre les suivantes (le numéro devant la mesure d’atténuation correspond au numéro en colonne F) :
1. Améliorer les clauses des contrats de travail temporaire (salaire égal à celui des travailleurs permanents, congés payés et indemnités maladie, prise en charges des frais de recrutement, etc.)
2. Renforcer l’aide aux gardes d’enfant et à l’éducation des enfants des travailleuses chefs de famille
3. Tenir compte de la représentation des groupes marginalisés pour leur garantir le même accès que les autres travailleurs aux droits et à la protection.
4. Évaluer la situation des familles et des enfants des travailleurs migrants en termes d’accès à l’éducation, d’exposition aux substances et outils dangereux ainsi qu’au risque de travail des enfants
5. Travailler avec les représentants des migrants et faciliter l’accès des groupes aux services et à leurs droits
6. Créer des crédits sûrs et transparents et faciliter la réalisation des projets des travailleurs vulnérables</t>
  </si>
  <si>
    <t>Surveiller la vulnérabilité des groupes à risque et de tous les travailleurs en cas de nouveaux chocs ou de changements significatifs des conditions de vie</t>
  </si>
  <si>
    <t>4.</t>
  </si>
  <si>
    <t>Enregistrement des naissances</t>
  </si>
  <si>
    <t>Existe-t-il des communautés où le pourcentage de déclaration des naissances est faible ? Si ce problème existe dans votre pays ou votre district en raison des coûts induits, il est important de collecter l’information auprès des membres via des inspections internes et des sessions d’éveil des consciences sur l'enregistrement des naissances.
L’absence de documents d'enregistrement des naissances peut barrer l’accès des enfants à l’éducation, aux soins de santé, à un travail décent et à la protection sociale.</t>
  </si>
  <si>
    <t>1. Rechercher les raisons de la non-déclaration des naissances (par exemple : coûts ou perte de temps associés, situation légale dans le pays)
2. Faciliter la collaboration entre les chefs locaux et le gouvernement local et l’UNICEF ou d’autres ONG pour permettre la délivrance des certificats de naissance et faciliter les inscriptions à l’école et au droit de travailler
3. Voir les actions d’atténuation des risques en l130 par rapport aux mécanismes alternatifs de contrôle des âges</t>
  </si>
  <si>
    <t>aucune action requise.</t>
  </si>
  <si>
    <t xml:space="preserve">Existe-t-il des travailleurs moins susceptibles de déclarer la naissance de leurs enfants ? En cas de problème local ou national dû aux coûts associés, il importe de collecter les informations de déclaration des naissances des enfants des travailleurs afin de faciliter l’accès à l’école, aux soins de santé, à la protection sociale et au travail décent.
</t>
  </si>
  <si>
    <t>1. Rechercher les raisons de la non-déclaration des naissances (par exemple : coûts ou perte de temps associés, situation légale dans le pays)
2. Faciliter la collaboration entre les représentants des travailleurs et le gouvernement local et l’UNICEF ou d’autres ONG pour permettre la délivrance des certificats de naissance et faciliter les inscriptions à l’école et l'accès au droit de travailler
3. Voir les actions d’atténuation des risques liées au 'contrôle de l'âge' par la mise en œuvre de mécanismes alternatifs de contrôle des âges</t>
  </si>
  <si>
    <t>5.</t>
  </si>
  <si>
    <t>Taux d’alphabétisation des adultes</t>
  </si>
  <si>
    <t>Existe-t-il des communautés présentant de faibles taux d’alphabétisation ou de notions de calcul des adultes ?
Il a été démontré que les enfants dont les parents ne savent ni lire ni écrire sont davantage exposés au risque de travail des enfants et que ces adultes sont davantage exposés au risque de travail forcé</t>
  </si>
  <si>
    <t>Proposer des cours d’alphabétisation et de calcul aux adultes via l’école locale, des organisations communautaires, les comités des genres afin de renforcer leur compétences commerciales, d’augmenter leur revenu et de réduire les risques de travail des enfants ou de travail forcé</t>
  </si>
  <si>
    <t>Existe-t-il des travailleurs présentant des niveaux faibles ou nuls d’alphabétisation ou de notions de calcul ?
Il a été démontré que les enfants dont les parents ne savent ni lire ni écrire sont davantage exposés au risque de travail des enfants et que ces adultes sont davantage exposés au risque de travail forcé</t>
  </si>
  <si>
    <t>Proposer des cours d’alphabétisation et de calcul aux adultes via les comités de travailleurs ou les comités des genres afin de renforcer leur compétences commerciales, d’augmenter leur revenu et de réduire les risques de travail des enfants ou de travail forcé</t>
  </si>
  <si>
    <t>6.</t>
  </si>
  <si>
    <t>Égalité des chances et prévention des discriminations</t>
  </si>
  <si>
    <t>Existe-t-il un ou plusieurs des groupes vulnérables suivants sur l’exploitation, dans le groupe ou dans la communauté ? Ces groupes peuvent être les suivants sans pour autant s’y limiter : 
- Travailleurs migrants (étrangers ou nationaux)
- Minorités ethniques spécifiques (toute ethnie autre que la plus représentée dans le personnel)
- Populations autochtones
- Personnes qui ne parlent pas la langue principale du pays et de la région
(NB Suite de la question sur le sujet "Égalité des chances et prévention des discriminations" contenue dans l’évaluation des risques de base)</t>
  </si>
  <si>
    <t>Vérifier que les travailleurs des groupes vulnérables sur l’exploitation ou dans la communauté connaissent leurs droits en matière de contrat et de rémunération et, si ce n’est pas le cas, organiser une formation sur le sujet dans la langue ou les formats appropriés
Réaliser une expertise (par le comité Évaluation-et-Résolution) dans les différentes populations afin de déterminer leurs besoins spécifiques et de développer des actions permettant d’y répondre, telles que :
-	Information, communication, formation pertinentes dans les langues appropriées
-	Liberté des pratiques rituelles, évènements, journée spéciales relatives aux cultures spécifiques
- Accès à la formation adaptée à leurs besoins, par exemple en ce qui concerne la langue, les rituels, les coutumes</t>
  </si>
  <si>
    <t>Enregistrer si possible l’historique individuel des travailleurs et surveiller l’éventuelle augmentation de certaines populations. Tenir par ailleurs un registre des personnes dont la langue maternelle n’est pas la langue locale.</t>
  </si>
  <si>
    <t>7.</t>
  </si>
  <si>
    <t>Certains groupes de populations sont-ils majoritaires dans le niveau le plus élevé et/ou dans des empois spécialisés ?
Sans s’y limiter, les groupes à observer sont :
- Travailleurs non migrants (par opposition aux travailleurs migrants étrangers ou nationaux)
- Groupes ethniques spécifiques (par opposition aux minorités ethniques, soit toute ethnie autre que la plus représentée dans le personnel)
- Populations non autochtones (par opposition aux populations autochtones)
- Personnes qui parlent la langue principale (par opposition aux personnes qui ne parlent pas la langue principale du pays et de la région du pays et de la région)</t>
  </si>
  <si>
    <t>Proposer à tous les travailleurs intéressés une formation spécialisée qui facilite la candidature à des fonctions plus élevées ou plus spécialisées
Faciliter les conditions d’accès à des fonctions plus élevées ou plus spécialisées
Définir les objectifs d’inclusion des populations exclues d’une quelconque manière des fonctions plus élevées ou plus spécialisées
Adapter les procédures d'embauche pour promouvoir l'égalité des chances et supprimer les obstacles qui pourraient entraver l'accès des candidats potentiels aux procédures d'embauche</t>
  </si>
  <si>
    <t>tous</t>
  </si>
  <si>
    <t>Aucune action supplémentaire requise</t>
  </si>
  <si>
    <t>8.</t>
  </si>
  <si>
    <t>Certains groupes de population ont-ils un meilleur accès à divers avantages tels qu’entre autres des contrats à durée indéterminée ou des horaires de travail réguliers ?
Sans s’y limiter, les groupes à observer sont :
- Travailleurs non migrants (par opposition aux travailleurs migrants étrangers ou nationaux)
- Groupes ethniques spécifiques (par opposition aux minorités ethniques, soit toute ethnie autre que la plus représentée dans le personnel)
- Populations non autochtones (par opposition aux populations autochtones)
- Personnes qui parlent la langue principale (par opposition aux personnes qui ne parlent pas la langue principale du pays et de la région du pays et de la région)</t>
  </si>
  <si>
    <t>Proposer aux travailleurs une formation sur leurs droits en matière de contrats et de conditions de travail
Tenir un registre des avantages (contrats à durée indéterminée, horaires de travail réguliers, etc.) par profil de travailleurs et concevoir et suivre les procédures correctives permettant d’atténuer ces différences</t>
  </si>
  <si>
    <t>Tenir un registre des avantages (contrats à durée indéterminée, horaires de travail réguliers, etc.) par profil de travailleurs (genre, historique individuel) et surveiller leur évolution dans le temps</t>
  </si>
  <si>
    <t>9.</t>
  </si>
  <si>
    <t>violence et harcèlement au travail</t>
  </si>
  <si>
    <t xml:space="preserve">La direction ou le comité des genres engagent-ils au minimum annuellement des actions de prévention de la violence et du harcèlement (y compris sexuel) telles que l’éveil des consciences de la direction, du personnel, des travailleurs, créent-ils des groupes de discussion, organisent-ils des formations, etc. ?
(NB poursuite de la question sur la "Prévention de la violence et du harcèlement sur le lieu de travail" contenue dans l'évaluation de base des risques)
</t>
  </si>
  <si>
    <t>Organiser une évaluation annuelle de ces activités pour vérifier avec les travailleurs la mise en application de ces actions.</t>
  </si>
  <si>
    <t>Effectuer une évaluation de la sécurité du lieu de travail dans les domaines de la violence et du harcèlement sur le lieu de travail et réaliser des ajustements sur la base de critères tels que :
-	plus de femmes aux postes de superviseuses et plus de dispositifs de sécurité
-	transport sécurisé de retour tardif au domicile depuis le lieu de travail
-	pas de poste de travail isolé
-	amélioration de l’éclairage
Débattre à l’occasion de réunions de femmes (par exemple : groupes de femme, associations AVEC etc.) des concepts, des droits et des procédures de dépôt de plainte dans le domaine du harcèlement sexuel
Formation de volontaires susceptibles d’agir en tant que vecteurs de l’éveil des consciences à ce sujet</t>
  </si>
  <si>
    <t>10.</t>
  </si>
  <si>
    <t>Mise à part la formation, le comité des genres ou la comité E&amp;R mettent-ils en œuvre des mesures de sensibilisation et de communication sur les moyens de lutte contre le harcèlement sexuel au personnel et aux travailleurs ?</t>
  </si>
  <si>
    <t>Maintenir ces mesures et contrôler leur efficacité</t>
  </si>
  <si>
    <t>Organiser des formations sur le comportement approprié, le harcèlement sexuel et la réponse à y apporter, les mécanismes en place pour y faire face et l’utilisation de ces mécanismes. Confier de préférences ces formations à des formatrices pour les travailleuses et à des formateurs pour les travailleurs. Fournir des affiches d'information sur les concepts de harcèlement sexuel et de comportement inacceptable et les afficher sur des sites fréquentés par tous les travailleurs. Les affiches montrant comment réagir au harcèlement doivent être visibles sur les sites particulièrement fréquentés par les femmes.</t>
  </si>
  <si>
    <t>11.</t>
  </si>
  <si>
    <t>Agences de placement de main-d'œuvre</t>
  </si>
  <si>
    <t>Les agences de placement de main-d'œuvre assument-elles une ou plusieurs des missions suivantes ?
- Signature directe des contrats avec les travailleurs (le contrat est souscrit auprès de l’agence de placement et pas avec le titulaire du certificat)
- Rémunération directe des travailleurs (le titulaire du certificat paye l’agence de placement qui, à son tour, paye les travailleurs)
- Fourniture d'un logement aux travailleurs
- Transport des travailleurs
- Alimentation des travailleurs
- Accord des prêts</t>
  </si>
  <si>
    <t>Oui</t>
  </si>
  <si>
    <t>Risque moyen ou élevé de travail forcé</t>
  </si>
  <si>
    <t>La direction doit assigner à un ou plusieurs membres du personnel la responsabilité du contrôle de la conformité des agences de placement de main-d'œuvre aux critères de protection des travailleurs et de conditions de travail contenus dans les normes de Rainforest Alliance applicables aux exploitations agricoles.  Cette responsabilité comprend la relecture des contrats, la surveillance du montant correct de la paye des travailleurs (au moins le salaire minimum et le versement des salaires convenus), le respect des normes de conditions de logement de Rainforest Alliance et l’absence de facturation de frais d'hébergement, transport ou alimentation par les agences de placement. Toute retenue sur la paye des travailleurs est soumise au consentement des travailleurs. Les exploitations agricoles doivent arrêter de travailler avec les agences de placement de main d'œuvre qui ne respectent pas ces exigences.</t>
  </si>
  <si>
    <t>Non</t>
  </si>
  <si>
    <t>Les agences de placement utilisées pour le recrutement de travailleurs assument fréquemment une ou plusieurs des fonctions suivantes :
- Signature directe des contrats avec les travailleurs (le contrat est souscrit auprès de l’agence de placement et pas avec le titulaire du certificat)
- Rémunération directe des travailleurs (le titulaire du certificat paye l’agence de placement qui, à son tour, paye les travailleurs)
- Fourniture d'un logement aux travailleurs
- Transport des travailleurs
- Alimentation des travailleurs
- Accord des prêts</t>
  </si>
  <si>
    <t>Effectuer une surveillance supplémentaire des communautés où le recours aux agences de placement est le plus élevé.
Diffuser auprès des membres, l’information sur les exigences de la norme Rainforest Alliance de supervision des agences de placement.
Diffuser auprès des agences de placement l’information sur leur obligation de conformité à toutes les exigences de la norme Rainforest Alliance relative aux travailleurs.</t>
  </si>
  <si>
    <t>12.</t>
  </si>
  <si>
    <t>Prêts et avances sur salaire</t>
  </si>
  <si>
    <t>L’exploitation propose-t-elle des prêts ou des avances sur salaire aux travailleurs ?</t>
  </si>
  <si>
    <t xml:space="preserve">La direction doit assigner à un ou plusieurs membres du personnel la responsabilité de superviser l’octroi de prêts et d’avances sur salaire, documenter chaque prêt ou avance pour la direction et pour les travailleurs, s’assurer que les conditions de remboursement sont raisonnables et établies en accord avec les travailleurs. </t>
  </si>
  <si>
    <t>La coopérative ou les exploitations proposent-elles des prêts ou des avances sur salaire aux travailleurs ?</t>
  </si>
  <si>
    <t>Initial Risk Assessment</t>
  </si>
  <si>
    <t>Initial GAP assessment</t>
  </si>
  <si>
    <t xml:space="preserve">GAP assessment: the GAP assessment is an assessment of the GAPs between the current state of a Certificate Holder (estate or group) and the requirements of the Rainforest Allianca. This assessment is based on the Rainforest Alliance standard. This assessment is not mandatory, however will help you identify the areas that need to be worked on and the amount of work needed still to be ready for the certification audit. </t>
  </si>
  <si>
    <t>Self Assessment</t>
  </si>
  <si>
    <t>Mitigation Actions</t>
  </si>
  <si>
    <t>Chapter</t>
  </si>
  <si>
    <t>Theme</t>
  </si>
  <si>
    <t xml:space="preserve">Which farmers does this apply to? </t>
  </si>
  <si>
    <t>Question applicable to (Group Management, medium/large estate management, group member during internal inspections)</t>
  </si>
  <si>
    <t>A. Management.</t>
  </si>
  <si>
    <t>Traceability</t>
  </si>
  <si>
    <t>All farm businesses</t>
  </si>
  <si>
    <t xml:space="preserve">Traceability procedure </t>
  </si>
  <si>
    <t>Do you/will you make use of intermediaries/subcontractors* in your supply chain?</t>
  </si>
  <si>
    <t>Set up a clear traceability flow, that includes the documented and physical traceability rules for all actors (subcontractors/intermediary, processing units, CH management etc.).
Train all actors on your traceability procedure.
Monitor traceability and record keeping at intermediaries/subcontractors (during the harvest period). (Part of the Internal inspection (TBD))</t>
  </si>
  <si>
    <t>Set up a clear traceability flow, that includes the documented and physical traceability rules for all actors (farmer, collection centers, CH management).</t>
  </si>
  <si>
    <t>B. Farming Practices</t>
  </si>
  <si>
    <t>Inputs</t>
  </si>
  <si>
    <t>Review the Rainforest Alliance list of banned agrochemicals. Do you use one or more of the agrochemicals from the pesticide watchlist?</t>
  </si>
  <si>
    <t>Set up an IPM.</t>
  </si>
  <si>
    <t>(RR:) Are you applying pesticides more than XX times per year? (Define per crop what is an expected number of times to apply pesticides per year)</t>
  </si>
  <si>
    <t>Define strategy to reduce use of pesticides. Stress use of PPE. High risk for MRL.</t>
  </si>
  <si>
    <t>4. Environment</t>
  </si>
  <si>
    <t>Steep Slopes</t>
  </si>
  <si>
    <t>Are there any areas that have a slope greater than 1m rise over 3m run over an area &gt;0.1ha?</t>
  </si>
  <si>
    <t>Implement measures to protect against erosion, including planting of native groundcover.</t>
  </si>
  <si>
    <t>No further action</t>
  </si>
  <si>
    <r>
      <t xml:space="preserve">C. Working Conditions </t>
    </r>
    <r>
      <rPr>
        <b/>
        <sz val="12"/>
        <color rgb="FFFF0000"/>
        <rFont val="Calibri"/>
        <family val="2"/>
        <scheme val="minor"/>
      </rPr>
      <t>(</t>
    </r>
    <r>
      <rPr>
        <b/>
        <sz val="12"/>
        <color rgb="FFFFC000"/>
        <rFont val="Calibri"/>
        <family val="2"/>
        <scheme val="minor"/>
      </rPr>
      <t>social chapter or "workers and communities" which was our proposal)</t>
    </r>
  </si>
  <si>
    <t xml:space="preserve">General </t>
  </si>
  <si>
    <t xml:space="preserve">There are 20 or more employees engaged at any point during the growing season </t>
  </si>
  <si>
    <t>Structure</t>
  </si>
  <si>
    <t>Does the farm have a trained committee/person in charge of the work around Assess and Address within the RA Standard? Is there a  trained Grievance Committee (criterion 1.5)? Is there a trained Gender Committee (1.6)?</t>
  </si>
  <si>
    <t xml:space="preserve">No further action </t>
  </si>
  <si>
    <t>No [to any]</t>
  </si>
  <si>
    <t xml:space="preserve">all </t>
  </si>
  <si>
    <t>Committee/person are (s)elected and committee set up; they participate in the A&amp;A online training module / gender online training module and / or grievance mechanism training module as applicable ensuring all committees are set up and trained.</t>
  </si>
  <si>
    <t>Skills/ capabilities</t>
  </si>
  <si>
    <t>Have supervisors and management experience / knowledge on dealing with cases of  child labour, forced labour, discrimination and workplace violence/harassment?</t>
  </si>
  <si>
    <t>No further actions</t>
  </si>
  <si>
    <t>Have supervisors and management experience / knowledge in dealing with cases of  child labour, forced labour, discrimination and workplace violence/harassment?</t>
  </si>
  <si>
    <t xml:space="preserve">Management representatives / supervisors undergo training on assess and address topics  </t>
  </si>
  <si>
    <t>Public communication about Grievance Mechanism and Assess and Address Committee and its responsibilities</t>
  </si>
  <si>
    <t>Discrimination</t>
  </si>
  <si>
    <t>Prevention of discrimination</t>
  </si>
  <si>
    <t>- Make sure all job vacancies are announced widely, in appropriate languages</t>
  </si>
  <si>
    <t>Medium, High</t>
  </si>
  <si>
    <t>- Conduct in-person training of managers and supervisors on unconscious bias and on avoiding any kind of discriminatory decision in relation to hiring, working conditions, pay, benefits, training, promotion, termination, redundancy
- develop procedures to prevent discrimination during hiring, between others: organize job interviews with more than one interviewer, preferibly of different genders; widespread announcement of job vacancies in appropriate languages; job description should not exclude certain groups of people</t>
  </si>
  <si>
    <t xml:space="preserve">Discrimination </t>
  </si>
  <si>
    <r>
      <t xml:space="preserve">If any of the following groups are present at the farm, have you taken actions to fairly represent them amongst management and supervisory staff? These groups could include: 
</t>
    </r>
    <r>
      <rPr>
        <strike/>
        <sz val="10"/>
        <color theme="1"/>
        <rFont val="Calibri"/>
        <family val="2"/>
        <scheme val="minor"/>
      </rPr>
      <t>-Women -</t>
    </r>
    <r>
      <rPr>
        <sz val="10"/>
        <color theme="1"/>
        <rFont val="Calibri"/>
        <family val="2"/>
        <scheme val="minor"/>
      </rPr>
      <t xml:space="preserve">&gt; </t>
    </r>
    <r>
      <rPr>
        <sz val="10"/>
        <color rgb="FFFF0000"/>
        <rFont val="Calibri"/>
        <family val="2"/>
        <scheme val="minor"/>
      </rPr>
      <t>will go to gender requirement</t>
    </r>
    <r>
      <rPr>
        <sz val="10"/>
        <color theme="1"/>
        <rFont val="Calibri"/>
        <family val="2"/>
        <scheme val="minor"/>
      </rPr>
      <t xml:space="preserve">
-Migrants (foreign or from within the country)
- Specific ethnic minority groups (any ethnicities which are not the largest ethnicity within the workforce)
-Indigenous groups (where applicable)
-Groups whose members do not speak the dominant language in the country &amp; region 
</t>
    </r>
  </si>
  <si>
    <t xml:space="preserve">If any of the following groups are present at the farm, have you taken actions to fairly represent them amongst management and supervisory staff? These groups could include: 
-Women -&gt; will go to gender requirement
-Migrants (foreign or from within the country)
- Specific ethnic minority groups (any ethnicities which are not the largest ethnicity within the workforce)
-Indigenous groups (where applicable)
-Groups whose members do not speak the dominant language in the country &amp; region </t>
  </si>
  <si>
    <t>publish vacancies for management and supervisory functions in a language(s) and in places accessible for all</t>
  </si>
  <si>
    <r>
      <t>If any of the following groups are present at the farm, have you taken actions to fairly represent them amongst management and supervisory staff? These groups could include: 
-</t>
    </r>
    <r>
      <rPr>
        <strike/>
        <sz val="10"/>
        <color theme="1"/>
        <rFont val="Calibri"/>
        <family val="2"/>
        <scheme val="minor"/>
      </rPr>
      <t xml:space="preserve">Women -&gt; </t>
    </r>
    <r>
      <rPr>
        <sz val="10"/>
        <color rgb="FFFF0000"/>
        <rFont val="Calibri"/>
        <family val="2"/>
        <scheme val="minor"/>
      </rPr>
      <t>will go to gender requirement</t>
    </r>
    <r>
      <rPr>
        <sz val="10"/>
        <color theme="1"/>
        <rFont val="Calibri"/>
        <family val="2"/>
        <scheme val="minor"/>
      </rPr>
      <t xml:space="preserve">
-Migrants (foreign or from within the country)
- Specific ethnic minority groups (any ethnicities which are not the largest ethnicity within the workforce)
-Indigenous groups (where applicable)
-Groups whose members do not speak the dominant language in the country &amp; region 
</t>
    </r>
  </si>
  <si>
    <t>- include unconscious bias and other anti discriminatory practices in the training and awareness raising of staff and management as required in 3.1.1 AND
- publish vacancies for management and supervisory functions in a language(s) and in places accessible for all</t>
  </si>
  <si>
    <t>Has management taken any targeted action to prevent workplace violence and harassment (including sexual harassment)?</t>
  </si>
  <si>
    <t>- do a risk scan of the workplace that will identify high risk areas (e.g. dark corridors, sections where people work on their own, etc.)</t>
  </si>
  <si>
    <t xml:space="preserve">Has management taken any targeted action to prevent workplace violence and harassment (including sexual harassment)? </t>
  </si>
  <si>
    <t xml:space="preserve"> Implement at least one of the following measures:
- Training for supervisors, safety guards and other staff in direct contact with workers on respectful behavior and concepts of workplace violence and harassment
- training of workers on the topic on respectful behavior and concepts of workplace violence and harassment
- do a risk scan of the workplace that will identify high risk areas and define actions to make them safer (e.g. dark corridors, sections where people work on their own, etc.)
Please note: in most cases workplace violence and harassment will relate to experiences faced by women. However risks are also faced by men. Ensure your answers cover risks in relation to all workers regardless of gender.</t>
  </si>
  <si>
    <t>Child labour</t>
  </si>
  <si>
    <t>High</t>
  </si>
  <si>
    <t xml:space="preserve">1) Conduct a review once per year to verify that there are identity documents on file for all workers under the age of 18; </t>
  </si>
  <si>
    <t>Lower, Med</t>
  </si>
  <si>
    <t>1) In line with core requirement 1.2.2, for hired young workers (15 - 17 years), the registry contains:
•	housing address
•	Name and address of parent(s) or legal guardian(s)
•	School registration
•	Type of work or tasks
•	The number of daily and weekly working hours.                                               2) Develop and implement a system to verify the identity and age of all new hires at the workplace, including those supplied by labour providers. Ensure the system bases its decisions on verifiable forms of identification proof. Include in the system school enrolment &amp; status. 3) Ensure information about age from which children can work and circumstances under which are clearly communicated to staff and workers.</t>
  </si>
  <si>
    <t>Verify the ages of all young workers on site while respecting children’s protection and privacy rights (see basic risk assessment)</t>
  </si>
  <si>
    <t xml:space="preserve">Have you listed any tasks, processes or other working conditions taking place on your farm that could be hazardous to young workers? </t>
  </si>
  <si>
    <t>Yes, please list</t>
  </si>
  <si>
    <t xml:space="preserve">Lower </t>
  </si>
  <si>
    <t xml:space="preserve">List the hazardous tasks/processes </t>
  </si>
  <si>
    <t xml:space="preserve">High </t>
  </si>
  <si>
    <t xml:space="preserve">1) Develop a list of tasks and work processes – aligned with any relevant national policy or law - that under 18s cannot perform.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Ensure supervisors are aware of this list and pro-actively prevent young workers from being involved in hazardous tasks </t>
  </si>
  <si>
    <t>Med, High</t>
  </si>
  <si>
    <t xml:space="preserve">In addition to above (row 46): 
1) Conduct a health and safety review/risk assessment of all major field activities to identify the major hazards, plus proposed steps to remove or reduce exposure for young workers [e.g. remove dangers of machinery, sharp tools, harmful substances, work at height, carrying heavy loads and workign at night ]. 3) Ensure all supervisors are aware of the hazardous tasks list and which tasks children are allowed to perform. 4) conduct awareness with your workers, especially those working in teams with young workers, about what tasks children are allowed to perform and from which age
</t>
  </si>
  <si>
    <t>Farm has formally registered workers aged under the age of 19</t>
  </si>
  <si>
    <t>Is the company / site taking any steps to protect under 18 year old workers / children of group members from  conducting hazardous tasks?</t>
  </si>
  <si>
    <t>Please list the steps; In addition to steps outlined in row 45, develop and implement Child Labor Monitoring System in accordance with A&amp;A Monitoring Guidance and steps outlined in row 56</t>
  </si>
  <si>
    <t>Farm has formally registered workers aged under the age of 20</t>
  </si>
  <si>
    <t>low</t>
  </si>
  <si>
    <t>Please list the steps</t>
  </si>
  <si>
    <t>Farm has formally registered workers aged under the age of 21</t>
  </si>
  <si>
    <t>In addition to steps outlined in row 46 and 47, set up child labor monitoring system in accordance with steps outlined in row 56 and Assess and Address monitoring guidance</t>
  </si>
  <si>
    <t>Farm has formally registered workers aged under the age of 22</t>
  </si>
  <si>
    <t>no further steps (beyond those outlined in row 46 and 47)</t>
  </si>
  <si>
    <t>Under 18s are employed, or there are workers with families living on the estate</t>
  </si>
  <si>
    <t>Collaborate with the local department of education and local NGOs to support access to education for children living on site; consider arranging safe transport or advocating for sattelite classrooms on site for younger children, where possible administered by the local education department; provide support to workers whose children are not in school so that they can access education; set up child labor monitoring system in accordance with Monitoring Guidance and steps outline in row 56</t>
  </si>
  <si>
    <t>Low, Medium</t>
  </si>
  <si>
    <t>High, Medium</t>
  </si>
  <si>
    <r>
      <t xml:space="preserve">Do workers bring their own children to the farm (to live or work)? </t>
    </r>
    <r>
      <rPr>
        <sz val="10"/>
        <color rgb="FFFF0000"/>
        <rFont val="Calibri"/>
        <family val="2"/>
        <scheme val="minor"/>
      </rPr>
      <t xml:space="preserve"> </t>
    </r>
  </si>
  <si>
    <t>Set up child labour monitoring process
1)Appoint  member of staff to supervise the work of all under 18s registered as working on the farm. 
2) Develop a process to record for each worker under the age of 18 a) their work designation for the week b) the expected hours of the work for that week  c) the specific location/section of the farm where they will work d) the name of the supervisor responsible for them.
3) the responsible staff member checks locations where under-18 olds work, to ensure young workers are not undertaking hazardous tasks and not engaged during school hours or at night/ without sufficient periods for rest in between school days. Frequency should depend on level of risk (e.g. the higher the risk, the more frequent the monitoring) Record findings of these visits.
4) Follow the RA Remediation tool when removing children from child labor, ensuring care is taken to minimise damage to families when they miss out on income.</t>
  </si>
  <si>
    <t>Do workers bring their own children to the farm (to live or work)?</t>
  </si>
  <si>
    <t>Workers are informed about policy of hiring young workers, including the age from which children can be hired individually, in accordance with the Rainforest Alliance Standard as well as the national law.</t>
  </si>
  <si>
    <t>Workers are informed about policy of hiring young workers, including the age from which children can be hired individually, in accordance with the Rainforest Alliance Standard as well as the national law. Assess and Address Committee conducts periodic visits to randomly selected sections of the farm in order to verify that all workers -particularly those who visibly look under the age of 18 - are registered and on the company payroll</t>
  </si>
  <si>
    <t>Lower</t>
  </si>
  <si>
    <t xml:space="preserve">Forced labour </t>
  </si>
  <si>
    <t>All workplaces</t>
  </si>
  <si>
    <t>Farm management</t>
  </si>
  <si>
    <t>Does the farm use labour providers to recruit any workers?</t>
  </si>
  <si>
    <t xml:space="preserve">1. Farm must ensure that any labor providers used are licensed or certified by the appropriate government authority, if one exists.
</t>
  </si>
  <si>
    <t>1. Farms must have written contracts with each labor provider, requiring that labor providers abide by RA worker protection standards.
2. When possible, farms should directly contract workers who are recruited by labor providers.
3. For workers whose direct employer is a labor provider, the Assess &amp; Address monitoring system should check periodically with some of these workers to ensure that their pay, working conditions, etc. are as promised by the labor provider.
4. Workers recruited through labor providers should be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Management should assign responsibility to one or more members of staff to oversee labor providers' compliance and the above measures. Farms should stop working with labor recruiters that do not meet these expectations.</t>
  </si>
  <si>
    <t>No further action.</t>
  </si>
  <si>
    <t>1. Farms must ensure that workers have written or verbal contracts in place according to requirement 3.3.1.
2. When calculated by volume, workers' pay must equal at least the minimum wage based on a 48-hour working week or national legal working hours limit.
3. Deductions from wages for costs such as employer-provided housing or food must only be taken with workers' consent.
4. Workers must be paid at least monthly.
5. Workers must be provided pay slips showing hours worked (regular and overtime) and/or volume produced, calculation of wages and deductions, and wages paid.</t>
  </si>
  <si>
    <t>1. Management should confirm that personnel responsible for wage payment are correctly trained in calculations and requirements.
2. Management should make available personnel who speak the appropriate languages to explain/answer workers' questions about wage calculations and pay slips.
3. Management should assign responsibility to a member of staff to conduct a periodic review of pay records to identify instances of underpayment, delayed payment, and other inconsistencies.</t>
  </si>
  <si>
    <t>Are security guards present on the farm/group premises?</t>
  </si>
  <si>
    <t xml:space="preserve">1. Farms must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
</t>
  </si>
  <si>
    <t>1. The Assess &amp; Address monitoring system, working with other committees such as the Gender Committee, should periodically check with workers to see if they feel threatened by security guards.</t>
  </si>
  <si>
    <r>
      <t xml:space="preserve">Non-local workers are included among the workforce 
</t>
    </r>
    <r>
      <rPr>
        <sz val="10"/>
        <color rgb="FFFF0000"/>
        <rFont val="Calibri"/>
        <family val="2"/>
        <scheme val="minor"/>
      </rPr>
      <t>How will we know this; is it a question in the registry?</t>
    </r>
  </si>
  <si>
    <t>Are any workers recruited/provided to the farm by military or prison officials?</t>
  </si>
  <si>
    <t>No further actions.</t>
  </si>
  <si>
    <t>1. Military officials mobilizing military personnel to perform agricultural labor is a form of forced labor.  Farms must not utilize this type of labor.
2. Farms must ensure that any prisoners working on the farm have freely provided their consent to work. 
3. Prison labor must be treated the same as all other workers with respect to contracts, pay, working conditions, and all other worker protections in the RA standard.</t>
  </si>
  <si>
    <t>1. The Assess &amp; Address monitoring system should periodically check with prison laborers to ensure they are receiving the same treatment as other workers.</t>
  </si>
  <si>
    <t>1. Farms should not require workers to pay any type of deposit or provide any personal document to management, other than to confirm identity at the time of hiring.</t>
  </si>
  <si>
    <t>1. The Assess &amp; Address monitoring system, working with other committees such as the Grievance Committee, should periodically check with workers to see if they have had to pay deposits or hand over documents.
2. In instances where workers prefer to provide documents or other belongings to management for safe keeping, management must ensure that workers have permanent, unrestricted access to these locations.</t>
  </si>
  <si>
    <t>Living Wage</t>
  </si>
  <si>
    <t>Group management; medium/large estate management</t>
  </si>
  <si>
    <t>Does the business have a constant production level or are there peaks of production over a year (high and low production seasons)?</t>
  </si>
  <si>
    <t>If No, the business needs to set in place a system to start collecting the necessary data about types of workers.</t>
  </si>
  <si>
    <t>If there were variations in production levels during the year, what is the number of months per year with average production, high peaks, and low peaks?</t>
  </si>
  <si>
    <t>N/A</t>
  </si>
  <si>
    <t>See above.</t>
  </si>
  <si>
    <t>Does your business hav a  piece-rate payments or periods of time, or a combination
of both type of structure?</t>
  </si>
  <si>
    <t>Yes/No</t>
  </si>
  <si>
    <t>If No, the business needs to set in place a system for collecting the necessary data about types of workers.</t>
  </si>
  <si>
    <t>What is the difference between this question and the question in row 82?</t>
  </si>
  <si>
    <r>
      <t xml:space="preserve">Do you know what is the total number of men and women who occupy each type of position (averaged throughout the year)? </t>
    </r>
    <r>
      <rPr>
        <sz val="10"/>
        <color rgb="FF000000"/>
        <rFont val="Calibri"/>
        <family val="2"/>
      </rPr>
      <t>-&gt; to gender</t>
    </r>
  </si>
  <si>
    <t>If no, business sets a system in place to collect gender disaggregated data on type of positions.</t>
  </si>
  <si>
    <t xml:space="preserve">Align with the gender questions. </t>
  </si>
  <si>
    <t>Do you keep record of the type of unit against which payments are made?  For example, the units for positions with piece-rate; payment schemes could be hectares, linear meters, production volume (e.g., boxes, kilograms), and others. For other positions, the unit of payment may be hour, day, week, or month.</t>
  </si>
  <si>
    <t>If No, business sets a system in place to collect data for the type of unit against which payments are made for all major types of workers.</t>
  </si>
  <si>
    <t>Does the farm collect data on the amount paid in local currency per unit worked for each type of position in the form of values based on gross wages paid per unit?</t>
  </si>
  <si>
    <t>Can the farm calculate the Average number of units that are worked in a day for each type of position (for high, low, and average periods, if applicable)?</t>
  </si>
  <si>
    <t>What do you want to achieve with this one? Is it that management should have records on payments?</t>
  </si>
  <si>
    <t>Does the farm collect data on Average hours per day worked for each type of position (for high, low, and average periods, if applicable)?</t>
  </si>
  <si>
    <t>Does the farm collect data on Average hours per week worked for each type of position (for high, low, and average periods, if applicable)</t>
  </si>
  <si>
    <t>Does the farm collect data on Average amount of monthly bonuses granted for each type of position if bonuses for performance or quality that depend directly on the worker exist?</t>
  </si>
  <si>
    <t>Does your company provide subsidizedor donated food services to workers?</t>
  </si>
  <si>
    <t>Does your company provide subsidized or donated food services to workers?</t>
  </si>
  <si>
    <t>As the living wage benchmark reports do not stipulate a specific amount for transportation from home to the workplace and vice versa, there is no explicit reference value for this benefit, so the average monthly amount paid by_x000D_
the company to provide this service to each worker is included in the analysis</t>
  </si>
  <si>
    <t>Does your company provide donated health care services to workers? Does the medical service provided by the company cover all medical consultation expenses not covered by
public health entities?</t>
  </si>
  <si>
    <t>If the answer to all these questions is yes, then the reference amount associated with expenses for private medical services is factored into the calculations according to the living wage benchmark report for the area.</t>
  </si>
  <si>
    <t>Does your company donate packages of school supplies for the workers’ children?</t>
  </si>
  <si>
    <t xml:space="preserve">If the amount paid by the company for the purchase of school supplies is less than the reference value according to the living wage benchmark report for the area, the actual amount paid by the company (divided by 12 months) is included in the analysis. If the amount paid by the company is greater than the reference value according to the living wage benchmark report, it should be noted that the purchased items are in accordance with the official lists recommended by the relevant authorities (e.g., ministries of education). </t>
  </si>
  <si>
    <t xml:space="preserve">Does your company provide family housing for its workers?_x000D_
 </t>
  </si>
  <si>
    <t>If Yes, only family homes provided by the company that comply with decent housing standards are included. The reference value for renting a decent home in the area is included in the Matrix. If the company covers the costs associated with maintenance
and public services, then the reference values for for renting a decent home in the_x000D_
area is included in the Salary Matrix tool.</t>
  </si>
  <si>
    <t>Overlap</t>
  </si>
  <si>
    <t>Gender</t>
  </si>
  <si>
    <t>Gender Training for Leadership</t>
  </si>
  <si>
    <t>Have management, supervisors and/or internal inspectors been trained in the past year on gender equality?</t>
  </si>
  <si>
    <t xml:space="preserve">Train management, supervisors, internal inspectors annually on issues related to gender equality and women’s empowerment (maternity leave, sexual harassment…), AND/OR
train management, supervisors, internal inspectors on gender bias in hiring, promotion, and employee engagement, AND/OR
make gender-related trainings (e.g. sexual harassment, discrimination, gender equality or gender bias) a requirement for all management, supervisors, and internal inspectors
</t>
  </si>
  <si>
    <t>Has management undertaken significant action in the past to address gender equality and/or women empowerment?</t>
  </si>
  <si>
    <t xml:space="preserve">Formulation of a policy on gender equality and women’s empowerment which will be shared with the rest of the workers AND/OR
Stakeholder mapping of gender related (human rights) organizations that could support addressing gender within workers, AND/OR
Ensure that management and/or other high-level functions are accountable for meeting the gender plan targets
</t>
  </si>
  <si>
    <t>Are women currently represented significally in relation to their number amongst supervisors, management and other high level functions within the farm?</t>
  </si>
  <si>
    <t>-establish a minimum quota for female trainers, supervisors, management and other high level functions AND/OR
- organize professional training targeted at female workers to improve their opportunities for higher level jobs AND/OR
-make sure that job advertisement reach male AND female workers and that job requirements are achievable for female workers
- give in person training to management staff invovled in recruitment on unconscious bias and methodologies to prevent gender based discriminatory practices</t>
  </si>
  <si>
    <t>Do you know what is the total number of men and women who occupy each type of position (averaged throughout the year)?</t>
  </si>
  <si>
    <t>yes/no</t>
  </si>
  <si>
    <t>C. Environment</t>
  </si>
  <si>
    <t>Forests and Protected Areas 4.1</t>
  </si>
  <si>
    <t>Ensure that producers and workers know that native vegetation and natural ecosystems have to be maintained, through awareness raising and regular monitoring. Clearly mark the boundaries of on-farm natural ecosystems and their buffer zones and ensure that production and processing activities, including agrochemical use, do not encroach into these areas.</t>
  </si>
  <si>
    <t>HCV</t>
  </si>
  <si>
    <t>Farmers that are within X km of a protected area</t>
  </si>
  <si>
    <t>High Conservation Value Areas (HCV)</t>
  </si>
  <si>
    <t>bla</t>
  </si>
  <si>
    <t>. Is the farm (or any farm in a group) located closer than 5 km to an Intact Forest Landscape?</t>
  </si>
  <si>
    <t>Yes/No --&gt; if yes --&gt;</t>
  </si>
  <si>
    <r>
      <t xml:space="preserve">List all activities by farmers (and any resident staff) that involve tree felling, clearing or burning of vegetation, cattle-grazing, and hunting/collection in the wider landscape outside the farm, </t>
    </r>
    <r>
      <rPr>
        <sz val="10"/>
        <color rgb="FFFF0000"/>
        <rFont val="Calibri"/>
        <family val="2"/>
        <scheme val="minor"/>
      </rPr>
      <t>and stop or redirect</t>
    </r>
    <r>
      <rPr>
        <sz val="10"/>
        <color theme="1"/>
        <rFont val="Calibri"/>
        <family val="2"/>
        <scheme val="minor"/>
      </rPr>
      <t xml:space="preserve"> any activity that may degrade the structure or species composition of an IFL. </t>
    </r>
  </si>
  <si>
    <t xml:space="preserve">TIFFANY: this is not MVP for geosaptial analysis, focus is on deforestation and PA </t>
  </si>
  <si>
    <t>Is the farm (or any farm in a group) located in or closer than 2 km to a designated Protected Area (PA), a Key Biodiversity Area (KBA), a Ramsar site or a UNESCO World Heritage site</t>
  </si>
  <si>
    <t>•	respect the borders and integrity of the area;
•	comply with all applicable legal requirements and provisions – general national legislation related to PAs and their buffer zones as well as any specific regulations for the area; 
•	do not threaten the main conservation attributes of the area, i.e. the values for which the area has been protected or classified as a PA, KBA or Ramsar site</t>
  </si>
  <si>
    <t>Do you use communal lands for purposes related to farming, e.g. cattle grazing, timber collection, or hunting?</t>
  </si>
  <si>
    <t>a) Identify and describe all current or planned practices related with farming, including for the certified crops, livestock, construction, etc that use resources from communal lands; 
b) Evaluate if farming-associated activities impact on the vegetation structure or on the community’s land-uses;
c) Seek ways to reduce negative impacts and avoid relying on the resources of communal lands when expanding or diversifying farming activities</t>
  </si>
  <si>
    <t>Is the farm, or farm group, larger than 10,000 hectares, and is the answer ‘Yes’ to questions 1, 2, or 3?</t>
  </si>
  <si>
    <t>a) Commission a HCVRN Licenced Assessor to do an HCV assessment;
b) Develop and implement an HCV Management and Monitoring plan based on the recommendations in the report;
c) Consider how threats outside the farm could affect HCVs within the farm boundaries. Seek opportunities to engage with neighbouring farmers and communities to address and mitigate such threats across the wider landscape;
d) If you answered ‘Yes’ on Question 5, develop your management and monitoring plan in collaboration with the affected communities.</t>
  </si>
  <si>
    <t>Native Vegetation</t>
  </si>
  <si>
    <t xml:space="preserve">Native Vegetation </t>
  </si>
  <si>
    <t xml:space="preserve">Do all on-farm natural ecosystems, including hedges, tree lines, riparian buffers, and forest contain native vegetation? </t>
  </si>
  <si>
    <t>Maintain existing native vegetation; Ensure that the total farm area with native vegetation meets the criteria in 4.2.2-4.2.6</t>
  </si>
  <si>
    <t xml:space="preserve">Identify appropriate native species that can be planted to increase the proportion of native vegetation in on-farm natural ecosystems including forests, riparian buffers, hedges, and tree lines. </t>
  </si>
  <si>
    <t>Natural Ecosystems</t>
  </si>
  <si>
    <t>All CHs with on-farm forest</t>
  </si>
  <si>
    <t>Does the forest resemble natural forest in terms of canopy cover, forest strata, and the presence of vines or lianas? See document titiled Guidance on Implementing 4.1-4.3 for more information on measuring forest quality.</t>
  </si>
  <si>
    <t>All CHs with on-farm wetlands</t>
  </si>
  <si>
    <t>Do wetlands store or convey flood waters at any time of the year?</t>
  </si>
  <si>
    <t>All CHs with on-farm grassland/rangeland or non-natural desert</t>
  </si>
  <si>
    <t xml:space="preserve">Do grassland/rangeland or non-natural desert areas contain large bare areas that are at risk of eroding into nearby waterways? </t>
  </si>
  <si>
    <t>All CHs with permanently fallow land</t>
  </si>
  <si>
    <t>Are trees regenerating naturally on permanently fallow land?</t>
  </si>
  <si>
    <t>All CHs with multiple areas of natural ecosystem</t>
  </si>
  <si>
    <t>Are the areas of natural ecosystem connected by landscape corridors?</t>
  </si>
  <si>
    <t>Plan to connect existing ecosystem fragments with habitat or landscape corridors. Maintain and enhance buffer zones around existing ecosystem fragments to prevent encroachment of farm activities and enforce agrochemical "non-application zones".</t>
  </si>
  <si>
    <t>Deforestation/conversion</t>
  </si>
  <si>
    <t>Harvesting in Forests</t>
  </si>
  <si>
    <t>Is there any harvesting of forestry products, including wood and non-timber forestry products, from natural ecosystems on the group of farms?</t>
  </si>
  <si>
    <t>Describe the harvesting activities and include a plan for sustainable continuation of these practices. Identify any potential threats to the quality or spatial extent of the natural ecosystems resulting from harvesting practices.</t>
  </si>
  <si>
    <t>Are producers aware of the risks and impacts that climate change poses to livelihoods and production systems?</t>
  </si>
  <si>
    <t>Yes/No --&gt; if no --&gt;</t>
  </si>
  <si>
    <t>Awareness raising on climate change risks and their impacts on agriculutral production systems and livelihoods more broadly.</t>
  </si>
  <si>
    <t>Have producers identified the most significant climate change threats/risks/impacts (current and projected) on livelihood resources and farming systems?</t>
  </si>
  <si>
    <t>a) Carry out a climate change risk assesment to identify and describe the most significant cimate risks based on RA CC risk assessment tool.</t>
  </si>
  <si>
    <t>Does a risk managament plan exist and have the identified risks and impacts (current and projected) been taken into account?</t>
  </si>
  <si>
    <t>a) Develop a farm map identifying most at risk areas based on identified climate impacts;                               b) Develop mitigation strategies to address identified risk as they relate to other standard criteria e.g. soil management;                                                                                                                                                                           c) Develop mitigation strategies to address identified risk as they relate to other livelihood strategies i.e. opportunties for diversification so that people are managing risk by planning for and investing in the future.</t>
  </si>
  <si>
    <t xml:space="preserve">Do producers have access to relevant climate change information, skills and services to develop and employ adaptation strategies?  </t>
  </si>
  <si>
    <r>
      <rPr>
        <b/>
        <sz val="10"/>
        <color theme="1"/>
        <rFont val="Calibri"/>
        <family val="2"/>
        <scheme val="minor"/>
      </rPr>
      <t>Initial Risk Assessment</t>
    </r>
    <r>
      <rPr>
        <sz val="10"/>
        <color theme="1"/>
        <rFont val="Calibri"/>
        <family val="2"/>
        <scheme val="minor"/>
      </rPr>
      <t>: the initial risk assessment is a set of questions a group or estate management shall answer before implementation of the certification program in order to have an indication on topics that require special attendion during planning and implementation of the program. E.g. topics that need to be covered in the trainings, topics that require special attention during internal inspections etc. 
-What topics do we want to include in the initial risk assessment? 
-Who can provide the questions per topic?</t>
    </r>
  </si>
  <si>
    <t>Requirement</t>
  </si>
  <si>
    <t>Feeds into: internal inspections</t>
  </si>
  <si>
    <t>High/Medium/Low</t>
  </si>
  <si>
    <t>Feeds into: management plan</t>
  </si>
  <si>
    <t>Level 0</t>
  </si>
  <si>
    <t>Level 1</t>
  </si>
  <si>
    <t>Level 2</t>
  </si>
  <si>
    <t>Level 3</t>
  </si>
  <si>
    <r>
      <t xml:space="preserve">(1.3.5) Management conducts a risk assessment in relation to the criteria in this standard for their group/farm at least every three years, including at least the risks associated with:
</t>
    </r>
    <r>
      <rPr>
        <b/>
        <sz val="10"/>
        <color rgb="FFFF0000"/>
        <rFont val="Calibri"/>
        <family val="2"/>
        <scheme val="minor"/>
      </rPr>
      <t>-Traceability</t>
    </r>
    <r>
      <rPr>
        <b/>
        <sz val="10"/>
        <color theme="1"/>
        <rFont val="Calibri"/>
        <family val="2"/>
        <scheme val="minor"/>
      </rPr>
      <t xml:space="preserve">
- Social risks including child labor, forced labor and workplace harassment and violence
- Agrochemicals management
- Deforestation and biodiversity loss
- Economic fluctuations or shocks 
- Climate change, extreme weather, environmental hazards</t>
    </r>
  </si>
  <si>
    <t>(1.3.1) An internal inspection system is in place to assess compliance of group members with the Rainforest Alliance standard. 
...
- consecutive years:
     - scope of inspection is based on risk assessment and on previous inspections</t>
  </si>
  <si>
    <r>
      <t xml:space="preserve">(1.4.1) Management makes a management plan, describing improvement areas, actions to be taken, services to be delivered and usage of Premium. The management plan is based on at least, but not limited to, </t>
    </r>
    <r>
      <rPr>
        <b/>
        <sz val="10"/>
        <color rgb="FFFF0000"/>
        <rFont val="Calibri"/>
        <family val="2"/>
        <scheme val="minor"/>
      </rPr>
      <t xml:space="preserve">the internal inspection </t>
    </r>
    <r>
      <rPr>
        <b/>
        <sz val="10"/>
        <color theme="1"/>
        <rFont val="Calibri"/>
        <family val="2"/>
        <scheme val="minor"/>
      </rPr>
      <t>(1.3.1) and risk assessment (1.3.5). Actions are implemented, monitored, and documented. The management plan is updated at least every three years.</t>
    </r>
  </si>
  <si>
    <t>No PDCA: Lack of documentation (processes and policies). No structure or formalized organization.</t>
  </si>
  <si>
    <t>Reactive, but documented (PDCA): Documentation exists with an informal structure implementing the processes and policies. Implementation occurs in reaction to the system, as no planning was taken into account when policies and process were developed.</t>
  </si>
  <si>
    <t>Proactive (PDCA): Formal documentation and structure to implement policies and processes, stakeholder involvement and planning has been involved during the development of the policies and processes. Post-implementation, there was a lack of evaluation and learning.</t>
  </si>
  <si>
    <t>Continuous improvement (PDCA): Formal documentation and structure to implement policies and processes, stakeholder involvement and planning has been involved during the development of the policies and processes. Post-implementation, activities were checked, evaluated and monitored to ensure that learning and improvement takes place.</t>
  </si>
  <si>
    <t>This page has:</t>
  </si>
  <si>
    <t>A. Management (see capacity assessment tool?)</t>
  </si>
  <si>
    <t>Topic</t>
  </si>
  <si>
    <t>Question applicable to (Group Managemet, medium/large estate management, group member during internal inspections)</t>
  </si>
  <si>
    <t>If yes, should show in Mitigation Actions</t>
  </si>
  <si>
    <t>Supporting documents /  evidence:</t>
  </si>
  <si>
    <t>Selection</t>
  </si>
  <si>
    <t>Weighted</t>
  </si>
  <si>
    <t>Maximum</t>
  </si>
  <si>
    <t>A.</t>
  </si>
  <si>
    <t>Group management capacity</t>
  </si>
  <si>
    <t>Economic fluctuations or shocks</t>
  </si>
  <si>
    <t>CH management</t>
  </si>
  <si>
    <t>Do you/will you make use of intermediaries in your supply chain?</t>
  </si>
  <si>
    <t xml:space="preserve">Set up a clear traceability flow, that includes the documented and physical traceability rules for all actors (farmer, intermediary, CH management).
Train the intermediaries on traceability.
Monitor traicability and record keeping at intermediaries (during the harvest period). </t>
  </si>
  <si>
    <t xml:space="preserve">B.  </t>
  </si>
  <si>
    <t>Agrochemical management</t>
  </si>
  <si>
    <t>Farm level</t>
  </si>
  <si>
    <t>Review the Rainforest Alliance list of banned agrochemicals. Is it common practice in the region to use one or more of the agrochemicals from the banned pesticide list?</t>
  </si>
  <si>
    <t xml:space="preserve">Group member training on the prohibition of the use of banned agrochemicals, and which ones those are. 
Include verification on use of banned agrochemicals in internal inspections. 
Monitoring of use of banned agrochemicals during application period. 
Note: farmers that have used banned agrochemicals for the harvest to be certified cannot be included in the certification and have to wait for the next harvest cycle to apply again. </t>
  </si>
  <si>
    <t>C. Working Conditions</t>
  </si>
  <si>
    <t xml:space="preserve">C.  </t>
  </si>
  <si>
    <t>Group members</t>
  </si>
  <si>
    <t>If you hire labor (beyond family labor), are any of the workers from historically discriminated groups (indigenous communities, minorities, lower castes etc.)?</t>
  </si>
  <si>
    <t>Ensure that all workers receive equal pay for jobs of equal value.
Ensure that all workers understand the working conditions if needed by explaining in their own language.</t>
  </si>
  <si>
    <t>Is it possible that any of the group members hires labor (beyond family labor), are any of the workers from historically discriminated groups (indigenous communities, minorities, lower castes etc.)?</t>
  </si>
  <si>
    <t>Do you have any female workers beyond family labor?</t>
  </si>
  <si>
    <t>Ensure that a registry is kept, also if they are casual workers, indicating their sex.
Ensure that they understand the working conditions, including remuneration level and other benefits, if needed by explaining in their own language.</t>
  </si>
  <si>
    <t>Is it possible that any of the group members hires any female workers beyond family labor?</t>
  </si>
  <si>
    <t>Forced Labor</t>
  </si>
  <si>
    <t>Is it possible that there migrant workers (including seasonal and temporary) working on any of the farms?</t>
  </si>
  <si>
    <t>Ensure that migrant workers have safe place to keep their identity and other important documents, which is accessible to them at all times.</t>
  </si>
  <si>
    <t>Is it possible that there are workers on any of the farms who were recruited by a third-party labor provider?</t>
  </si>
  <si>
    <t>Maintain records of which workers were recruited by which labor provider. 
Ensure that written contracts are in place between the farm/group and each labor provider, specifying that providers must abide by all Rainforest Alliance standards and that the workers they recruit must not pay any recruitment fees.
Ensure that workers are always paid their wages directly, not indirectly through a third party.</t>
  </si>
  <si>
    <t>Is it possible that workers on any of the farms have paid a recruitment fee to labor providers or other actors in the recruitment chain?</t>
  </si>
  <si>
    <t>In the hiring process, integrate a process to ask workers whether they hold any recruitment-related debt.</t>
  </si>
  <si>
    <t>Is it possible that any workers are lacking a written contract, or documented verbal agreement?</t>
  </si>
  <si>
    <t>Group members work towards signing direct contracts/verbal agreements with permanent workers and workers who are employed for more than 3 consecutive months.</t>
  </si>
  <si>
    <t>Is it possible that any workers are directly employed by labor providers (contract signed between worker and labor provider)?</t>
  </si>
  <si>
    <t>Do hired workers receive food, housing, and/or transportation provided by the farmer/group management?</t>
  </si>
  <si>
    <t>Ensure that workers' contracts/records of verbal agreements specify the in-kind benefits they will receive and specific cost deductions that will be taken for them.  In-kind benefits must be in accordance with national law, and never exceed 30% of the total remuneration.</t>
  </si>
  <si>
    <t>@Lennie: It would.  But isn't that OK?  If this tool helps a farmer identify an actual gap, it also helps the farmer remediate that gap.</t>
  </si>
  <si>
    <t>Eliminate any restrictions on workers' freedom of movement outside their working hours. Allow workers to maintain possession of their mobile phones and other communication devices.</t>
  </si>
  <si>
    <t>Do workers ever wait longer than 1 month to be paid?</t>
  </si>
  <si>
    <t>Ensure that workers are paid regularly at scheduled intervals, at least monthly. Payments must be documented with a pay slip or other suitable wage record to allow verification.</t>
  </si>
  <si>
    <t>Do workers ever receive advances or loans from the farm/group?</t>
  </si>
  <si>
    <t>Ensure that advances/loans amount to no more than 1-2 months' salary and that repayment terms are reasonable (no higher than prevailing market interest rates), documented, and agreed by both parties.</t>
  </si>
  <si>
    <t>Child Labor</t>
  </si>
  <si>
    <t>Is pre-school education and/or day care freely available for children in this community?</t>
  </si>
  <si>
    <t>Check if pre-school age children are taken on to farms and if so, if there is a safe place for them to be.</t>
  </si>
  <si>
    <t>Talk to parents and guardings about risk of children being on farms and work with farm owners and local organisations to find suitable and safe places for children to be when parent’s work.</t>
  </si>
  <si>
    <t>Does this community lack sufficient primary and secondary schools to educate all children?</t>
  </si>
  <si>
    <t>As a longer-term measure, engage with external actors to obtain support to improve school access.</t>
  </si>
  <si>
    <t>If there are schools in the community, do they charge any formal or informal fees to enroll children, or are there costs associated with education including books, uniform, transport, etc.?</t>
  </si>
  <si>
    <t>As a longer-term measure, engage with external actors to obtain support for children whose families cannot afford these costs.</t>
  </si>
  <si>
    <t>If schools are available in the community, do parents keep children home from school in order to work or do household tasks; and/or do older children drop out of school to work?</t>
  </si>
  <si>
    <t>Raise awareness among workers/members/families of the importance of sending children to school and the Rainforest Alliance requirement against child labor.</t>
  </si>
  <si>
    <t>Is it considered normal in this community for children to work in farming?</t>
  </si>
  <si>
    <t>Harassement and Violence</t>
  </si>
  <si>
    <t>If you hire labor (beyond family labor), are there female workers between them who work without the presence of their partner or another relative who work with male workers?</t>
  </si>
  <si>
    <t>Ensure that female workers work together, if possible, with a female supervisor.</t>
  </si>
  <si>
    <t>If you hire labor (beyond family labor), are there young workers (below 21) who work without the presence of a family member?</t>
  </si>
  <si>
    <t>Ensure that young workers work in a safe environment, in a group, if possible with a female supervisor.</t>
  </si>
  <si>
    <t>Do you have female and/or young workers amongst your hired labor (beyond family labor) who work in an isolated environment?</t>
  </si>
  <si>
    <t>Ensure that they work in groups with at least several women, if possible with a female supervisor.</t>
  </si>
  <si>
    <t>Have all supervisors been trained on appropriate behavior and the procedures that are in place to address inappropriate behavior towards other workers?</t>
  </si>
  <si>
    <t>Company supervisors are trained to use appropriate disciplinary techniques and procedures. A policy is in place to suspend or terminate supervisors who do not adhere to these techniques and procedures.</t>
  </si>
  <si>
    <t>Does the farm/group hire security guards to protect the premises?</t>
  </si>
  <si>
    <t>Ensure that workers are able to come and go from the farm without intimidation from security guards.  Train security guards on proper conduct including a prohibition on threats and bribery.</t>
  </si>
  <si>
    <t>Do workers lack awareness of how they can raise concerns about any labor abuses?</t>
  </si>
  <si>
    <t>Distribute information within the group/farm and/or conduct trainings for workers on the use and functioning of the grievance mechanism and the presence and functions of the pp/committee for human rights issues.</t>
  </si>
  <si>
    <t>Do workers/member farmers lack awareness of the concepts of discrimination, forced labor, child labor, and workplace harassment and violence and the difference between acceptable and unacceptable behavior.</t>
  </si>
  <si>
    <t>Inform workers in their own language on concepts, acceptable behavior, rights and procedures in place regarding the four topics.</t>
  </si>
  <si>
    <t>C.</t>
  </si>
  <si>
    <t>Will the gender plan elaborated with the outcomes of this assessment be incorporated in the general management plan?</t>
  </si>
  <si>
    <t>Share the outcomes of this gender analysis with group/farm management. Elaborate the gender plan in coordination with group/farm management and have it incorporated in the general management plan</t>
  </si>
  <si>
    <t>Ensure that progress of the gender plan will be frequently discussed in the management meetings</t>
  </si>
  <si>
    <t>Does farm/group management understand the concepts of sex, gender,and gender equality?</t>
  </si>
  <si>
    <t>Organize awareness sessions with management on concepts and importance of gender equality and related issues</t>
  </si>
  <si>
    <t>Is monitoring with sex-disaggregated data carried out for (elected) leadership positions, participation in training, access to loans for farm investments, diversification, workers wages (SH) or for workers, workers wages, access to supervisory, f/m in workers union, f/m in supervisory or management positions... (M/LF)</t>
  </si>
  <si>
    <t>Introduce monitoring with sex-disaggregated data and make sure that the collected data are shared with the person/committee responsible for gender.</t>
  </si>
  <si>
    <t>Do men and women have an equal role in decision making?</t>
  </si>
  <si>
    <t>Raise awareness about importance to include more women (or men) in decision making positionsOrganize leadership trainings for womenFacilitate participation of women in meetings by adjusting location, timing, etc.</t>
  </si>
  <si>
    <t>Are supervisory and management jobs and other better paid jobs accessible for men and women?</t>
  </si>
  <si>
    <t>Ensure that job requirements can be fulfilled by both men and women where possibleOffer additional training on management, administration and other topics for women to facilitate their access to better paid jobs</t>
  </si>
  <si>
    <r>
      <t>CH management</t>
    </r>
    <r>
      <rPr>
        <sz val="10"/>
        <color rgb="FFFF0000"/>
        <rFont val="Calibri"/>
        <family val="2"/>
        <scheme val="minor"/>
      </rPr>
      <t>/group members</t>
    </r>
  </si>
  <si>
    <r>
      <t xml:space="preserve">Are trainings </t>
    </r>
    <r>
      <rPr>
        <sz val="10"/>
        <color rgb="FFFF0000"/>
        <rFont val="Calibri"/>
        <family val="2"/>
        <scheme val="minor"/>
      </rPr>
      <t>(for farmers and CH staff?)</t>
    </r>
    <r>
      <rPr>
        <sz val="10"/>
        <color theme="1"/>
        <rFont val="Calibri"/>
        <family val="2"/>
        <scheme val="minor"/>
      </rPr>
      <t xml:space="preserve"> considering the needs and interests of both men and women?</t>
    </r>
  </si>
  <si>
    <t>Do assessment for training and organize training on topics on basis of its outcomesFacilitate participation of women by adjusting location, timing, use of female facilitators, local language...Train women to become internal inspector or trainer</t>
  </si>
  <si>
    <t>Do women and men receive the same remuneration and benefits related to a job of equal value?</t>
  </si>
  <si>
    <t>Ensure that all workers have access to information about the wages and benefits that relateto different job types in their own languageEnsure that jobs of equal value receive equal pay and benefits</t>
  </si>
  <si>
    <t>Do women and men have the same access to farmers' cooperative? (SH)</t>
  </si>
  <si>
    <t>Promote members registration as a coupleUse agricultural activities as a criterion to become a member, instead of landownershipFacilitate female farmers registration by offering a reduction of memberships fee Approach female farmers personally to invite them to becomemember</t>
  </si>
  <si>
    <t>Do female and male workers have the same access to workers union? (M/LF)</t>
  </si>
  <si>
    <t>Promote female workers participation by training, awareness raising of male leaders and workers, personal invites, target setting</t>
  </si>
  <si>
    <t>Do female and male farmers have the same access to inputs and services like loans for agricultural investment, seedlings, information, etc.? (SH)</t>
  </si>
  <si>
    <t>Ensure that male and female farmers are aware of inputs and services being offered and know where and how to access themEnsure that measures are in place to facilitate access of female farmers to inputs and services taking into account their time poverty and lack of means of transport (time and place of reception, required documents, etc.)Monitor the reception of inputs and services with sex-disaggregated data, identify gaps</t>
  </si>
  <si>
    <t>Do female and male workers have the same access to inputs and services like training, health services, benefits</t>
  </si>
  <si>
    <t>Ensure that male and female farmers are aware of inputs and services being offered and know where and how to access themEnsure that measures are in place to facilitate access of female farmers to inputs and services taking into account their time poverty and lack of means of transport (time and place of reception, required documents, etc.). Monitor the reception of inputs and services with sex-disaggregated data, identify gaps.</t>
  </si>
  <si>
    <t xml:space="preserve">D. </t>
  </si>
  <si>
    <t>Deforestation and Biodiversity (Align with work of Tiffany)</t>
  </si>
  <si>
    <t>Group management</t>
  </si>
  <si>
    <t>Is there a map in place that outlines natural forests and other natural ecosystems (such as savanna, wetlands, peatlands), production areas, protected areas and set-aside land, and rivers?</t>
  </si>
  <si>
    <t>Concerning group members</t>
  </si>
  <si>
    <t xml:space="preserve">Is it probable that there producers that have borders to forests, protected areas and rivers? </t>
  </si>
  <si>
    <t>Awareness raising of the requirements related to these – no degradation of forests, protected areas and natural ecosystems, no-application zones of pesticides and riparian buffer zones?</t>
  </si>
  <si>
    <t>Is it likely producers are not aware that the should maintain natural vegetation on the farm?</t>
  </si>
  <si>
    <t xml:space="preserve">Awareness raising of producers on maintenance of natural vegetation on the farm. </t>
  </si>
  <si>
    <t>Is it likely that producers hunt on the farm?</t>
  </si>
  <si>
    <t xml:space="preserve">Awareness raising of producers on hunting requirements. </t>
  </si>
  <si>
    <t>Are there any endangered species in the area? And if so, do you think that farmers are aware of the endangered species there are and how to protect them?</t>
  </si>
  <si>
    <t>Awareness raising on endangered species and how to protect them.</t>
  </si>
  <si>
    <t>Main aspects based on AMEA guidelines:</t>
  </si>
  <si>
    <t>A. Organizational purpose and Governance practices</t>
  </si>
  <si>
    <t>B. Business management</t>
  </si>
  <si>
    <t>C. Member engagement and planning</t>
  </si>
  <si>
    <t>D. Human resource management</t>
  </si>
  <si>
    <t>E. Financial management</t>
  </si>
  <si>
    <t>F. Community and stakeholder engagement</t>
  </si>
  <si>
    <t>G. Member services and business activiies</t>
  </si>
  <si>
    <t>Red</t>
  </si>
  <si>
    <t>From the AMEA guidelines</t>
  </si>
  <si>
    <t>Yellow</t>
  </si>
  <si>
    <t>From the M4 tool</t>
  </si>
  <si>
    <t>Wit:</t>
  </si>
  <si>
    <t>From the NewForesight tool</t>
  </si>
  <si>
    <t>Beige:</t>
  </si>
  <si>
    <t>From the Adore tool</t>
  </si>
  <si>
    <t>Certification option (group or large estate)</t>
  </si>
  <si>
    <t xml:space="preserve">Which CHs does this apply to? </t>
  </si>
  <si>
    <t>All Farmer Groups</t>
  </si>
  <si>
    <t>Management capacity</t>
  </si>
  <si>
    <t xml:space="preserve">Based on the outcomes of the capacity assessment tool, have you identified areas to improve? If yes, please indicate which actions you want to take for the applicable areas of the 7 areas included in the Capacity Assessment Tool. </t>
  </si>
  <si>
    <t>Do you/will you make use of intermediaries* in your supply chain?</t>
  </si>
  <si>
    <t>Include all intermediaries in your traceability procedure. Train the intermediaries on traceability. Monitor traceability, calibration of scales and record keeping at intermediaries (during the harvest period) and cross-check with information of sales from a sample of producers. If intermediaires are paid according to weight bought in, mitigation should include regular verification of scales.</t>
  </si>
  <si>
    <t xml:space="preserve">Include record keeping in training plan.
Monitor record keeping. </t>
  </si>
  <si>
    <t>Do you expect farmers to have difficulties keeping records?</t>
  </si>
  <si>
    <t>All farmer organizations</t>
  </si>
  <si>
    <t>Implement a system for identifying the products originating from certified producers by means of physical or visual identification and in the tracebaility documents (receipts, registry, etc.).</t>
  </si>
  <si>
    <t>Yield estimation</t>
  </si>
  <si>
    <t>Is there an important pressure on the land? Do farmers often divide or sell their land?</t>
  </si>
  <si>
    <t xml:space="preserve">Include assessment of the certified area for each producer in the yearly internal inspections to ensure that the areas in the group member administration match the reality of the farms. </t>
  </si>
  <si>
    <t>Information on harvested volumes based on deliveries might not be reliable, therefore, put a system in place to get information on harvested volumes (this can be done by asking  producers directly through out the year or during internal inspections).</t>
  </si>
  <si>
    <t xml:space="preserve">Guarantee that the farm managers is the same year after year through the internal inspections and that they are aware of the traceability requirements. Check if farm operator also manages non-certified farms and if so, encourage to include them in the certified group as well. </t>
  </si>
  <si>
    <t>Does the certified product need to be aggregated for processing?</t>
  </si>
  <si>
    <t>Mixing with non-certified products might occur to guarantee minimum volume for processing. 
Group management to put a control system to regularly check that product separation is respected (also at subcontractor level).</t>
  </si>
  <si>
    <t>Use of banned inputs</t>
  </si>
  <si>
    <t>Review the Rainforest Alliance list of banned agrochemicals: 
Is it common practice in the region to use one or more of the agrochemicals from the banned pesticide list, including on the non-certified crops on the farm?</t>
  </si>
  <si>
    <t xml:space="preserve">Group member training on the prohibition of the use of banned agrochemicals, and which ones those are. 
Group members trained on the risk of using highly hazardous agrochemicals.
Include verification on use of banned agrochemicals in internal inspections. 
Monitoring of use of banned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</si>
  <si>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Review the Rainforest Alliance list of banned agrochemicals: 
Is it common practice in the region to use one or more of the agrochemicals from the banned pesticide list?</t>
  </si>
  <si>
    <t>No specific mitigation action</t>
  </si>
  <si>
    <t xml:space="preserve">Review the Rainforest Alliance list of banned agrochemicals: 
If you are certified by other standards, are there any RA banned agrochemicals that are not banned under these other standards?  
</t>
  </si>
  <si>
    <t xml:space="preserve">Group member training on the prohibition of the use of banned agrochemicals, and which ones those are. 
up member training on the prohibition of the use of banned agrochemicals, and which ones those are. 
Group members trained on the risk of using highly hazardous agrochemicals.
Include verification on use of banned agrochemicals in internal inspections. 
Monitoring of use of banned agrochemicals during application period.
Set up system to collect stocks of banned agrochemicals from the group members.
Note: farmers that have used banned agrochemicals for the harvest to be certified cannot be included in the certification and have to wait for the next harvest cycle to apply again. </t>
  </si>
  <si>
    <t>Does your group already have an effective IPM system for the certified crop in place, including the identification and monitoring of pests?</t>
  </si>
  <si>
    <t>Make sure all members have the necessary knowledge and skills to apply IPM.</t>
  </si>
  <si>
    <t>Develop the IPM strategy for your crop, including the development of a pest monitoring system and the establishment of action thresholds. (May need to contact local university or extension service.)
Make sure all members have the necessary knowledge and skills to apply IPM.
Train members on record keeping.
Identify sources for the purchase of lower toxicity agrochemicals as well as non-chemical pest control products.</t>
  </si>
  <si>
    <t>Pesticide residues</t>
  </si>
  <si>
    <t>Do you or your buyer regularly check samples of the crop for residues of agrochemicals (MRL)?</t>
  </si>
  <si>
    <t>Make sure there is a good traceability system back to the producer</t>
  </si>
  <si>
    <t>Make sure there is a good traceability system back to the farm units
Identify a laboratory for residue analysis and set up a sampling system and procedure</t>
  </si>
  <si>
    <t>Are all workers/farmers spraying agrochemicals using the correct PPE at all times when they apply agrochemicals?</t>
  </si>
  <si>
    <t>Ensure availability of sufficient PPE for all those applying agrochemicals.
Develop and implement management policies on the correct use of PPE.
Make sure all those applying agrochemicals are trained on correct application of the agrochemicals and PPE.
up member training on the prohibition of the use of banned agrochemicals, and which ones those are. 
Group members trained on the risk of using highly hazardous agrochemicals.
For group, explore the option of developing spray teams to replace agrochemical application by individual group members.</t>
  </si>
  <si>
    <t>Soil conservation</t>
  </si>
  <si>
    <t>Water management</t>
  </si>
  <si>
    <t>Soil fertility</t>
  </si>
  <si>
    <t>Nutrient deficiencies</t>
  </si>
  <si>
    <t>Is soil testing being done to determine fertilizer application?</t>
  </si>
  <si>
    <t>Determine appropriate fertilizer (both organic and inorganic) application schemes.</t>
  </si>
  <si>
    <t>See if soil testing can be introduced or if nutrient deficiency can be otherwise  determined by observation in crop or vegetation</t>
  </si>
  <si>
    <t>KM: I have copied this from Indiv CH for trader led groups - important that on sites with more than x no of workers, this rule also applies. What is the no of workers this should apply from?</t>
  </si>
  <si>
    <t xml:space="preserve">Are any of the following groups present on or near the farm or group:
- Migrant workers (foreign or from within the country)
- Specific ethnic minority groups (any ethnicities which are not the largest ethnicity within the workforce)
-Indigenous groups (where applicable)
-Groups whose members do not speak the dominant language in the country &amp; region 
</t>
  </si>
  <si>
    <t>Assess whether members of these groups are group members, or workers on the farm,  or working with group members, or contracted as group staff
If this is the case, include unconscious bias and other anti discriminatory practices in the training and awareness raising of staff and management as required in 3.1.1 AND
- publish vacancies for management and supervisory functions in a language(s) and in places accessible for all</t>
  </si>
  <si>
    <t>Wording to be adjusted (needs to be easy to understand). What do we mean with underrepresented?</t>
  </si>
  <si>
    <t xml:space="preserve">If any of the following groups are present on the farm, have you undertaken action to fairly represent them amongst management, as internal inspector, or other decision making functions? : 
-Women -&gt; will go to gender questions
-Migrant workers (foreign or from within the country)
- Specific ethnic minority groups (any ethnicities which are not the largest ethnicity within the workforce)
-Indigenous groups (where applicable)
-Groups whose members do not speak the dominant language in the country &amp; region </t>
  </si>
  <si>
    <t>medium, High</t>
  </si>
  <si>
    <t/>
  </si>
  <si>
    <t xml:space="preserve">Has the group's leadership taken any targeted action to prevent violence and harassment (including sexual harassment)? </t>
  </si>
  <si>
    <t>This is the only appropriate formulation  for this question  - even still risk of false answers is high</t>
  </si>
  <si>
    <t>Med &amp; High</t>
  </si>
  <si>
    <t xml:space="preserve"> Implement at least one of the following measures:
- Training of trainers, internal inspectors and other persons in direct contact with members and their workers on respectful behavior and concepts of workplace violence and harassment
- training of workers on the topic on respectful behavior and concepts of workplace violence and harassment
Please note: in most cases workplace violence and harassment will relate to experiences faced by women. However risks are also faced by men. Ensure your answers cover risks in relation to all workers regardless of gender.</t>
  </si>
  <si>
    <t>Are farmer members required to validate hired workers' ages at the time they are appointed?</t>
  </si>
  <si>
    <t xml:space="preserve">In line with core requirement 1.2.2, for hired young workers (15 - 17 years), the registry contains:
•	housing address
•	Name and address of parent(s) or legal guardian(s)
•	School registration
•	Type of work or tasks
•	The number of daily and weekly working hours.                                                                                                               </t>
  </si>
  <si>
    <t xml:space="preserve">This question is critical - while not focused on  external  risks - clarity and verifiability of  the question on age verification is of highest importance </t>
  </si>
  <si>
    <t xml:space="preserve">Communicate to all farmers, who report they hire labour, how to verify the age of all new hires at the workplace, including those supplied by labour providers, in line with Core Requirement 1.2.2. Verification of age should be based on identity documents, school and medical records or other verifiable forms of identification proof. In line with core requirement 1.2.2, for hired young workers (15 - 17 years), the registry should contains:
•	housing address
•	Name and address of parent(s) or legal guardian(s)
•	School registration
•	Type of work or tasks
•	The number of daily and weekly working hours.       </t>
  </si>
  <si>
    <t>a.For each under-18 year old worker, identify and record the name and contact information for their consenting family member.   b. For each under-18 year old worker, identify the responsible adult member who will be supervising and guiding the child in work (‘young worker supervisor’)
b.Where a high proportion of children and a low number of adults are part of the labor force, ensure the ratio of adult supervisors to workers younger than 18 meets national labor law requirements.</t>
  </si>
  <si>
    <t xml:space="preserve">List the tasks and processes that involve hazardous working conditions </t>
  </si>
  <si>
    <t xml:space="preserve">1) List the hazardous tasks / processes. 2) Communicate this list to all group members and; 3) through internal inspections and child labor monitoring, ensure members are aware that workers younger than 18 cannot perform these hazardous tasks. </t>
  </si>
  <si>
    <t xml:space="preserve">1) Develop a list of tasks and work processes – aligned with any relevant national policy - from which under 18s would be banned from performing. Ensure the list covers jobs that involve hazardous substances, dangerous equipment or heavy lifting. The list of tasks should also make clear that underage workers are prohibited from performing work at night or during school hours. 
2) Review the list every season to ensure list is up to date with national policy.
3) Communicate to all group members what tasks are and are not hazardous                                                                               4) Clarify to group members that work by under 18s must be performed in accordance with the list                                   5) clarify internal steps and potential internal sanctions where it is discovered that a member is permitting under-18s to perform hazardous work.
</t>
  </si>
  <si>
    <t xml:space="preserve">In addition to steps outlined in row 54: 1) Develop checklist to systematically monitor working conditions of under 18s, covering: protection against performing prohibited hazardous tasks, protection from harassment, abuse in the workplace. 2) Use this checklist at internal inspections; </t>
  </si>
  <si>
    <t>Is the group taking any steps to protect under 18 year old workers / children of group members from  conducting hazardous tasks?</t>
  </si>
  <si>
    <t xml:space="preserve">Please list the steps; In addition to steps outlined in row 53, develop and implement Child Labor Monitoring System in accordance with A&amp;A Monitoring Guidance and steps outlined in row 70 </t>
  </si>
  <si>
    <t>In addition to steps outlined in row 54 and 55, set up child labor monitoring system in accordance with steps outlined in row 70 and Assess and Address monitoring guidance</t>
  </si>
  <si>
    <t>no further steps (beyond those outlined in row 54)</t>
  </si>
  <si>
    <t xml:space="preserve">Do children of group staff, group members and group members' workers, of school-going age, attend school within a safe walking distance or at reasonable traveling distance using safe transport? </t>
  </si>
  <si>
    <t>1) Identify reasons why children do not go to school: a) distance to school b) quality of education/violence in school / absence of teacher c) costs associated with schooling; 3) based on the analysis, together with local department of education and local NGOs, develop ways to support access to education for children of group staff, members or members' workers; this could include satelite classrooms in villages currently without schools, setting up sustainable and safe transport for the youngest children; removing barriers to education (e.g. birth certificates, family income, learning materials through support from government/supply chain partners)  3) create awareness about importance of education with group members &amp; discuss ways with members how group can support children's education</t>
  </si>
  <si>
    <t xml:space="preserve">Ergon view: All  countries we are looking at  this stage offer some  free or heavily subsidized education option  -  risk is more in relation to accessibility as opposed to availability  or affordability </t>
  </si>
  <si>
    <t xml:space="preserve">Meike: there should be an option of don't know. The person filling in this information probably does not know exactly how far the schools are from all the farms...In the future maybe we can do something with automatization. </t>
  </si>
  <si>
    <t>1) Monitor school going behavior of members' children of school going age, through internal inspections and the assess and address monitoring; 2) The assess and address committee to establish contact with department of education to collaborate on drop-out cases / temporary absence / child labor cases when they happen</t>
  </si>
  <si>
    <t>Do under-18s perform work on any of the farms within the group?</t>
  </si>
  <si>
    <t xml:space="preserve"> A&amp;A committee to set up a child labour monitoring system including child labor monitors/child labor liaison officers. The plan should specify  1) how management will promote awareness (through child labor monitors as well as directly) on tasks that children are allowed to do and underage and hazardous child labor 2)  how frequent child labor monitors will monitor that children are only performing non-hazardous, age appropriate tasks that do not interfere with schooling and 3) what follow up steps will be taken when risk of child labor increases 4) what the remediation process involves when cases have been confirmed through the grievance mechanism. 
</t>
  </si>
  <si>
    <t>1) Members are informed about policy of family child work and hiring young workers, including the age from which children can support their parents and conduct light work, the age from which children can be hired individually, in accordance with the Rainforest Alliance Standard as well as the national law. 2) Assess and address model is cleary explained to promote transparency about child labor risks and support solutions to mitigate the risk</t>
  </si>
  <si>
    <t>When national law requirs medical screening tests for young workers before they start their employment contract, remind farmers of this requirement and verify this as part of internal inspections.</t>
  </si>
  <si>
    <t>Does the farm/group use labour providers to recruit any workers?</t>
  </si>
  <si>
    <t xml:space="preserve">1. In the case of a small farm, the name, contact, and, if labor provider is officially registered and the official registration number of the labor provider is recorded.
2. Farms that employ an average of 5 or more workers, and group management, must ensure that the labor provider is licensed or certified by the competent national authority, if applicable.
</t>
  </si>
  <si>
    <t>1. Farms employing an average of 5 or more workers and group management should have written contracts with each labor provider, requiring that labor providers abide by RA worker protection standards.
2. When possible, farms/groups should directly contract workers who are recruited by labor providers.
3. For workers whose direct employer is a labor provider, the Assess &amp; Address monitoring system should check periodically with some of these workers to ensure that their pay, working conditions, etc. are as promised by the labor provider.
4. Workers recruited through labor providers should be treated equally with other workers and provided the same information about their protections under the RA standard.
5. The Assess &amp; Address monitoring system should periodically check with workers who are recruited through labor providers, to see if they owe any debts related to recruitment fees. If so, the farm should negotiate with the labor provider full repayment of these fees to the worker.
6. Farms/groups should stop working with labor recruiters that do not meet these expectations.</t>
  </si>
  <si>
    <t>1. Farms/groups must ensure that workers have written or verbal contracts in place according to requirement 3.3.
2. When calculated by volume, workers' pay must equal at least the minimum wage based on a 48-hour working week or national legal working hours limit.
3. Deductions from wages for costs such as employer-provided housing or food must only be taken with workers' consent.
4. Farms that employ an average of 5 or more workers, and group management, must pay workers at least monthly and provide workers pay slips showing hours worked (regular and overtime) and/or volume produced, calculation of wages and deductions, and wages paid.</t>
  </si>
  <si>
    <t>1. Group management should confirm that personnel responsible for wage payment are correctly trained in calculations and requirements.</t>
  </si>
  <si>
    <t>1. Farms/groups should communicate to workers of their rights under the law to freely leave the job. This can be done through their contracts, information posted in the workplace, a workers' organization, one of the farm's committees, or other means.
2. For workers living on the farm, farms should communicate their rights to freedom of movement on and off the farm outside working hours.</t>
  </si>
  <si>
    <t>Non-local workers are included among the workforce 
How will we know this; is it a question in the registry?</t>
  </si>
  <si>
    <t>1. Farms/groups should not require workers to pay any type of deposit or provide any personal document to management, other than to confirm identity at the time of hiring.</t>
  </si>
  <si>
    <t>1. The Assess &amp; Address monitoring system, working with other committees such as the Grievance Committee, should periodically check with workers to see if they have had to pay deposits or hand over documents.
2. In instances where workers prefer to provide documents or other belongings to management for safe keeping, farm/group management must ensure that workers have permanent, unrestricted access to these locations.</t>
  </si>
  <si>
    <t xml:space="preserve">Shouldn't management keep these actions in place? </t>
  </si>
  <si>
    <t xml:space="preserve">Formulation of a policy on gender equality and women’s empowerment which will be shared with the rest of the group, AND/OR
Stakeholder mapping of gender related organizations that could help to incorporate gender within group, AND/OR
Ensure that management and/or other high-level functions are accountable for meeting the gender plan targets
</t>
  </si>
  <si>
    <t>Is a significant number of female farmers (co) member of the group?</t>
  </si>
  <si>
    <t>no further action needed</t>
  </si>
  <si>
    <t>- Develop measures to facilitate access of female farmers to the group (e.g. by lowering membership fees, by promoting co- registration with partner, by actively inviting female farmers to become a part, by installing a minimum quota, etc.) AND/OR
- Undertake measures to ensure that trainings and other services that are offered by the group are accessible for all female farmers</t>
  </si>
  <si>
    <t>Are female farmers currently represented significally in relation to their number amongst trainers, internal inspectors and/or other high level functions within the group</t>
  </si>
  <si>
    <t xml:space="preserve"> establish a minimum quota for female trainers and inspectors and other high level functions AND/OR
- organize training targeted at female farmers that is needed to be eligible as a trainer, inspector or other high level function AND/OR
- make sure job announcements reach male AND female farmers and that job requirements are achievable for female farmers AND/OR
- give training to management staff involved in recruitment on unconscious bias and methodologies to prevent gender based discriminatory practices</t>
  </si>
  <si>
    <t>Have management, supervisors, and/or internal inspectors been trained in the past year on gender equality?</t>
  </si>
  <si>
    <t>-Train management, supervisors, and/or internal inspectors annually on issues related to gender equality and women’s empowerment (maternity leave, sexual harassment…) AND/OR
make gender-related trainings (e.g. sexual harassment, discrimination, gender equality or gender bias) a requirement for all management, supervisors, and internal inspectors, AND/OR
partner with local NGOs to provide gender bias or gender equality training to management, supervisors, internal inspectors</t>
  </si>
  <si>
    <t>Analysis Geodata</t>
  </si>
  <si>
    <t>Deforestation</t>
  </si>
  <si>
    <t xml:space="preserve">Member provided envelope and the overlap with Deforestation country risk map showed risks </t>
  </si>
  <si>
    <t>Automatic</t>
  </si>
  <si>
    <t>?</t>
  </si>
  <si>
    <t>Identify farms located in the high and medium risk areas (red and orange) and include them in the Internal Inspection plan according to:
Farms in red area should be identified and if deforestation happened within the farm boundaries, the farm should be excluded from the certification 
For farms in orange area, verify if there are parts of them that fall within the red area and if so, identify whether deforestation happend within the boudaries, if yes, the farm should be excluded from the certification
For those producers that are orange or red, and it seems like they have not deforested, but are close to areas where there is still forest and/or where recent deforestation has happened: inform them that deforestation is not allowed, set up MoUs with them that they will not expand into the forest; organize awareness raising sessions</t>
  </si>
  <si>
    <t>Henriette: I thought we were going to discuss the follow up on the risk categories, and that it was not decided yet.</t>
  </si>
  <si>
    <t xml:space="preserve">Member provided geodata (point/polygon) and they overlap with deforestation country risk map </t>
  </si>
  <si>
    <t>Include in montintoring and internal inspection activities data from the analysis:
farms/farm units whose buffers/polygons overlap completely with deforested area should not be certified
Member to verify whether deforestation occurred inside farms/farm units whose buffers/polygons partly overlap with deforested area.</t>
  </si>
  <si>
    <t>Protected Areas</t>
  </si>
  <si>
    <t>Member provided points and they overlap with PA country risk map (for areas in which production is forbidden and for areas in which production is allowed under certain conditions)</t>
  </si>
  <si>
    <t>the follow ups of the member, are indicated per farm/farm unit in the table below. These are included in the management plan and should be checked in the internal inspections of the current year (if possible) or consecutive year after the audit. If the latter, the management plan must be updated because as a result of the audit, there could be farm/farm units that are excluded.
Farmers in no go Protected Area: are to be excluded from certification.
Farmers in area where certain production is allowed: verify whether regulations are met and management plan is in place. 
Farmers close to no go Protected Area: verify boundaries of farm and protected area do not overlap. With those farmers inform them that encroachment is not allowed (and inform them on the boundaries), set up MoUs that they won't encroach.</t>
  </si>
  <si>
    <t>HCVs 4.1</t>
  </si>
  <si>
    <t>Medium/Large Farms</t>
  </si>
  <si>
    <t>Is the farm (or any farm in a group) located closer than 5 km to an Intact Forest Landscape?</t>
  </si>
  <si>
    <t>no further action required</t>
  </si>
  <si>
    <t>Do not threaten the main conservation attributes of the area, i.e. the values for which the area has been protected or classified as a PA, KBA or Ramsar site</t>
  </si>
  <si>
    <t>`no further action required</t>
  </si>
  <si>
    <t>Medium/Large Farms that are larger than 10,000 hectares</t>
  </si>
  <si>
    <t>Have you answered yes to questions on IFLs, KBAs (etc.) or customary rights of communities?</t>
  </si>
  <si>
    <t>Can this be automatized? We know the size, and the answers to the previous questions. Henriette: We know the size, but we don't necessarily know the answer to the previous questions, as it will not be automized, right?</t>
  </si>
  <si>
    <t>Native Vegetation 4.2</t>
  </si>
  <si>
    <t>Natural Ecosystems 4.2</t>
  </si>
  <si>
    <t>Are management, supervisors, and/or internal inspectors aware of the risks and impacts that climate change poses to livelihoods and production systems?</t>
  </si>
  <si>
    <t>Have management, supervisors, and/or internal inspectors identified the most significant climate change threats/risks/impacts (current and projected) on livelihood resources and farming systems?</t>
  </si>
  <si>
    <t>a) Carry out a climate change risk assesment to identify and describe the most significant climate risks based on RA CC risk assessment tool.</t>
  </si>
  <si>
    <t xml:space="preserve">Do management, supervisors, and /or internal inpsectors have access to relevant climate change information, skills and services to develop and employ adaptation strategies?  </t>
  </si>
  <si>
    <t>Annexe S03 :</t>
  </si>
  <si>
    <t>Version 1.3</t>
  </si>
  <si>
    <t>FR</t>
  </si>
  <si>
    <t>Contraignant à partir du 1er juillet 2023</t>
  </si>
  <si>
    <t>Date de la première publication :</t>
  </si>
  <si>
    <t>6 février 2023</t>
  </si>
  <si>
    <t xml:space="preserve">SA-S-SD-1 Norme pour l’agriculture durable 2020 de Rainforest Alliance, Exigences pour les exploitations agricoles
SA-S-SD-23 Annexe Chapitre 5 : Social
		</t>
  </si>
  <si>
    <t>À propos de l’Annexe S03 : L’outil d’évaluation des risques contient les fichiers suivants :</t>
  </si>
  <si>
    <t>-</t>
  </si>
  <si>
    <t>Titulaires de certificat</t>
  </si>
  <si>
    <t>Tous les produits agricoles du champ d’application du système de certification de Rainforest Alliance ; veuillez voir les Règles pour la certification.</t>
  </si>
  <si>
    <t>Pour toute question liée à la signification précise des informations contenues dans la traduction, veuillez vous référer à la version officielle en anglais pour en obtenir la clarification. Toute divergence ou différence dans la signification engendrée par la traduction n’est pas contraignante et n’a pas d’effet sur la certification ou les audits.</t>
  </si>
  <si>
    <t>© 2023 Rainforest Alliance. Tous droits réservés.</t>
  </si>
  <si>
    <t>Toute utilisation de ce contenu, y compris la reproduction, la modification, la distribution ou la republication, sans le consentement écrit préalable de Rainforest Alliance est strictement interdite.</t>
  </si>
  <si>
    <t>Document SA-S-SD-4d</t>
  </si>
  <si>
    <t>Partie 5.1.5 Évaluation approfondie et traitement des risques</t>
  </si>
  <si>
    <t>Annexe S03: Partie 5.1.5 Évaluation approfondie et traitement des risques</t>
  </si>
  <si>
    <t>Titulaires de certificats d’exploitations agricoles</t>
  </si>
  <si>
    <t>Traduction publiée le 10 mai 2023</t>
  </si>
  <si>
    <t>- SA-S-SD-4a Annexe S03: Outil de Base d’Evaluation des Risques
- SA-S-SD-4b Annexe S03: Partie 1.3.5 Évaluation approfondie des risques de changement climatique
- SA-S-SD-4c Annexe S03: Partie 1.6.3 Évaluation approfondie des risques liés au genre
- SA-S-SD-4d  Annexe S03: Partie 5.1.5 Évaluation approfondie et traitement des risques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</si>
</sst>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questions&quot;"/>
    <numFmt numFmtId="165" formatCode="00"/>
  </numFmts>
  <fonts count="38" x14ac:knownFonts="1">
    <font>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sz val="10"/>
      <name val="Calibri"/>
      <family val="2"/>
      <scheme val="minor"/>
    </font>
    <font>
      <sz val="10"/>
      <color theme="8" tint="-0.499984740745262"/>
      <name val="Calibri"/>
      <family val="2"/>
      <scheme val="minor"/>
    </font>
    <font>
      <sz val="10"/>
      <name val="Arial"/>
      <family val="2"/>
    </font>
    <font>
      <sz val="11"/>
      <color indexed="8"/>
      <name val="Calibri"/>
      <family val="2"/>
    </font>
    <font>
      <sz val="11"/>
      <color theme="1"/>
      <name val="Wingdings"/>
      <charset val="2"/>
    </font>
    <font>
      <sz val="10"/>
      <color rgb="FF000000"/>
      <name val="Calibri"/>
      <family val="2"/>
    </font>
    <font>
      <sz val="10"/>
      <color theme="1"/>
      <name val="Calibri"/>
      <family val="2"/>
    </font>
    <font>
      <sz val="10"/>
      <color rgb="FF7030A0"/>
      <name val="Calibri"/>
      <family val="2"/>
    </font>
    <font>
      <b/>
      <sz val="10"/>
      <color rgb="FFFF0000"/>
      <name val="Calibri"/>
      <family val="2"/>
      <scheme val="minor"/>
    </font>
    <font>
      <sz val="13"/>
      <color theme="1"/>
      <name val="Arial"/>
      <family val="2"/>
    </font>
    <font>
      <sz val="10"/>
      <color rgb="FFFF0000"/>
      <name val="Calibri"/>
      <family val="2"/>
      <scheme val="minor"/>
    </font>
    <font>
      <sz val="10"/>
      <color rgb="FF000000"/>
      <name val="Calibri"/>
      <family val="2"/>
      <scheme val="minor"/>
    </font>
    <font>
      <sz val="11"/>
      <color rgb="FF000000"/>
      <name val="Calibri"/>
      <family val="2"/>
      <scheme val="minor"/>
    </font>
    <font>
      <b/>
      <sz val="12"/>
      <color rgb="FFFF0000"/>
      <name val="Calibri"/>
      <family val="2"/>
      <scheme val="minor"/>
    </font>
    <font>
      <b/>
      <sz val="12"/>
      <color rgb="FFFFC000"/>
      <name val="Calibri"/>
      <family val="2"/>
      <scheme val="minor"/>
    </font>
    <font>
      <sz val="8"/>
      <name val="Calibri"/>
      <family val="2"/>
      <scheme val="minor"/>
    </font>
    <font>
      <strike/>
      <sz val="10"/>
      <color theme="1"/>
      <name val="Calibri"/>
      <family val="2"/>
      <scheme val="minor"/>
    </font>
    <font>
      <strike/>
      <sz val="10"/>
      <color rgb="FF000000"/>
      <name val="Calibri"/>
      <family val="2"/>
    </font>
    <font>
      <sz val="10"/>
      <color rgb="FF4472C4"/>
      <name val="Calibri"/>
      <family val="2"/>
      <scheme val="minor"/>
    </font>
    <font>
      <b/>
      <sz val="12"/>
      <color rgb="FF000000"/>
      <name val="Calibri"/>
      <family val="2"/>
      <scheme val="minor"/>
    </font>
    <font>
      <b/>
      <sz val="36"/>
      <color rgb="FF175259"/>
      <name val="Century Gothic"/>
      <family val="2"/>
    </font>
    <font>
      <b/>
      <sz val="20"/>
      <color rgb="FFF53D1C"/>
      <name val="Century Gothic"/>
      <family val="2"/>
    </font>
    <font>
      <i/>
      <sz val="14"/>
      <color rgb="FF94BA29"/>
      <name val="Century Gothic"/>
      <family val="2"/>
    </font>
    <font>
      <sz val="11"/>
      <color rgb="FF94BA29"/>
      <name val="Century Gothic"/>
      <family val="2"/>
    </font>
    <font>
      <sz val="10"/>
      <color theme="1"/>
      <name val="Century Gothic"/>
      <family val="2"/>
    </font>
    <font>
      <sz val="10"/>
      <color rgb="FF1A52C2"/>
      <name val="Century Gothic"/>
      <family val="2"/>
    </font>
    <font>
      <b/>
      <sz val="10"/>
      <color theme="1"/>
      <name val="Century Gothic"/>
      <family val="2"/>
    </font>
    <font>
      <sz val="9"/>
      <color theme="1"/>
      <name val="Century Gothic"/>
      <family val="2"/>
    </font>
    <font>
      <sz val="9"/>
      <color rgb="FF000000"/>
      <name val="Calibri"/>
      <family val="2"/>
      <scheme val="minor"/>
    </font>
    <font>
      <sz val="11"/>
      <color rgb="FFF53D1C"/>
      <name val="Calibri"/>
      <family val="2"/>
      <scheme val="minor"/>
    </font>
    <font>
      <i/>
      <sz val="9"/>
      <color theme="1"/>
      <name val="Century Gothic"/>
      <family val="2"/>
    </font>
    <font>
      <sz val="11"/>
      <color theme="1"/>
      <name val="Calibri"/>
      <family val="2"/>
      <scheme val="minor"/>
    </font>
  </fonts>
  <fills count="28">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6DA945"/>
        <bgColor indexed="64"/>
      </patternFill>
    </fill>
    <fill>
      <patternFill patternType="solid">
        <fgColor rgb="FFFFC000"/>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DEDBC6"/>
        <bgColor indexed="64"/>
      </patternFill>
    </fill>
    <fill>
      <patternFill patternType="solid">
        <fgColor rgb="FFFFFFFF"/>
        <bgColor indexed="64"/>
      </patternFill>
    </fill>
    <fill>
      <patternFill patternType="solid">
        <fgColor rgb="FFF4B084"/>
        <bgColor indexed="64"/>
      </patternFill>
    </fill>
    <fill>
      <patternFill patternType="solid">
        <fgColor rgb="FFF8CBAD"/>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CE4D6"/>
        <bgColor indexed="64"/>
      </patternFill>
    </fill>
    <fill>
      <patternFill patternType="solid">
        <fgColor rgb="FFFFF2CC"/>
        <bgColor indexed="64"/>
      </patternFill>
    </fill>
    <fill>
      <patternFill patternType="solid">
        <fgColor rgb="FFDDEBF7"/>
        <bgColor indexed="64"/>
      </patternFill>
    </fill>
    <fill>
      <patternFill patternType="solid">
        <fgColor rgb="FFFFE699"/>
        <bgColor indexed="64"/>
      </patternFill>
    </fill>
    <fill>
      <patternFill patternType="solid">
        <fgColor theme="0"/>
        <bgColor indexed="64"/>
      </patternFill>
    </fill>
    <fill>
      <patternFill patternType="solid">
        <fgColor rgb="FFFFFFFF"/>
        <bgColor rgb="FFFFFFFF"/>
      </patternFill>
    </fill>
    <fill>
      <patternFill patternType="solid">
        <fgColor rgb="FFFFFFFF"/>
        <bgColor rgb="FFFFFF00"/>
      </patternFill>
    </fill>
    <fill>
      <patternFill patternType="solid">
        <fgColor rgb="FFFFFFFF"/>
        <bgColor rgb="FF000000"/>
      </patternFill>
    </fill>
    <fill>
      <patternFill patternType="solid">
        <fgColor theme="0"/>
        <bgColor rgb="FFFFFF00"/>
      </patternFill>
    </fill>
    <fill>
      <patternFill patternType="solid">
        <fgColor rgb="FFF4B084"/>
        <bgColor rgb="FF000000"/>
      </patternFill>
    </fill>
    <fill>
      <patternFill patternType="solid">
        <fgColor rgb="FFBFBFBF"/>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medium">
        <color rgb="FF000000"/>
      </right>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diagonal/>
    </border>
    <border>
      <left style="thin">
        <color indexed="64"/>
      </left>
      <right style="thin">
        <color indexed="64"/>
      </right>
      <top style="medium">
        <color rgb="FF000000"/>
      </top>
      <bottom style="thin">
        <color indexed="64"/>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diagonal/>
    </border>
    <border>
      <left/>
      <right style="thin">
        <color rgb="FF000000"/>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8" fillId="0" borderId="0"/>
    <xf numFmtId="9" fontId="9" fillId="0" borderId="0" applyFont="0" applyFill="0" applyBorder="0" applyAlignment="0" applyProtection="0"/>
    <xf numFmtId="0" fontId="37" fillId="0" borderId="0"/>
  </cellStyleXfs>
  <cellXfs count="500">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center"/>
    </xf>
    <xf numFmtId="0" fontId="2" fillId="0" borderId="0" xfId="0" applyFont="1"/>
    <xf numFmtId="0" fontId="2" fillId="0" borderId="2" xfId="0" applyFont="1" applyBorder="1"/>
    <xf numFmtId="0" fontId="3" fillId="6" borderId="5" xfId="0" applyFont="1" applyFill="1" applyBorder="1" applyAlignment="1">
      <alignment vertical="center"/>
    </xf>
    <xf numFmtId="0" fontId="4" fillId="6" borderId="6" xfId="0" applyFont="1" applyFill="1" applyBorder="1" applyAlignment="1">
      <alignment vertical="center" wrapText="1"/>
    </xf>
    <xf numFmtId="0" fontId="4" fillId="6" borderId="7" xfId="0" applyFont="1" applyFill="1" applyBorder="1" applyAlignment="1">
      <alignment vertical="center" wrapText="1"/>
    </xf>
    <xf numFmtId="0" fontId="3" fillId="6" borderId="6" xfId="0" applyFont="1" applyFill="1" applyBorder="1" applyAlignment="1">
      <alignment vertical="center"/>
    </xf>
    <xf numFmtId="0" fontId="3" fillId="6" borderId="7" xfId="0" applyFont="1" applyFill="1" applyBorder="1" applyAlignment="1">
      <alignment vertical="center"/>
    </xf>
    <xf numFmtId="0" fontId="5" fillId="0" borderId="0" xfId="0" applyFont="1"/>
    <xf numFmtId="0" fontId="0" fillId="7" borderId="0" xfId="0" applyFill="1"/>
    <xf numFmtId="0" fontId="0" fillId="8" borderId="0" xfId="0" applyFill="1"/>
    <xf numFmtId="0" fontId="1" fillId="0" borderId="0" xfId="0" applyFont="1" applyAlignment="1">
      <alignment horizontal="center" vertical="center" wrapText="1"/>
    </xf>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xf>
    <xf numFmtId="9" fontId="1" fillId="0" borderId="0" xfId="0" applyNumberFormat="1" applyFont="1" applyAlignment="1">
      <alignment horizontal="center" vertical="center" wrapText="1"/>
    </xf>
    <xf numFmtId="9"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7" fillId="0" borderId="2" xfId="0" applyFont="1" applyBorder="1" applyAlignment="1">
      <alignment vertical="center" wrapText="1"/>
    </xf>
    <xf numFmtId="0" fontId="6" fillId="9" borderId="11" xfId="1" applyFont="1" applyFill="1" applyBorder="1" applyAlignment="1">
      <alignment vertical="center" wrapText="1"/>
    </xf>
    <xf numFmtId="0" fontId="6" fillId="9" borderId="12" xfId="1" applyFont="1" applyFill="1" applyBorder="1" applyAlignment="1">
      <alignment vertical="center" wrapText="1"/>
    </xf>
    <xf numFmtId="0" fontId="6" fillId="9" borderId="11" xfId="1" applyFont="1" applyFill="1" applyBorder="1" applyAlignment="1">
      <alignment horizontal="center" vertical="center" wrapText="1"/>
    </xf>
    <xf numFmtId="0" fontId="6" fillId="9" borderId="13" xfId="1" applyFont="1" applyFill="1" applyBorder="1" applyAlignment="1">
      <alignment vertical="center" wrapText="1"/>
    </xf>
    <xf numFmtId="0" fontId="6" fillId="0" borderId="2" xfId="0" applyFont="1" applyBorder="1" applyAlignment="1">
      <alignment vertical="center" wrapText="1"/>
    </xf>
    <xf numFmtId="0" fontId="1" fillId="8" borderId="2" xfId="0" applyFont="1" applyFill="1" applyBorder="1" applyAlignment="1">
      <alignment horizontal="center" wrapText="1"/>
    </xf>
    <xf numFmtId="164" fontId="1" fillId="8" borderId="3" xfId="0" applyNumberFormat="1" applyFont="1" applyFill="1" applyBorder="1" applyAlignment="1">
      <alignment horizontal="center" vertical="center" wrapText="1"/>
    </xf>
    <xf numFmtId="0" fontId="3" fillId="10" borderId="1" xfId="0" applyFont="1" applyFill="1" applyBorder="1" applyAlignment="1">
      <alignment horizontal="center" vertical="center" wrapText="1"/>
    </xf>
    <xf numFmtId="9" fontId="1" fillId="0" borderId="0" xfId="0" applyNumberFormat="1" applyFont="1" applyAlignment="1">
      <alignment horizontal="center"/>
    </xf>
    <xf numFmtId="9" fontId="2" fillId="0" borderId="0" xfId="0" applyNumberFormat="1" applyFont="1" applyAlignment="1">
      <alignment horizontal="center"/>
    </xf>
    <xf numFmtId="9" fontId="1" fillId="0" borderId="0" xfId="0" applyNumberFormat="1" applyFont="1" applyAlignment="1">
      <alignment horizontal="center" vertical="center"/>
    </xf>
    <xf numFmtId="9" fontId="1" fillId="0" borderId="12" xfId="0" applyNumberFormat="1" applyFont="1" applyBorder="1" applyAlignment="1">
      <alignment horizontal="center"/>
    </xf>
    <xf numFmtId="0" fontId="1" fillId="0" borderId="12" xfId="0" applyFont="1" applyBorder="1" applyAlignment="1">
      <alignment horizontal="center"/>
    </xf>
    <xf numFmtId="0" fontId="10" fillId="0" borderId="0" xfId="0" applyFont="1"/>
    <xf numFmtId="0" fontId="0" fillId="0" borderId="0" xfId="0" applyAlignment="1">
      <alignment horizontal="left"/>
    </xf>
    <xf numFmtId="0" fontId="10" fillId="0" borderId="12" xfId="0" applyFont="1" applyBorder="1"/>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6" fillId="0" borderId="0" xfId="0" applyFont="1" applyAlignment="1">
      <alignment vertical="center" wrapText="1"/>
    </xf>
    <xf numFmtId="0" fontId="3" fillId="6" borderId="6" xfId="0" applyFont="1" applyFill="1" applyBorder="1" applyAlignment="1">
      <alignment vertical="center" wrapText="1"/>
    </xf>
    <xf numFmtId="0" fontId="7" fillId="0" borderId="2" xfId="0" applyFont="1" applyBorder="1" applyAlignment="1">
      <alignment horizontal="center" vertical="center" wrapText="1"/>
    </xf>
    <xf numFmtId="0" fontId="1" fillId="0" borderId="10" xfId="0" applyFont="1" applyBorder="1" applyAlignment="1">
      <alignment vertical="center" wrapText="1"/>
    </xf>
    <xf numFmtId="0" fontId="1" fillId="0" borderId="13" xfId="0" applyFont="1" applyBorder="1" applyAlignment="1">
      <alignment vertical="center" wrapText="1"/>
    </xf>
    <xf numFmtId="0" fontId="2"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1" fillId="0" borderId="1" xfId="0" applyFont="1" applyBorder="1" applyAlignment="1">
      <alignment vertical="center" wrapText="1"/>
    </xf>
    <xf numFmtId="0" fontId="3" fillId="6" borderId="12" xfId="0" applyFont="1" applyFill="1" applyBorder="1" applyAlignment="1">
      <alignment vertical="center"/>
    </xf>
    <xf numFmtId="0" fontId="11" fillId="11" borderId="1" xfId="0" applyFont="1" applyFill="1" applyBorder="1" applyAlignment="1">
      <alignment vertical="center" wrapText="1"/>
    </xf>
    <xf numFmtId="0" fontId="13" fillId="9" borderId="1" xfId="0" applyFont="1" applyFill="1" applyBorder="1" applyAlignment="1">
      <alignment vertical="center" wrapText="1"/>
    </xf>
    <xf numFmtId="0" fontId="11" fillId="0" borderId="1" xfId="0" applyFont="1" applyBorder="1" applyAlignment="1">
      <alignment vertical="center" wrapText="1"/>
    </xf>
    <xf numFmtId="0" fontId="11" fillId="12" borderId="1" xfId="0" applyFont="1" applyFill="1" applyBorder="1" applyAlignment="1">
      <alignment vertical="center" wrapText="1"/>
    </xf>
    <xf numFmtId="0" fontId="12" fillId="11" borderId="1" xfId="0" applyFont="1" applyFill="1" applyBorder="1" applyAlignment="1">
      <alignment vertical="center" wrapText="1"/>
    </xf>
    <xf numFmtId="0" fontId="0" fillId="3" borderId="0" xfId="0" applyFill="1" applyAlignment="1">
      <alignment vertical="top" wrapText="1"/>
    </xf>
    <xf numFmtId="165" fontId="2" fillId="0" borderId="12" xfId="0" applyNumberFormat="1" applyFont="1" applyBorder="1" applyAlignment="1">
      <alignment vertical="center"/>
    </xf>
    <xf numFmtId="0" fontId="2" fillId="0" borderId="9" xfId="0" applyFont="1" applyBorder="1" applyAlignment="1">
      <alignment vertical="center" wrapText="1"/>
    </xf>
    <xf numFmtId="0" fontId="2" fillId="0" borderId="11" xfId="0" applyFont="1" applyBorder="1" applyAlignment="1">
      <alignment vertical="center" wrapText="1"/>
    </xf>
    <xf numFmtId="165" fontId="2" fillId="0" borderId="8" xfId="0" applyNumberFormat="1" applyFont="1" applyBorder="1" applyAlignment="1">
      <alignment vertical="center" wrapText="1"/>
    </xf>
    <xf numFmtId="165" fontId="2" fillId="0" borderId="0" xfId="0" applyNumberFormat="1" applyFont="1" applyAlignment="1">
      <alignment vertical="center" wrapText="1"/>
    </xf>
    <xf numFmtId="0" fontId="15" fillId="0" borderId="0" xfId="0" applyFont="1"/>
    <xf numFmtId="0" fontId="7" fillId="0" borderId="15" xfId="0" applyFont="1" applyBorder="1" applyAlignment="1">
      <alignment vertical="center" wrapText="1"/>
    </xf>
    <xf numFmtId="0" fontId="3" fillId="6" borderId="11" xfId="0" applyFont="1" applyFill="1" applyBorder="1" applyAlignment="1">
      <alignment vertical="center"/>
    </xf>
    <xf numFmtId="0" fontId="3" fillId="6" borderId="13" xfId="0" applyFont="1" applyFill="1" applyBorder="1" applyAlignment="1">
      <alignment vertical="center"/>
    </xf>
    <xf numFmtId="0" fontId="1" fillId="0" borderId="16" xfId="0" applyFont="1" applyBorder="1" applyAlignment="1">
      <alignment vertical="center" wrapText="1"/>
    </xf>
    <xf numFmtId="0" fontId="0" fillId="0" borderId="16" xfId="0" applyBorder="1"/>
    <xf numFmtId="0" fontId="1" fillId="0" borderId="16" xfId="0" applyFont="1" applyBorder="1" applyAlignment="1">
      <alignment vertical="center"/>
    </xf>
    <xf numFmtId="0" fontId="1" fillId="12" borderId="16" xfId="0" applyFont="1" applyFill="1" applyBorder="1" applyAlignment="1">
      <alignment vertical="center" wrapText="1"/>
    </xf>
    <xf numFmtId="0" fontId="6" fillId="12" borderId="16" xfId="0" applyFont="1" applyFill="1" applyBorder="1" applyAlignment="1">
      <alignment vertical="center" wrapText="1"/>
    </xf>
    <xf numFmtId="0" fontId="1" fillId="12" borderId="0" xfId="0" applyFont="1" applyFill="1" applyAlignment="1">
      <alignment vertical="center" wrapText="1"/>
    </xf>
    <xf numFmtId="0" fontId="3" fillId="6" borderId="16" xfId="0" applyFont="1" applyFill="1" applyBorder="1" applyAlignment="1">
      <alignment vertical="center"/>
    </xf>
    <xf numFmtId="0" fontId="3" fillId="6" borderId="16" xfId="0" applyFont="1" applyFill="1" applyBorder="1" applyAlignment="1">
      <alignment vertical="center" wrapText="1"/>
    </xf>
    <xf numFmtId="0" fontId="3" fillId="14" borderId="16" xfId="0" applyFont="1" applyFill="1" applyBorder="1" applyAlignment="1">
      <alignment vertical="center"/>
    </xf>
    <xf numFmtId="0" fontId="3" fillId="6" borderId="16" xfId="0" applyFont="1" applyFill="1" applyBorder="1" applyAlignment="1">
      <alignment horizontal="left" vertical="center" wrapText="1"/>
    </xf>
    <xf numFmtId="0" fontId="1" fillId="17" borderId="16" xfId="0" applyFont="1" applyFill="1" applyBorder="1" applyAlignment="1">
      <alignment vertical="center" wrapText="1"/>
    </xf>
    <xf numFmtId="0" fontId="4" fillId="17" borderId="0" xfId="0" applyFont="1" applyFill="1" applyAlignment="1">
      <alignment vertical="center"/>
    </xf>
    <xf numFmtId="0" fontId="1" fillId="18" borderId="16" xfId="0" applyFont="1" applyFill="1" applyBorder="1" applyAlignment="1">
      <alignment vertical="center" wrapText="1"/>
    </xf>
    <xf numFmtId="0" fontId="4" fillId="18" borderId="0" xfId="0" applyFont="1" applyFill="1" applyAlignment="1">
      <alignment vertical="center"/>
    </xf>
    <xf numFmtId="0" fontId="4" fillId="18" borderId="0" xfId="0" applyFont="1" applyFill="1" applyAlignment="1">
      <alignment vertical="center" wrapText="1"/>
    </xf>
    <xf numFmtId="0" fontId="1" fillId="19" borderId="16" xfId="0" applyFont="1" applyFill="1" applyBorder="1" applyAlignment="1">
      <alignment vertical="center" wrapText="1"/>
    </xf>
    <xf numFmtId="0" fontId="4" fillId="19" borderId="0" xfId="0" applyFont="1" applyFill="1" applyAlignment="1">
      <alignment vertical="center"/>
    </xf>
    <xf numFmtId="0" fontId="17" fillId="0" borderId="19" xfId="0" applyFont="1" applyBorder="1" applyAlignment="1">
      <alignment horizontal="left" vertical="center" wrapText="1"/>
    </xf>
    <xf numFmtId="0" fontId="1" fillId="0" borderId="16" xfId="0" applyFont="1" applyBorder="1" applyAlignment="1">
      <alignment horizontal="center" vertical="center"/>
    </xf>
    <xf numFmtId="0" fontId="1" fillId="0" borderId="16" xfId="0" applyFont="1" applyBorder="1"/>
    <xf numFmtId="0" fontId="3" fillId="13" borderId="16" xfId="0" applyFont="1" applyFill="1" applyBorder="1" applyAlignment="1">
      <alignment vertical="center" wrapText="1"/>
    </xf>
    <xf numFmtId="0" fontId="3" fillId="13" borderId="16" xfId="0" applyFont="1" applyFill="1" applyBorder="1" applyAlignment="1">
      <alignment vertical="center"/>
    </xf>
    <xf numFmtId="0" fontId="1" fillId="15" borderId="16" xfId="0" applyFont="1" applyFill="1" applyBorder="1" applyAlignment="1">
      <alignment vertical="center" wrapText="1"/>
    </xf>
    <xf numFmtId="0" fontId="3" fillId="13" borderId="16" xfId="0" applyFont="1" applyFill="1" applyBorder="1" applyAlignment="1">
      <alignment horizontal="left" vertical="center" wrapText="1"/>
    </xf>
    <xf numFmtId="0" fontId="1" fillId="0" borderId="16" xfId="0" applyFont="1" applyBorder="1" applyAlignment="1">
      <alignment horizontal="left" vertical="center"/>
    </xf>
    <xf numFmtId="0" fontId="3" fillId="13" borderId="16" xfId="0" applyFont="1" applyFill="1" applyBorder="1" applyAlignment="1">
      <alignment horizontal="left" vertical="center"/>
    </xf>
    <xf numFmtId="0" fontId="1" fillId="0" borderId="16" xfId="0" applyFont="1" applyBorder="1" applyAlignment="1">
      <alignment horizontal="left"/>
    </xf>
    <xf numFmtId="0" fontId="1" fillId="0" borderId="17" xfId="0" applyFont="1" applyBorder="1" applyAlignment="1">
      <alignment horizontal="left" vertical="center" wrapText="1"/>
    </xf>
    <xf numFmtId="49" fontId="0" fillId="12" borderId="1" xfId="0" applyNumberFormat="1" applyFill="1" applyBorder="1" applyAlignment="1">
      <alignment vertical="top" wrapText="1"/>
    </xf>
    <xf numFmtId="49" fontId="0" fillId="0" borderId="1" xfId="0" applyNumberFormat="1" applyBorder="1" applyAlignment="1">
      <alignment vertical="top" wrapText="1"/>
    </xf>
    <xf numFmtId="0" fontId="1" fillId="12" borderId="21" xfId="0" applyFont="1" applyFill="1" applyBorder="1" applyAlignment="1">
      <alignment vertical="center" wrapText="1"/>
    </xf>
    <xf numFmtId="0" fontId="1" fillId="0" borderId="22" xfId="0" applyFont="1" applyBorder="1" applyAlignment="1">
      <alignment vertical="center" wrapText="1"/>
    </xf>
    <xf numFmtId="49" fontId="0" fillId="12" borderId="24" xfId="0" applyNumberFormat="1" applyFill="1" applyBorder="1" applyAlignment="1">
      <alignment vertical="top" wrapText="1"/>
    </xf>
    <xf numFmtId="0" fontId="0" fillId="0" borderId="0" xfId="0" applyAlignment="1">
      <alignment vertical="center"/>
    </xf>
    <xf numFmtId="0" fontId="0" fillId="0" borderId="16" xfId="0" applyBorder="1" applyAlignment="1">
      <alignment vertical="center"/>
    </xf>
    <xf numFmtId="0" fontId="0" fillId="0" borderId="16" xfId="0" applyBorder="1" applyAlignment="1">
      <alignment vertical="center" wrapText="1"/>
    </xf>
    <xf numFmtId="0" fontId="0" fillId="12" borderId="16" xfId="0" applyFill="1" applyBorder="1" applyAlignment="1">
      <alignment vertical="center"/>
    </xf>
    <xf numFmtId="0" fontId="0" fillId="0" borderId="1" xfId="0" applyBorder="1" applyAlignment="1">
      <alignment horizontal="left" vertical="center" wrapText="1"/>
    </xf>
    <xf numFmtId="0" fontId="0" fillId="0" borderId="7" xfId="0" applyBorder="1" applyAlignment="1">
      <alignment vertical="center" wrapText="1"/>
    </xf>
    <xf numFmtId="0" fontId="0" fillId="12" borderId="5" xfId="0" applyFill="1" applyBorder="1" applyAlignment="1">
      <alignment horizontal="left" vertical="center" wrapText="1"/>
    </xf>
    <xf numFmtId="0" fontId="0" fillId="0" borderId="5" xfId="0" applyBorder="1" applyAlignment="1">
      <alignment horizontal="left" vertical="center" wrapText="1"/>
    </xf>
    <xf numFmtId="0" fontId="18" fillId="12" borderId="5" xfId="0" applyFont="1" applyFill="1" applyBorder="1" applyAlignment="1">
      <alignment horizontal="left" vertical="center" wrapText="1"/>
    </xf>
    <xf numFmtId="0" fontId="3" fillId="6" borderId="9" xfId="0" applyFont="1" applyFill="1" applyBorder="1" applyAlignment="1">
      <alignment vertical="center"/>
    </xf>
    <xf numFmtId="0" fontId="3" fillId="6" borderId="10" xfId="0" applyFont="1" applyFill="1" applyBorder="1" applyAlignment="1">
      <alignment vertical="center"/>
    </xf>
    <xf numFmtId="0" fontId="3" fillId="6" borderId="0" xfId="0" applyFont="1" applyFill="1" applyAlignment="1">
      <alignment vertical="center"/>
    </xf>
    <xf numFmtId="0" fontId="0" fillId="12" borderId="16" xfId="0" applyFill="1" applyBorder="1" applyAlignment="1">
      <alignment vertical="center" wrapText="1"/>
    </xf>
    <xf numFmtId="0" fontId="0" fillId="21" borderId="16" xfId="0" applyFill="1" applyBorder="1" applyAlignment="1">
      <alignment vertical="center"/>
    </xf>
    <xf numFmtId="49" fontId="0" fillId="0" borderId="16" xfId="0" applyNumberFormat="1" applyBorder="1" applyAlignment="1">
      <alignment vertical="center" wrapText="1"/>
    </xf>
    <xf numFmtId="0" fontId="18" fillId="12" borderId="16" xfId="0" applyFont="1" applyFill="1" applyBorder="1" applyAlignment="1">
      <alignment vertical="center"/>
    </xf>
    <xf numFmtId="0" fontId="0" fillId="21" borderId="1" xfId="0" applyFill="1" applyBorder="1" applyAlignment="1">
      <alignment horizontal="left" vertical="center"/>
    </xf>
    <xf numFmtId="0" fontId="0" fillId="12" borderId="16" xfId="0" applyFill="1" applyBorder="1" applyAlignment="1">
      <alignment horizontal="left" vertical="center"/>
    </xf>
    <xf numFmtId="0" fontId="0" fillId="0" borderId="7" xfId="0" applyBorder="1" applyAlignment="1">
      <alignment horizontal="left" vertical="center" wrapText="1"/>
    </xf>
    <xf numFmtId="49" fontId="0" fillId="0" borderId="1" xfId="0" applyNumberFormat="1" applyBorder="1" applyAlignment="1">
      <alignment horizontal="left" vertical="center" wrapText="1"/>
    </xf>
    <xf numFmtId="0" fontId="0" fillId="12" borderId="7" xfId="0" applyFill="1" applyBorder="1" applyAlignment="1">
      <alignment vertical="center" wrapText="1"/>
    </xf>
    <xf numFmtId="0" fontId="0" fillId="12" borderId="0" xfId="0" applyFill="1"/>
    <xf numFmtId="0" fontId="1" fillId="12" borderId="0" xfId="0" applyFont="1" applyFill="1" applyAlignment="1">
      <alignment vertical="center"/>
    </xf>
    <xf numFmtId="0" fontId="0" fillId="12" borderId="0" xfId="0" applyFill="1" applyAlignment="1">
      <alignment horizontal="left" vertical="center"/>
    </xf>
    <xf numFmtId="0" fontId="0" fillId="12" borderId="0" xfId="0" applyFill="1" applyAlignment="1">
      <alignment vertical="center"/>
    </xf>
    <xf numFmtId="0" fontId="18" fillId="12" borderId="0" xfId="0" applyFont="1" applyFill="1" applyAlignment="1">
      <alignment vertical="center"/>
    </xf>
    <xf numFmtId="0" fontId="0" fillId="0" borderId="27" xfId="0" applyBorder="1" applyAlignment="1">
      <alignment vertical="center"/>
    </xf>
    <xf numFmtId="0" fontId="0" fillId="12" borderId="27" xfId="0" applyFill="1" applyBorder="1" applyAlignment="1">
      <alignment vertical="center" wrapText="1"/>
    </xf>
    <xf numFmtId="0" fontId="1" fillId="13" borderId="26" xfId="0" applyFont="1" applyFill="1" applyBorder="1" applyAlignment="1">
      <alignment vertical="center" wrapText="1"/>
    </xf>
    <xf numFmtId="0" fontId="1" fillId="0" borderId="26" xfId="0" applyFont="1" applyBorder="1" applyAlignment="1">
      <alignment vertical="center" wrapText="1"/>
    </xf>
    <xf numFmtId="0" fontId="1" fillId="15" borderId="26" xfId="0" applyFont="1" applyFill="1" applyBorder="1" applyAlignment="1">
      <alignment vertical="center" wrapText="1"/>
    </xf>
    <xf numFmtId="0" fontId="0" fillId="12" borderId="26" xfId="0" applyFill="1" applyBorder="1" applyAlignment="1">
      <alignment vertical="center" wrapText="1"/>
    </xf>
    <xf numFmtId="0" fontId="0" fillId="12" borderId="18" xfId="0" applyFill="1" applyBorder="1" applyAlignment="1">
      <alignment vertical="center"/>
    </xf>
    <xf numFmtId="0" fontId="0" fillId="0" borderId="20" xfId="0" applyBorder="1" applyAlignment="1">
      <alignment vertical="center"/>
    </xf>
    <xf numFmtId="0" fontId="0" fillId="0" borderId="28" xfId="0" applyBorder="1" applyAlignment="1">
      <alignment vertical="center" wrapText="1"/>
    </xf>
    <xf numFmtId="0" fontId="0" fillId="0" borderId="26" xfId="0" applyBorder="1" applyAlignment="1">
      <alignment vertical="center" wrapText="1"/>
    </xf>
    <xf numFmtId="0" fontId="0" fillId="12" borderId="21" xfId="0" applyFill="1" applyBorder="1" applyAlignment="1">
      <alignment vertical="center"/>
    </xf>
    <xf numFmtId="0" fontId="0" fillId="12" borderId="28" xfId="0" applyFill="1" applyBorder="1" applyAlignment="1">
      <alignment vertical="center" wrapText="1"/>
    </xf>
    <xf numFmtId="0" fontId="1" fillId="12" borderId="16" xfId="0" applyFont="1" applyFill="1" applyBorder="1" applyAlignment="1">
      <alignment horizontal="center" vertical="center"/>
    </xf>
    <xf numFmtId="0" fontId="1" fillId="0" borderId="29" xfId="0" applyFont="1" applyBorder="1" applyAlignment="1">
      <alignment horizontal="left" vertical="center" wrapText="1"/>
    </xf>
    <xf numFmtId="0" fontId="1" fillId="0" borderId="20" xfId="0" applyFont="1" applyBorder="1" applyAlignment="1">
      <alignment horizontal="left" vertical="center" wrapText="1"/>
    </xf>
    <xf numFmtId="0" fontId="1" fillId="0" borderId="30" xfId="0" applyFont="1" applyBorder="1" applyAlignment="1">
      <alignment vertical="center" wrapText="1"/>
    </xf>
    <xf numFmtId="0" fontId="1" fillId="12" borderId="31" xfId="0" applyFont="1" applyFill="1" applyBorder="1" applyAlignment="1">
      <alignment vertical="center" wrapText="1"/>
    </xf>
    <xf numFmtId="0" fontId="0" fillId="0" borderId="18" xfId="0" applyBorder="1" applyAlignment="1">
      <alignment vertical="center"/>
    </xf>
    <xf numFmtId="0" fontId="0" fillId="0" borderId="32" xfId="0" applyBorder="1" applyAlignment="1">
      <alignment vertical="center"/>
    </xf>
    <xf numFmtId="0" fontId="3" fillId="12" borderId="12" xfId="0" applyFont="1" applyFill="1" applyBorder="1" applyAlignment="1">
      <alignment vertical="center"/>
    </xf>
    <xf numFmtId="0" fontId="0" fillId="12" borderId="26" xfId="0" applyFill="1" applyBorder="1" applyAlignment="1">
      <alignment vertical="center"/>
    </xf>
    <xf numFmtId="0" fontId="1" fillId="12" borderId="16" xfId="0" applyFont="1" applyFill="1" applyBorder="1" applyAlignment="1">
      <alignment vertical="center"/>
    </xf>
    <xf numFmtId="0" fontId="18" fillId="12" borderId="7" xfId="0" applyFont="1" applyFill="1" applyBorder="1" applyAlignment="1">
      <alignment vertical="center" wrapText="1"/>
    </xf>
    <xf numFmtId="0" fontId="1" fillId="12" borderId="27" xfId="0" applyFont="1" applyFill="1" applyBorder="1" applyAlignment="1">
      <alignment vertical="center" wrapText="1"/>
    </xf>
    <xf numFmtId="0" fontId="1" fillId="12" borderId="26" xfId="0" applyFont="1" applyFill="1" applyBorder="1" applyAlignment="1">
      <alignment vertical="center" wrapText="1"/>
    </xf>
    <xf numFmtId="0" fontId="1" fillId="12" borderId="18" xfId="0" applyFont="1" applyFill="1" applyBorder="1" applyAlignment="1">
      <alignment vertical="center" wrapText="1"/>
    </xf>
    <xf numFmtId="0" fontId="1" fillId="12" borderId="1" xfId="0" applyFont="1" applyFill="1" applyBorder="1" applyAlignment="1">
      <alignment vertical="center" wrapText="1"/>
    </xf>
    <xf numFmtId="0" fontId="1" fillId="16" borderId="16" xfId="0" applyFont="1" applyFill="1" applyBorder="1" applyAlignment="1">
      <alignment vertical="center" wrapText="1"/>
    </xf>
    <xf numFmtId="9" fontId="0" fillId="0" borderId="16" xfId="0" applyNumberFormat="1" applyBorder="1" applyAlignment="1">
      <alignment vertical="center"/>
    </xf>
    <xf numFmtId="0" fontId="4" fillId="0" borderId="0" xfId="0" applyFont="1" applyAlignment="1">
      <alignment vertical="center"/>
    </xf>
    <xf numFmtId="0" fontId="1" fillId="19" borderId="21" xfId="0" applyFont="1" applyFill="1" applyBorder="1" applyAlignment="1">
      <alignment vertical="center" wrapText="1"/>
    </xf>
    <xf numFmtId="0" fontId="1" fillId="17" borderId="16" xfId="0" quotePrefix="1" applyFont="1" applyFill="1" applyBorder="1" applyAlignment="1">
      <alignment vertical="center" wrapText="1"/>
    </xf>
    <xf numFmtId="0" fontId="1" fillId="8" borderId="16" xfId="0" applyFont="1" applyFill="1" applyBorder="1" applyAlignment="1">
      <alignment vertical="center" wrapText="1"/>
    </xf>
    <xf numFmtId="0" fontId="1" fillId="8" borderId="16" xfId="0" quotePrefix="1" applyFont="1" applyFill="1" applyBorder="1" applyAlignment="1">
      <alignment vertical="center" wrapText="1"/>
    </xf>
    <xf numFmtId="0" fontId="1" fillId="8" borderId="27" xfId="0" applyFont="1" applyFill="1" applyBorder="1" applyAlignment="1">
      <alignment vertical="center" wrapText="1"/>
    </xf>
    <xf numFmtId="0" fontId="1" fillId="8" borderId="18" xfId="0" applyFont="1" applyFill="1" applyBorder="1" applyAlignment="1">
      <alignment vertical="center" wrapText="1"/>
    </xf>
    <xf numFmtId="0" fontId="1" fillId="9" borderId="16" xfId="0" applyFont="1" applyFill="1" applyBorder="1" applyAlignment="1">
      <alignment vertical="center" wrapText="1"/>
    </xf>
    <xf numFmtId="0" fontId="1" fillId="18" borderId="16" xfId="0" quotePrefix="1" applyFont="1" applyFill="1" applyBorder="1" applyAlignment="1">
      <alignment vertical="center" wrapText="1"/>
    </xf>
    <xf numFmtId="0" fontId="11" fillId="12" borderId="16" xfId="0" applyFont="1" applyFill="1" applyBorder="1" applyAlignment="1">
      <alignment vertical="center" wrapText="1"/>
    </xf>
    <xf numFmtId="0" fontId="11" fillId="12" borderId="16" xfId="0" quotePrefix="1" applyFont="1" applyFill="1" applyBorder="1" applyAlignment="1">
      <alignment vertical="center" wrapText="1"/>
    </xf>
    <xf numFmtId="0" fontId="3" fillId="20" borderId="16" xfId="0" applyFont="1" applyFill="1" applyBorder="1" applyAlignment="1">
      <alignment vertical="center"/>
    </xf>
    <xf numFmtId="0" fontId="3" fillId="20" borderId="16" xfId="0" applyFont="1" applyFill="1" applyBorder="1" applyAlignment="1">
      <alignment horizontal="left" vertical="center"/>
    </xf>
    <xf numFmtId="0" fontId="3" fillId="20" borderId="16" xfId="0" applyFont="1" applyFill="1" applyBorder="1" applyAlignment="1">
      <alignment horizontal="left" vertical="center" wrapText="1"/>
    </xf>
    <xf numFmtId="0" fontId="6" fillId="0" borderId="16" xfId="0" applyFont="1" applyBorder="1" applyAlignment="1">
      <alignment vertical="center" wrapText="1"/>
    </xf>
    <xf numFmtId="0" fontId="17" fillId="0" borderId="16" xfId="0" applyFont="1" applyBorder="1" applyAlignment="1">
      <alignment horizontal="left" vertical="center" wrapText="1"/>
    </xf>
    <xf numFmtId="0" fontId="17" fillId="0" borderId="16" xfId="0" applyFont="1" applyBorder="1" applyAlignment="1">
      <alignment vertical="center" wrapText="1"/>
    </xf>
    <xf numFmtId="0" fontId="6" fillId="18" borderId="16" xfId="0" applyFont="1" applyFill="1" applyBorder="1" applyAlignment="1">
      <alignment vertical="center" wrapText="1"/>
    </xf>
    <xf numFmtId="49" fontId="1" fillId="0" borderId="16" xfId="0" applyNumberFormat="1" applyFont="1" applyBorder="1" applyAlignment="1">
      <alignment vertical="center" wrapText="1"/>
    </xf>
    <xf numFmtId="0" fontId="6" fillId="0" borderId="16" xfId="0" quotePrefix="1" applyFont="1" applyBorder="1" applyAlignment="1">
      <alignment vertical="center" wrapText="1"/>
    </xf>
    <xf numFmtId="0" fontId="6" fillId="16" borderId="16" xfId="0" applyFont="1" applyFill="1" applyBorder="1" applyAlignment="1">
      <alignment vertical="center" wrapText="1"/>
    </xf>
    <xf numFmtId="0" fontId="1" fillId="0" borderId="16" xfId="0" applyFont="1" applyBorder="1" applyAlignment="1">
      <alignment horizontal="center" wrapText="1"/>
    </xf>
    <xf numFmtId="0" fontId="0" fillId="0" borderId="16" xfId="0" applyBorder="1" applyAlignment="1">
      <alignment vertical="top" wrapText="1"/>
    </xf>
    <xf numFmtId="49" fontId="0" fillId="0" borderId="16" xfId="0" applyNumberFormat="1" applyBorder="1" applyAlignment="1">
      <alignment vertical="top" wrapText="1"/>
    </xf>
    <xf numFmtId="0" fontId="0" fillId="12" borderId="16" xfId="0" applyFill="1" applyBorder="1" applyAlignment="1">
      <alignment horizontal="left" vertical="top" wrapText="1"/>
    </xf>
    <xf numFmtId="0" fontId="0" fillId="12" borderId="16" xfId="0" applyFill="1" applyBorder="1" applyAlignment="1">
      <alignment vertical="top" wrapText="1"/>
    </xf>
    <xf numFmtId="49" fontId="0" fillId="12" borderId="16" xfId="0" applyNumberFormat="1" applyFill="1" applyBorder="1" applyAlignment="1">
      <alignment vertical="top" wrapText="1"/>
    </xf>
    <xf numFmtId="0" fontId="0" fillId="0" borderId="16" xfId="0" applyBorder="1" applyAlignment="1">
      <alignment horizontal="left" vertical="top" wrapText="1"/>
    </xf>
    <xf numFmtId="0" fontId="1" fillId="0" borderId="16" xfId="0" applyFont="1" applyBorder="1" applyAlignment="1">
      <alignment horizontal="left" vertical="center" wrapText="1"/>
    </xf>
    <xf numFmtId="0" fontId="1" fillId="21" borderId="16" xfId="0" applyFont="1" applyFill="1" applyBorder="1" applyAlignment="1">
      <alignment horizontal="left" vertical="center" wrapText="1"/>
    </xf>
    <xf numFmtId="0" fontId="1" fillId="21" borderId="16" xfId="0" applyFont="1" applyFill="1" applyBorder="1" applyAlignment="1">
      <alignment vertical="center" wrapText="1"/>
    </xf>
    <xf numFmtId="0" fontId="6" fillId="21" borderId="16" xfId="0" applyFont="1" applyFill="1" applyBorder="1" applyAlignment="1">
      <alignment vertical="center" wrapText="1"/>
    </xf>
    <xf numFmtId="0" fontId="23" fillId="12" borderId="16" xfId="0" applyFont="1" applyFill="1" applyBorder="1" applyAlignment="1">
      <alignment vertical="center" wrapText="1"/>
    </xf>
    <xf numFmtId="49" fontId="1" fillId="21" borderId="16" xfId="0" applyNumberFormat="1" applyFont="1" applyFill="1" applyBorder="1" applyAlignment="1">
      <alignment vertical="center" wrapText="1"/>
    </xf>
    <xf numFmtId="0" fontId="3" fillId="20" borderId="27" xfId="0" applyFont="1" applyFill="1" applyBorder="1" applyAlignment="1">
      <alignment horizontal="left" vertical="center"/>
    </xf>
    <xf numFmtId="0" fontId="1" fillId="0" borderId="27" xfId="0" applyFont="1" applyBorder="1" applyAlignment="1">
      <alignment horizontal="left"/>
    </xf>
    <xf numFmtId="0" fontId="3" fillId="13" borderId="26" xfId="0" applyFont="1" applyFill="1" applyBorder="1" applyAlignment="1">
      <alignment horizontal="left" vertical="center" wrapText="1"/>
    </xf>
    <xf numFmtId="0" fontId="3" fillId="20" borderId="26" xfId="0" applyFont="1" applyFill="1" applyBorder="1" applyAlignment="1">
      <alignment horizontal="left" vertical="center"/>
    </xf>
    <xf numFmtId="0" fontId="6" fillId="0" borderId="26" xfId="0" applyFont="1" applyBorder="1" applyAlignment="1">
      <alignment horizontal="left" vertical="center" wrapText="1"/>
    </xf>
    <xf numFmtId="0" fontId="1" fillId="0" borderId="26" xfId="0" applyFont="1" applyBorder="1" applyAlignment="1">
      <alignment horizontal="left" vertical="center" wrapText="1"/>
    </xf>
    <xf numFmtId="0" fontId="1" fillId="0" borderId="26" xfId="0" applyFont="1" applyBorder="1" applyAlignment="1">
      <alignment horizontal="left"/>
    </xf>
    <xf numFmtId="0" fontId="3" fillId="13" borderId="1" xfId="0" applyFont="1" applyFill="1" applyBorder="1" applyAlignment="1">
      <alignment horizontal="left" vertical="center" wrapText="1"/>
    </xf>
    <xf numFmtId="0" fontId="3" fillId="20"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21" borderId="1" xfId="0" applyFont="1" applyFill="1" applyBorder="1" applyAlignment="1">
      <alignment horizontal="left" vertical="center" wrapText="1"/>
    </xf>
    <xf numFmtId="0" fontId="1" fillId="0" borderId="1" xfId="0" applyFont="1" applyBorder="1" applyAlignment="1">
      <alignment horizontal="left"/>
    </xf>
    <xf numFmtId="0" fontId="3" fillId="16" borderId="16" xfId="0" applyFont="1" applyFill="1" applyBorder="1" applyAlignment="1">
      <alignment vertical="center"/>
    </xf>
    <xf numFmtId="0" fontId="3" fillId="13" borderId="27" xfId="0" applyFont="1" applyFill="1" applyBorder="1" applyAlignment="1">
      <alignment horizontal="left" vertical="center" wrapText="1"/>
    </xf>
    <xf numFmtId="0" fontId="1" fillId="21" borderId="16" xfId="0" quotePrefix="1" applyFont="1" applyFill="1" applyBorder="1" applyAlignment="1">
      <alignment vertical="center" wrapText="1"/>
    </xf>
    <xf numFmtId="0" fontId="1" fillId="0" borderId="0" xfId="0" applyFont="1" applyAlignment="1">
      <alignment horizontal="left"/>
    </xf>
    <xf numFmtId="0" fontId="1" fillId="0" borderId="18" xfId="0" applyFont="1" applyBorder="1"/>
    <xf numFmtId="0" fontId="1" fillId="0" borderId="28" xfId="0" applyFont="1" applyBorder="1" applyAlignment="1">
      <alignment horizontal="left"/>
    </xf>
    <xf numFmtId="0" fontId="1" fillId="0" borderId="3" xfId="0" applyFont="1" applyBorder="1" applyAlignment="1">
      <alignment horizontal="left"/>
    </xf>
    <xf numFmtId="0" fontId="1" fillId="0" borderId="32" xfId="0" applyFont="1" applyBorder="1" applyAlignment="1">
      <alignment horizontal="left"/>
    </xf>
    <xf numFmtId="0" fontId="1" fillId="0" borderId="18" xfId="0" applyFont="1" applyBorder="1" applyAlignment="1">
      <alignment horizontal="left"/>
    </xf>
    <xf numFmtId="0" fontId="0" fillId="12" borderId="21" xfId="0" applyFill="1" applyBorder="1" applyAlignment="1">
      <alignment vertical="top" wrapText="1"/>
    </xf>
    <xf numFmtId="0" fontId="1" fillId="21" borderId="16" xfId="0" applyFont="1" applyFill="1" applyBorder="1" applyAlignment="1">
      <alignment horizontal="center" vertical="center"/>
    </xf>
    <xf numFmtId="0" fontId="1" fillId="16" borderId="16" xfId="0" applyFont="1" applyFill="1" applyBorder="1" applyAlignment="1">
      <alignment horizontal="center" wrapText="1"/>
    </xf>
    <xf numFmtId="0" fontId="0" fillId="16" borderId="16" xfId="0" applyFill="1" applyBorder="1" applyAlignment="1">
      <alignment vertical="top" wrapText="1"/>
    </xf>
    <xf numFmtId="0" fontId="6" fillId="16" borderId="1" xfId="0" applyFont="1" applyFill="1" applyBorder="1" applyAlignment="1">
      <alignment horizontal="left" vertical="center" wrapText="1"/>
    </xf>
    <xf numFmtId="0" fontId="6" fillId="16" borderId="16" xfId="0" applyFont="1" applyFill="1" applyBorder="1" applyAlignment="1">
      <alignment horizontal="left" vertical="center" wrapText="1"/>
    </xf>
    <xf numFmtId="0" fontId="6" fillId="16" borderId="26" xfId="0" applyFont="1" applyFill="1" applyBorder="1" applyAlignment="1">
      <alignment vertical="center" wrapText="1"/>
    </xf>
    <xf numFmtId="0" fontId="6" fillId="16" borderId="1" xfId="0" quotePrefix="1" applyFont="1" applyFill="1" applyBorder="1" applyAlignment="1">
      <alignment vertical="center" wrapText="1"/>
    </xf>
    <xf numFmtId="49" fontId="1" fillId="0" borderId="16" xfId="0" applyNumberFormat="1" applyFont="1" applyBorder="1" applyAlignment="1">
      <alignment vertical="top" wrapText="1"/>
    </xf>
    <xf numFmtId="0" fontId="1" fillId="0" borderId="16" xfId="0" applyFont="1" applyBorder="1" applyAlignment="1">
      <alignment vertical="top" wrapText="1"/>
    </xf>
    <xf numFmtId="0" fontId="1" fillId="12" borderId="1" xfId="0" applyFont="1" applyFill="1" applyBorder="1" applyAlignment="1">
      <alignment horizontal="left" vertical="top" wrapText="1"/>
    </xf>
    <xf numFmtId="0" fontId="1" fillId="12" borderId="26" xfId="0" applyFont="1" applyFill="1" applyBorder="1" applyAlignment="1">
      <alignment vertical="top" wrapText="1"/>
    </xf>
    <xf numFmtId="0" fontId="1" fillId="12" borderId="16" xfId="0" applyFont="1" applyFill="1" applyBorder="1" applyAlignment="1">
      <alignment vertical="top" wrapText="1"/>
    </xf>
    <xf numFmtId="49" fontId="1" fillId="12" borderId="16" xfId="0" applyNumberFormat="1" applyFont="1" applyFill="1" applyBorder="1" applyAlignment="1">
      <alignment vertical="top" wrapText="1"/>
    </xf>
    <xf numFmtId="0" fontId="1" fillId="0" borderId="1" xfId="0" applyFont="1" applyBorder="1" applyAlignment="1">
      <alignment horizontal="left" vertical="top" wrapText="1"/>
    </xf>
    <xf numFmtId="0" fontId="1" fillId="16" borderId="26" xfId="0" applyFont="1" applyFill="1" applyBorder="1" applyAlignment="1">
      <alignment vertical="top" wrapText="1"/>
    </xf>
    <xf numFmtId="0" fontId="1" fillId="0" borderId="2" xfId="0" applyFont="1" applyBorder="1" applyAlignment="1">
      <alignment horizontal="left" vertical="top" wrapText="1"/>
    </xf>
    <xf numFmtId="0" fontId="1" fillId="12" borderId="21" xfId="0" applyFont="1" applyFill="1" applyBorder="1" applyAlignment="1">
      <alignment vertical="top" wrapText="1"/>
    </xf>
    <xf numFmtId="49" fontId="1" fillId="12" borderId="21" xfId="0" applyNumberFormat="1" applyFont="1" applyFill="1" applyBorder="1" applyAlignment="1">
      <alignment vertical="top" wrapText="1"/>
    </xf>
    <xf numFmtId="0" fontId="1" fillId="16" borderId="16" xfId="0" applyFont="1" applyFill="1" applyBorder="1" applyAlignment="1">
      <alignment wrapText="1"/>
    </xf>
    <xf numFmtId="0" fontId="17" fillId="0" borderId="0" xfId="0" applyFont="1"/>
    <xf numFmtId="0" fontId="1" fillId="21" borderId="26" xfId="0" applyFont="1" applyFill="1" applyBorder="1" applyAlignment="1">
      <alignment vertical="center" wrapText="1"/>
    </xf>
    <xf numFmtId="0" fontId="6" fillId="21" borderId="1" xfId="0" applyFont="1" applyFill="1" applyBorder="1" applyAlignment="1">
      <alignment horizontal="left" vertical="center" wrapText="1"/>
    </xf>
    <xf numFmtId="0" fontId="17" fillId="0" borderId="0" xfId="0" applyFont="1" applyAlignment="1">
      <alignment horizontal="left" vertical="top" wrapText="1"/>
    </xf>
    <xf numFmtId="0" fontId="17" fillId="0" borderId="43" xfId="0" applyFont="1" applyBorder="1" applyAlignment="1">
      <alignment vertical="top" wrapText="1"/>
    </xf>
    <xf numFmtId="0" fontId="17" fillId="0" borderId="42" xfId="0" applyFont="1" applyBorder="1" applyAlignment="1">
      <alignment wrapText="1"/>
    </xf>
    <xf numFmtId="0" fontId="17" fillId="0" borderId="44" xfId="0" applyFont="1" applyBorder="1" applyAlignment="1">
      <alignment wrapText="1"/>
    </xf>
    <xf numFmtId="0" fontId="17" fillId="0" borderId="44" xfId="0" applyFont="1" applyBorder="1" applyAlignment="1">
      <alignment vertical="top" wrapText="1"/>
    </xf>
    <xf numFmtId="0" fontId="17" fillId="0" borderId="0" xfId="0" applyFont="1" applyAlignment="1">
      <alignment vertical="center"/>
    </xf>
    <xf numFmtId="0" fontId="17" fillId="0" borderId="44" xfId="0" applyFont="1" applyBorder="1" applyAlignment="1">
      <alignment horizontal="left" vertical="top" wrapText="1"/>
    </xf>
    <xf numFmtId="0" fontId="17" fillId="0" borderId="44" xfId="0" applyFont="1" applyBorder="1" applyAlignment="1">
      <alignment vertical="center" wrapText="1"/>
    </xf>
    <xf numFmtId="0" fontId="17" fillId="0" borderId="44" xfId="0" applyFont="1" applyBorder="1" applyAlignment="1">
      <alignment vertical="center"/>
    </xf>
    <xf numFmtId="0" fontId="17" fillId="0" borderId="42" xfId="0" applyFont="1" applyBorder="1" applyAlignment="1">
      <alignment horizontal="left" vertical="top" wrapText="1"/>
    </xf>
    <xf numFmtId="0" fontId="6" fillId="21" borderId="21" xfId="0" quotePrefix="1" applyFont="1" applyFill="1" applyBorder="1" applyAlignment="1">
      <alignment vertical="center" wrapText="1"/>
    </xf>
    <xf numFmtId="0" fontId="1" fillId="0" borderId="44" xfId="0" applyFont="1" applyBorder="1" applyAlignment="1">
      <alignment vertical="center" wrapText="1"/>
    </xf>
    <xf numFmtId="0" fontId="17" fillId="0" borderId="42" xfId="0" applyFont="1" applyBorder="1" applyAlignment="1">
      <alignment vertical="center"/>
    </xf>
    <xf numFmtId="0" fontId="1" fillId="0" borderId="16" xfId="0" applyFont="1" applyBorder="1" applyAlignment="1">
      <alignment horizontal="left" vertical="top" wrapText="1"/>
    </xf>
    <xf numFmtId="0" fontId="17" fillId="0" borderId="43" xfId="0" applyFont="1" applyBorder="1" applyAlignment="1">
      <alignment vertical="center"/>
    </xf>
    <xf numFmtId="0" fontId="1" fillId="0" borderId="21" xfId="0" applyFont="1" applyBorder="1" applyAlignment="1">
      <alignment vertical="center" wrapText="1"/>
    </xf>
    <xf numFmtId="0" fontId="3" fillId="13" borderId="16" xfId="0" applyFont="1" applyFill="1" applyBorder="1" applyAlignment="1">
      <alignment horizontal="center" vertical="center"/>
    </xf>
    <xf numFmtId="0" fontId="3" fillId="20" borderId="16" xfId="0" applyFont="1" applyFill="1" applyBorder="1" applyAlignment="1">
      <alignment horizontal="center" vertical="center"/>
    </xf>
    <xf numFmtId="0" fontId="1" fillId="0" borderId="18" xfId="0" applyFont="1" applyBorder="1" applyAlignment="1">
      <alignment horizontal="center" vertical="center"/>
    </xf>
    <xf numFmtId="0" fontId="3" fillId="13" borderId="16" xfId="0" applyFont="1" applyFill="1" applyBorder="1" applyAlignment="1">
      <alignment horizontal="center" vertical="center" wrapText="1"/>
    </xf>
    <xf numFmtId="0" fontId="6" fillId="0" borderId="3" xfId="0" applyFont="1" applyBorder="1" applyAlignment="1">
      <alignment horizontal="center" vertical="center" wrapText="1"/>
    </xf>
    <xf numFmtId="0" fontId="1" fillId="21" borderId="16" xfId="0" applyFont="1" applyFill="1" applyBorder="1" applyAlignment="1">
      <alignment horizontal="center" vertical="center" wrapText="1"/>
    </xf>
    <xf numFmtId="0" fontId="6" fillId="21" borderId="16" xfId="0" applyFont="1" applyFill="1" applyBorder="1" applyAlignment="1">
      <alignment horizontal="center" vertical="center" wrapText="1"/>
    </xf>
    <xf numFmtId="0" fontId="6" fillId="16" borderId="27"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7" fillId="0" borderId="45" xfId="0" applyFont="1" applyBorder="1" applyAlignment="1">
      <alignment vertical="center"/>
    </xf>
    <xf numFmtId="0" fontId="1" fillId="16" borderId="46" xfId="0" applyFont="1" applyFill="1" applyBorder="1" applyAlignment="1">
      <alignment horizontal="center"/>
    </xf>
    <xf numFmtId="0" fontId="1" fillId="16" borderId="0" xfId="0" applyFont="1" applyFill="1" applyAlignment="1">
      <alignment horizontal="left"/>
    </xf>
    <xf numFmtId="0" fontId="1" fillId="16" borderId="0" xfId="0" applyFont="1" applyFill="1" applyAlignment="1">
      <alignment horizontal="center" vertical="center"/>
    </xf>
    <xf numFmtId="0" fontId="1" fillId="16" borderId="0" xfId="0" applyFont="1" applyFill="1"/>
    <xf numFmtId="0" fontId="3" fillId="14" borderId="16" xfId="0" applyFont="1" applyFill="1" applyBorder="1" applyAlignment="1">
      <alignment vertical="center" wrapText="1"/>
    </xf>
    <xf numFmtId="0" fontId="1" fillId="12" borderId="16" xfId="0" applyFont="1" applyFill="1" applyBorder="1" applyAlignment="1">
      <alignment horizontal="left" vertical="center" wrapText="1"/>
    </xf>
    <xf numFmtId="0" fontId="24" fillId="0" borderId="16" xfId="0" applyFont="1" applyBorder="1" applyAlignment="1">
      <alignment horizontal="left" vertical="center" wrapText="1"/>
    </xf>
    <xf numFmtId="0" fontId="24" fillId="21" borderId="16" xfId="0" applyFont="1" applyFill="1" applyBorder="1" applyAlignment="1">
      <alignment vertical="center" wrapText="1"/>
    </xf>
    <xf numFmtId="0" fontId="1" fillId="16" borderId="16" xfId="0" applyFont="1" applyFill="1" applyBorder="1" applyAlignment="1">
      <alignment horizontal="center" vertical="center" wrapText="1"/>
    </xf>
    <xf numFmtId="0" fontId="6" fillId="16" borderId="26" xfId="0" applyFont="1" applyFill="1" applyBorder="1" applyAlignment="1">
      <alignment horizontal="left" vertical="center" wrapText="1"/>
    </xf>
    <xf numFmtId="0" fontId="1" fillId="12" borderId="16" xfId="0" applyFont="1" applyFill="1" applyBorder="1" applyAlignment="1">
      <alignment horizontal="center" wrapText="1"/>
    </xf>
    <xf numFmtId="0" fontId="1" fillId="12" borderId="16" xfId="0" applyFont="1" applyFill="1" applyBorder="1"/>
    <xf numFmtId="0" fontId="17" fillId="12" borderId="0" xfId="0" applyFont="1" applyFill="1" applyAlignment="1">
      <alignment wrapText="1"/>
    </xf>
    <xf numFmtId="0" fontId="1" fillId="0" borderId="20" xfId="0" applyFont="1" applyBorder="1" applyAlignment="1">
      <alignment horizontal="center" vertical="center" wrapText="1"/>
    </xf>
    <xf numFmtId="0" fontId="3" fillId="20" borderId="27" xfId="0" applyFont="1" applyFill="1" applyBorder="1" applyAlignment="1">
      <alignment vertical="center"/>
    </xf>
    <xf numFmtId="49" fontId="1" fillId="12" borderId="0" xfId="0" applyNumberFormat="1" applyFont="1" applyFill="1" applyAlignment="1">
      <alignment vertical="top" wrapText="1"/>
    </xf>
    <xf numFmtId="0" fontId="0" fillId="12" borderId="34" xfId="0" applyFill="1" applyBorder="1" applyAlignment="1">
      <alignment vertical="center" wrapText="1"/>
    </xf>
    <xf numFmtId="0" fontId="0" fillId="12" borderId="35" xfId="0" applyFill="1" applyBorder="1" applyAlignment="1">
      <alignment vertical="center" wrapText="1"/>
    </xf>
    <xf numFmtId="0" fontId="1" fillId="12" borderId="39" xfId="0" applyFont="1" applyFill="1" applyBorder="1" applyAlignment="1">
      <alignment vertical="top" wrapText="1"/>
    </xf>
    <xf numFmtId="0" fontId="17" fillId="0" borderId="43" xfId="0" applyFont="1" applyBorder="1" applyAlignment="1">
      <alignment horizontal="left" vertical="top" wrapText="1"/>
    </xf>
    <xf numFmtId="0" fontId="17" fillId="0" borderId="43" xfId="0" applyFont="1" applyBorder="1" applyAlignment="1">
      <alignment vertical="center" wrapText="1"/>
    </xf>
    <xf numFmtId="0" fontId="0" fillId="0" borderId="0" xfId="0" applyAlignment="1">
      <alignment horizontal="left" vertical="top"/>
    </xf>
    <xf numFmtId="0" fontId="25" fillId="26" borderId="48" xfId="0" applyFont="1" applyFill="1" applyBorder="1" applyAlignment="1">
      <alignment horizontal="left" vertical="top" wrapText="1"/>
    </xf>
    <xf numFmtId="0" fontId="25" fillId="26" borderId="49" xfId="0" applyFont="1" applyFill="1" applyBorder="1" applyAlignment="1">
      <alignment horizontal="left" vertical="top" wrapText="1"/>
    </xf>
    <xf numFmtId="0" fontId="25" fillId="26" borderId="2" xfId="0" applyFont="1" applyFill="1" applyBorder="1" applyAlignment="1">
      <alignment horizontal="left" vertical="top" wrapText="1"/>
    </xf>
    <xf numFmtId="0" fontId="25" fillId="26" borderId="50" xfId="0" applyFont="1" applyFill="1" applyBorder="1" applyAlignment="1">
      <alignment horizontal="left" vertical="top" wrapText="1"/>
    </xf>
    <xf numFmtId="0" fontId="25" fillId="26" borderId="47"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6" xfId="0" applyBorder="1" applyAlignment="1">
      <alignment horizontal="left" vertical="top"/>
    </xf>
    <xf numFmtId="0" fontId="0" fillId="0" borderId="27" xfId="0" applyBorder="1" applyAlignment="1">
      <alignment horizontal="left" vertical="top"/>
    </xf>
    <xf numFmtId="0" fontId="0" fillId="0" borderId="26" xfId="0" applyBorder="1" applyAlignment="1">
      <alignment horizontal="left" vertical="top"/>
    </xf>
    <xf numFmtId="0" fontId="0" fillId="21" borderId="1" xfId="0" applyFill="1" applyBorder="1" applyAlignment="1">
      <alignment horizontal="left" vertical="top" wrapText="1"/>
    </xf>
    <xf numFmtId="0" fontId="1" fillId="0" borderId="2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18" xfId="0" applyFont="1" applyBorder="1" applyAlignment="1">
      <alignment horizontal="center" vertical="center" wrapText="1"/>
    </xf>
    <xf numFmtId="0" fontId="1" fillId="12" borderId="21" xfId="0" applyFont="1" applyFill="1" applyBorder="1" applyAlignment="1">
      <alignment horizontal="center" vertical="center" wrapText="1"/>
    </xf>
    <xf numFmtId="0" fontId="6" fillId="0" borderId="3" xfId="0" applyFont="1" applyBorder="1" applyAlignment="1">
      <alignment horizontal="left" vertical="center" wrapText="1"/>
    </xf>
    <xf numFmtId="0" fontId="1" fillId="0" borderId="35" xfId="0" applyFont="1" applyBorder="1" applyAlignment="1">
      <alignment horizontal="center" vertical="center" wrapText="1"/>
    </xf>
    <xf numFmtId="0" fontId="1" fillId="0" borderId="21" xfId="0" applyFont="1" applyBorder="1" applyAlignment="1">
      <alignment horizontal="left" vertical="center" wrapText="1"/>
    </xf>
    <xf numFmtId="0" fontId="1" fillId="12" borderId="33" xfId="0" applyFont="1" applyFill="1" applyBorder="1" applyAlignment="1">
      <alignment horizontal="center" vertical="center" wrapText="1"/>
    </xf>
    <xf numFmtId="0" fontId="17" fillId="24" borderId="21" xfId="0" applyFont="1" applyFill="1" applyBorder="1" applyAlignment="1">
      <alignment vertical="center" wrapText="1"/>
    </xf>
    <xf numFmtId="0" fontId="17" fillId="24" borderId="33" xfId="0" applyFont="1" applyFill="1" applyBorder="1" applyAlignment="1">
      <alignment vertical="center" wrapText="1"/>
    </xf>
    <xf numFmtId="0" fontId="17" fillId="24" borderId="18" xfId="0" applyFont="1" applyFill="1" applyBorder="1" applyAlignment="1">
      <alignment vertical="center" wrapText="1"/>
    </xf>
    <xf numFmtId="0" fontId="0" fillId="0" borderId="2" xfId="0" applyBorder="1" applyAlignment="1">
      <alignment horizontal="left" vertical="top" wrapText="1"/>
    </xf>
    <xf numFmtId="0" fontId="2" fillId="0" borderId="9" xfId="0" applyFont="1" applyBorder="1" applyAlignment="1">
      <alignment horizontal="center" vertical="center" wrapText="1"/>
    </xf>
    <xf numFmtId="165" fontId="2" fillId="0" borderId="8" xfId="0" applyNumberFormat="1" applyFont="1" applyBorder="1" applyAlignment="1">
      <alignment horizontal="center" vertical="center"/>
    </xf>
    <xf numFmtId="0" fontId="6" fillId="0" borderId="10" xfId="0" applyFont="1" applyBorder="1" applyAlignment="1">
      <alignment vertical="center" wrapText="1"/>
    </xf>
    <xf numFmtId="0" fontId="6" fillId="0" borderId="14" xfId="0" applyFont="1" applyBorder="1" applyAlignment="1">
      <alignment vertical="center" wrapText="1"/>
    </xf>
    <xf numFmtId="0" fontId="12" fillId="0" borderId="1" xfId="0" applyFont="1" applyBorder="1" applyAlignment="1">
      <alignment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6" fillId="0" borderId="16" xfId="0" applyFont="1" applyBorder="1" applyAlignment="1">
      <alignment horizontal="left" vertical="center" wrapText="1"/>
    </xf>
    <xf numFmtId="0" fontId="6" fillId="0" borderId="16" xfId="0" applyFont="1" applyBorder="1" applyAlignment="1">
      <alignment horizontal="center" vertical="center" wrapText="1"/>
    </xf>
    <xf numFmtId="0" fontId="1" fillId="0" borderId="16" xfId="0" applyFont="1" applyBorder="1" applyAlignment="1">
      <alignment horizontal="center" vertical="center" wrapText="1"/>
    </xf>
    <xf numFmtId="0" fontId="0" fillId="12" borderId="16" xfId="0" applyFill="1" applyBorder="1" applyAlignment="1">
      <alignment horizontal="center" vertical="center" wrapText="1"/>
    </xf>
    <xf numFmtId="0" fontId="29" fillId="0" borderId="0" xfId="0" applyFont="1" applyAlignment="1">
      <alignment vertical="center"/>
    </xf>
    <xf numFmtId="0" fontId="0" fillId="0" borderId="0" xfId="0" applyAlignment="1">
      <alignment vertical="center" wrapText="1"/>
    </xf>
    <xf numFmtId="0" fontId="0" fillId="0" borderId="21" xfId="0" applyBorder="1" applyAlignment="1">
      <alignment horizontal="left" vertical="top"/>
    </xf>
    <xf numFmtId="0" fontId="0" fillId="0" borderId="20" xfId="0" applyBorder="1" applyAlignment="1">
      <alignment horizontal="left" vertical="top"/>
    </xf>
    <xf numFmtId="0" fontId="0" fillId="0" borderId="39" xfId="0" applyBorder="1" applyAlignment="1">
      <alignment horizontal="left" vertical="top"/>
    </xf>
    <xf numFmtId="0" fontId="25" fillId="26" borderId="49" xfId="0" applyFont="1" applyFill="1" applyBorder="1" applyAlignment="1">
      <alignment horizontal="left" vertical="top"/>
    </xf>
    <xf numFmtId="0" fontId="0" fillId="0" borderId="5" xfId="0" applyBorder="1" applyAlignment="1">
      <alignment vertical="top" wrapText="1"/>
    </xf>
    <xf numFmtId="0" fontId="0" fillId="0" borderId="5" xfId="0" applyBorder="1" applyAlignment="1">
      <alignment horizontal="left" vertical="top"/>
    </xf>
    <xf numFmtId="0" fontId="0" fillId="0" borderId="5" xfId="0" applyBorder="1" applyAlignment="1">
      <alignment horizontal="left" vertical="top" wrapText="1"/>
    </xf>
    <xf numFmtId="0" fontId="0" fillId="21" borderId="5" xfId="0" applyFill="1" applyBorder="1" applyAlignment="1">
      <alignment horizontal="left" vertical="top" wrapText="1"/>
    </xf>
    <xf numFmtId="0" fontId="0" fillId="21" borderId="5" xfId="0" applyFill="1" applyBorder="1" applyAlignment="1">
      <alignment horizontal="left" vertical="top"/>
    </xf>
    <xf numFmtId="0" fontId="0" fillId="0" borderId="9" xfId="0"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26" fillId="0" borderId="0" xfId="1" applyFont="1" applyAlignment="1">
      <alignment vertical="center"/>
    </xf>
    <xf numFmtId="0" fontId="8" fillId="0" borderId="0" xfId="1"/>
    <xf numFmtId="0" fontId="27" fillId="0" borderId="0" xfId="1" applyFont="1" applyAlignment="1">
      <alignment vertical="center"/>
    </xf>
    <xf numFmtId="0" fontId="28" fillId="21" borderId="0" xfId="3" applyFont="1" applyFill="1"/>
    <xf numFmtId="0" fontId="28" fillId="0" borderId="0" xfId="1" applyFont="1" applyAlignment="1">
      <alignment vertical="center"/>
    </xf>
    <xf numFmtId="0" fontId="30" fillId="0" borderId="0" xfId="1" applyFont="1" applyAlignment="1">
      <alignment horizontal="left" vertical="center" wrapText="1"/>
    </xf>
    <xf numFmtId="0" fontId="33" fillId="0" borderId="51" xfId="1" applyFont="1" applyBorder="1"/>
    <xf numFmtId="0" fontId="33" fillId="0" borderId="52" xfId="1" applyFont="1" applyBorder="1"/>
    <xf numFmtId="0" fontId="33" fillId="0" borderId="53" xfId="1" applyFont="1" applyBorder="1"/>
    <xf numFmtId="0" fontId="8" fillId="0" borderId="0" xfId="1" applyAlignment="1">
      <alignment vertical="center"/>
    </xf>
    <xf numFmtId="0" fontId="29" fillId="0" borderId="0" xfId="1" applyFont="1" applyAlignment="1">
      <alignment vertical="center"/>
    </xf>
    <xf numFmtId="0" fontId="34" fillId="0" borderId="0" xfId="1" applyFont="1"/>
    <xf numFmtId="0" fontId="35" fillId="0" borderId="0" xfId="1" applyFont="1"/>
    <xf numFmtId="0" fontId="30" fillId="0" borderId="0" xfId="1" applyFont="1" applyAlignment="1">
      <alignment vertical="center"/>
    </xf>
    <xf numFmtId="0" fontId="25" fillId="26" borderId="1" xfId="0" applyFont="1" applyFill="1" applyBorder="1" applyAlignment="1" applyProtection="1">
      <alignment horizontal="left" vertical="top" wrapText="1"/>
      <protection locked="0"/>
    </xf>
    <xf numFmtId="0" fontId="0" fillId="0" borderId="0" xfId="0" applyAlignment="1" applyProtection="1">
      <alignment horizontal="left" vertical="top"/>
      <protection locked="0"/>
    </xf>
    <xf numFmtId="0" fontId="0" fillId="0" borderId="1" xfId="0" applyBorder="1" applyAlignment="1" applyProtection="1">
      <alignment horizontal="left" vertical="top"/>
      <protection locked="0"/>
    </xf>
    <xf numFmtId="0" fontId="1" fillId="0" borderId="2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18" xfId="0" applyFont="1" applyBorder="1" applyAlignment="1">
      <alignment horizontal="center" vertical="center" wrapText="1"/>
    </xf>
    <xf numFmtId="0" fontId="6" fillId="0" borderId="21" xfId="0" applyFont="1" applyBorder="1" applyAlignment="1">
      <alignment horizontal="left" vertical="center" wrapText="1"/>
    </xf>
    <xf numFmtId="0" fontId="6" fillId="0" borderId="18" xfId="0" applyFont="1" applyBorder="1" applyAlignment="1">
      <alignment horizontal="left" vertical="center" wrapText="1"/>
    </xf>
    <xf numFmtId="0" fontId="1" fillId="12" borderId="21" xfId="0" applyFont="1" applyFill="1" applyBorder="1" applyAlignment="1">
      <alignment horizontal="center" vertical="center" wrapText="1"/>
    </xf>
    <xf numFmtId="0" fontId="1" fillId="12" borderId="18" xfId="0" applyFont="1" applyFill="1" applyBorder="1" applyAlignment="1">
      <alignment horizontal="center" vertical="center" wrapText="1"/>
    </xf>
    <xf numFmtId="0" fontId="1" fillId="21" borderId="21" xfId="0" applyFont="1" applyFill="1" applyBorder="1" applyAlignment="1">
      <alignment horizontal="center" vertical="center" wrapText="1"/>
    </xf>
    <xf numFmtId="0" fontId="1" fillId="21" borderId="18" xfId="0" applyFont="1" applyFill="1" applyBorder="1" applyAlignment="1">
      <alignment horizontal="center" vertical="center" wrapText="1"/>
    </xf>
    <xf numFmtId="0" fontId="6" fillId="0" borderId="21" xfId="0" applyFont="1" applyBorder="1" applyAlignment="1">
      <alignment horizontal="center" vertical="center" wrapText="1"/>
    </xf>
    <xf numFmtId="0" fontId="6" fillId="0" borderId="18" xfId="0" applyFont="1" applyBorder="1" applyAlignment="1">
      <alignment horizontal="center" vertical="center" wrapText="1"/>
    </xf>
    <xf numFmtId="0" fontId="1" fillId="21" borderId="33" xfId="0" applyFont="1" applyFill="1" applyBorder="1" applyAlignment="1">
      <alignment horizontal="center" vertical="center" wrapText="1"/>
    </xf>
    <xf numFmtId="0" fontId="24" fillId="21" borderId="21" xfId="0" applyFont="1" applyFill="1" applyBorder="1" applyAlignment="1">
      <alignment horizontal="center" vertical="center" wrapText="1"/>
    </xf>
    <xf numFmtId="0" fontId="24" fillId="21" borderId="33" xfId="0" applyFont="1" applyFill="1" applyBorder="1" applyAlignment="1">
      <alignment horizontal="center" vertical="center" wrapText="1"/>
    </xf>
    <xf numFmtId="0" fontId="24" fillId="21" borderId="18"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8"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21" borderId="34" xfId="0" applyFont="1" applyFill="1" applyBorder="1" applyAlignment="1">
      <alignment horizontal="left" vertical="center" wrapText="1"/>
    </xf>
    <xf numFmtId="0" fontId="1" fillId="21" borderId="36" xfId="0" applyFont="1" applyFill="1" applyBorder="1" applyAlignment="1">
      <alignment horizontal="left" vertical="center" wrapText="1"/>
    </xf>
    <xf numFmtId="0" fontId="6" fillId="0" borderId="33" xfId="0" applyFont="1" applyBorder="1" applyAlignment="1">
      <alignment horizontal="center" vertical="center" wrapText="1"/>
    </xf>
    <xf numFmtId="0" fontId="2" fillId="0" borderId="33" xfId="0" applyFont="1" applyBorder="1" applyAlignment="1">
      <alignment horizontal="center" vertical="center" wrapText="1"/>
    </xf>
    <xf numFmtId="0" fontId="2" fillId="16" borderId="46" xfId="0" applyFont="1" applyFill="1"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18" xfId="0" applyFont="1" applyBorder="1" applyAlignment="1">
      <alignment horizontal="center" vertical="center" wrapText="1"/>
    </xf>
    <xf numFmtId="0" fontId="1" fillId="0" borderId="21" xfId="0" applyFont="1" applyBorder="1" applyAlignment="1">
      <alignment horizontal="center"/>
    </xf>
    <xf numFmtId="0" fontId="1" fillId="0" borderId="18" xfId="0" applyFont="1" applyBorder="1" applyAlignment="1">
      <alignment horizontal="center"/>
    </xf>
    <xf numFmtId="0" fontId="0" fillId="0" borderId="21" xfId="0" applyBorder="1" applyAlignment="1">
      <alignment horizontal="center" vertical="center" wrapText="1"/>
    </xf>
    <xf numFmtId="0" fontId="0" fillId="0" borderId="18" xfId="0" applyBorder="1" applyAlignment="1">
      <alignment horizontal="center" vertical="center" wrapText="1"/>
    </xf>
    <xf numFmtId="0" fontId="0" fillId="12" borderId="21" xfId="0" applyFill="1" applyBorder="1" applyAlignment="1">
      <alignment horizontal="center" vertical="center" wrapText="1"/>
    </xf>
    <xf numFmtId="0" fontId="0" fillId="12" borderId="33" xfId="0" applyFill="1" applyBorder="1" applyAlignment="1">
      <alignment horizontal="center" vertical="center" wrapText="1"/>
    </xf>
    <xf numFmtId="0" fontId="0" fillId="12" borderId="18" xfId="0" applyFill="1" applyBorder="1" applyAlignment="1">
      <alignment horizontal="center" vertical="center" wrapText="1"/>
    </xf>
    <xf numFmtId="0" fontId="17" fillId="25" borderId="21" xfId="0" applyFont="1" applyFill="1" applyBorder="1" applyAlignment="1">
      <alignment horizontal="center" vertical="center" wrapText="1"/>
    </xf>
    <xf numFmtId="0" fontId="17" fillId="25" borderId="18" xfId="0" applyFont="1" applyFill="1" applyBorder="1" applyAlignment="1">
      <alignment horizontal="center" vertical="center" wrapText="1"/>
    </xf>
    <xf numFmtId="0" fontId="17" fillId="22" borderId="21" xfId="0" applyFont="1" applyFill="1" applyBorder="1" applyAlignment="1">
      <alignment horizontal="center" vertical="center" wrapText="1"/>
    </xf>
    <xf numFmtId="0" fontId="17" fillId="22" borderId="18" xfId="0" applyFont="1" applyFill="1" applyBorder="1" applyAlignment="1">
      <alignment horizontal="center" vertical="center" wrapText="1"/>
    </xf>
    <xf numFmtId="0" fontId="6" fillId="0" borderId="20" xfId="0" applyFont="1" applyBorder="1" applyAlignment="1">
      <alignment horizontal="center" vertical="center" wrapText="1"/>
    </xf>
    <xf numFmtId="0" fontId="6" fillId="0" borderId="28" xfId="0" applyFont="1" applyBorder="1" applyAlignment="1">
      <alignment horizontal="center" vertical="center" wrapText="1"/>
    </xf>
    <xf numFmtId="0" fontId="1" fillId="0" borderId="21" xfId="0" applyFont="1" applyBorder="1" applyAlignment="1">
      <alignment horizontal="left" vertical="center" wrapText="1"/>
    </xf>
    <xf numFmtId="0" fontId="1" fillId="0" borderId="33" xfId="0" applyFont="1" applyBorder="1" applyAlignment="1">
      <alignment horizontal="left" vertical="center" wrapText="1"/>
    </xf>
    <xf numFmtId="0" fontId="1" fillId="0" borderId="18" xfId="0" applyFont="1" applyBorder="1" applyAlignment="1">
      <alignment horizontal="left" vertical="center" wrapText="1"/>
    </xf>
    <xf numFmtId="0" fontId="6" fillId="16" borderId="21" xfId="0" applyFont="1" applyFill="1" applyBorder="1" applyAlignment="1">
      <alignment horizontal="center" vertical="center" wrapText="1"/>
    </xf>
    <xf numFmtId="0" fontId="6" fillId="16" borderId="18" xfId="0" applyFont="1" applyFill="1" applyBorder="1" applyAlignment="1">
      <alignment horizontal="center" vertical="center" wrapText="1"/>
    </xf>
    <xf numFmtId="0" fontId="6" fillId="0" borderId="41" xfId="0" applyFont="1" applyBorder="1" applyAlignment="1">
      <alignment horizontal="center" vertical="center" wrapText="1"/>
    </xf>
    <xf numFmtId="0" fontId="6" fillId="0" borderId="40" xfId="0" applyFont="1" applyBorder="1" applyAlignment="1">
      <alignment horizontal="center" vertical="center" wrapText="1"/>
    </xf>
    <xf numFmtId="0" fontId="1" fillId="12" borderId="33" xfId="0" applyFont="1" applyFill="1" applyBorder="1" applyAlignment="1">
      <alignment horizontal="center" vertical="center" wrapText="1"/>
    </xf>
    <xf numFmtId="0" fontId="17" fillId="0" borderId="33" xfId="0" applyFont="1" applyBorder="1" applyAlignment="1">
      <alignment horizontal="center" vertical="center" wrapText="1"/>
    </xf>
    <xf numFmtId="0" fontId="17" fillId="23" borderId="21" xfId="0" applyFont="1" applyFill="1" applyBorder="1" applyAlignment="1">
      <alignment horizontal="center" vertical="center" wrapText="1"/>
    </xf>
    <xf numFmtId="0" fontId="17" fillId="23" borderId="33" xfId="0" applyFont="1" applyFill="1" applyBorder="1" applyAlignment="1">
      <alignment horizontal="center" vertical="center" wrapText="1"/>
    </xf>
    <xf numFmtId="0" fontId="17" fillId="23" borderId="18" xfId="0" applyFont="1" applyFill="1" applyBorder="1" applyAlignment="1">
      <alignment horizontal="center" vertical="center" wrapText="1"/>
    </xf>
    <xf numFmtId="0" fontId="33" fillId="0" borderId="1" xfId="1" applyFont="1" applyBorder="1" applyAlignment="1">
      <alignment horizontal="left" vertical="center" wrapText="1"/>
    </xf>
    <xf numFmtId="0" fontId="32" fillId="27" borderId="1" xfId="1" applyFont="1" applyFill="1" applyBorder="1" applyAlignment="1">
      <alignment horizontal="left" vertical="center" wrapText="1"/>
    </xf>
    <xf numFmtId="0" fontId="30" fillId="27" borderId="1" xfId="1" applyFont="1" applyFill="1" applyBorder="1" applyAlignment="1">
      <alignment horizontal="left" vertical="center" wrapText="1"/>
    </xf>
    <xf numFmtId="0" fontId="36" fillId="0" borderId="0" xfId="1" applyFont="1" applyAlignment="1">
      <alignment horizontal="center" vertical="center" wrapText="1"/>
    </xf>
    <xf numFmtId="0" fontId="33" fillId="0" borderId="9" xfId="1" applyFont="1" applyBorder="1" applyAlignment="1">
      <alignment horizontal="left" vertical="top" wrapText="1"/>
    </xf>
    <xf numFmtId="0" fontId="33" fillId="0" borderId="8" xfId="1" applyFont="1" applyBorder="1" applyAlignment="1">
      <alignment horizontal="left" vertical="top" wrapText="1"/>
    </xf>
    <xf numFmtId="0" fontId="33" fillId="0" borderId="10" xfId="1" applyFont="1" applyBorder="1" applyAlignment="1">
      <alignment horizontal="left" vertical="top" wrapText="1"/>
    </xf>
    <xf numFmtId="0" fontId="33" fillId="0" borderId="15" xfId="1" applyFont="1" applyBorder="1" applyAlignment="1">
      <alignment horizontal="left" vertical="top" wrapText="1"/>
    </xf>
    <xf numFmtId="0" fontId="33" fillId="0" borderId="0" xfId="1" applyFont="1" applyAlignment="1">
      <alignment horizontal="left" vertical="top" wrapText="1"/>
    </xf>
    <xf numFmtId="0" fontId="33" fillId="0" borderId="14" xfId="1" applyFont="1" applyBorder="1" applyAlignment="1">
      <alignment horizontal="left" vertical="top" wrapText="1"/>
    </xf>
    <xf numFmtId="0" fontId="33" fillId="0" borderId="54" xfId="1" quotePrefix="1" applyFont="1" applyBorder="1" applyAlignment="1">
      <alignment horizontal="left" vertical="top" wrapText="1"/>
    </xf>
    <xf numFmtId="0" fontId="33" fillId="0" borderId="55" xfId="1" applyFont="1" applyBorder="1" applyAlignment="1">
      <alignment horizontal="left" vertical="top" wrapText="1"/>
    </xf>
    <xf numFmtId="0" fontId="33" fillId="0" borderId="54" xfId="1" applyFont="1" applyBorder="1" applyAlignment="1">
      <alignment horizontal="left" vertical="top" wrapText="1"/>
    </xf>
    <xf numFmtId="0" fontId="33" fillId="0" borderId="56" xfId="1" applyFont="1" applyBorder="1" applyAlignment="1">
      <alignment horizontal="left" vertical="top" wrapText="1"/>
    </xf>
    <xf numFmtId="0" fontId="33" fillId="0" borderId="57" xfId="1" applyFont="1" applyBorder="1" applyAlignment="1">
      <alignment horizontal="left" vertical="top" wrapText="1"/>
    </xf>
    <xf numFmtId="0" fontId="33" fillId="0" borderId="58" xfId="1" applyFont="1" applyBorder="1" applyAlignment="1">
      <alignment horizontal="left" vertical="top" wrapText="1"/>
    </xf>
    <xf numFmtId="0" fontId="33" fillId="0" borderId="1" xfId="1" applyFont="1" applyBorder="1" applyAlignment="1">
      <alignment horizontal="left" vertical="top" wrapText="1"/>
    </xf>
    <xf numFmtId="0" fontId="30" fillId="0" borderId="0" xfId="1" applyFont="1" applyAlignment="1">
      <alignment horizontal="left" vertical="top" wrapText="1"/>
    </xf>
    <xf numFmtId="0" fontId="30" fillId="0" borderId="0" xfId="1" applyFont="1" applyAlignment="1">
      <alignment horizontal="left" vertical="center" wrapText="1"/>
    </xf>
    <xf numFmtId="0" fontId="0" fillId="0" borderId="10" xfId="0" applyBorder="1" applyAlignment="1">
      <alignment horizontal="center" vertical="top" wrapText="1"/>
    </xf>
    <xf numFmtId="0" fontId="0" fillId="0" borderId="14" xfId="0"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9" xfId="0" applyBorder="1" applyAlignment="1">
      <alignment horizontal="left" vertical="top" wrapText="1"/>
    </xf>
    <xf numFmtId="0" fontId="0" fillId="0" borderId="11" xfId="0" applyBorder="1" applyAlignment="1">
      <alignment horizontal="left" vertical="top"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21" borderId="2" xfId="0" applyFill="1" applyBorder="1" applyAlignment="1">
      <alignment horizontal="left" vertical="top" wrapText="1"/>
    </xf>
    <xf numFmtId="0" fontId="0" fillId="21" borderId="3" xfId="0" applyFill="1" applyBorder="1" applyAlignment="1">
      <alignment horizontal="left" vertical="top" wrapText="1"/>
    </xf>
    <xf numFmtId="0" fontId="2" fillId="0" borderId="1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5" xfId="0" applyFont="1" applyBorder="1" applyAlignment="1">
      <alignment horizontal="center" vertical="center" wrapText="1"/>
    </xf>
    <xf numFmtId="165" fontId="2" fillId="0" borderId="8"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6" fillId="0" borderId="10" xfId="0" applyFont="1" applyBorder="1" applyAlignment="1">
      <alignment vertical="center" wrapText="1"/>
    </xf>
    <xf numFmtId="0" fontId="6" fillId="0" borderId="13" xfId="0" applyFont="1" applyBorder="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left" vertical="center" wrapText="1"/>
    </xf>
    <xf numFmtId="0" fontId="1" fillId="0" borderId="12" xfId="0" applyFont="1" applyBorder="1" applyAlignment="1">
      <alignment horizontal="left"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2" fillId="0" borderId="11" xfId="0" applyFont="1" applyBorder="1" applyAlignment="1">
      <alignment horizontal="center" vertical="center" wrapText="1"/>
    </xf>
    <xf numFmtId="165" fontId="2" fillId="0" borderId="8" xfId="0" applyNumberFormat="1" applyFont="1" applyBorder="1" applyAlignment="1">
      <alignment horizontal="center" vertical="center" wrapText="1"/>
    </xf>
    <xf numFmtId="165" fontId="2" fillId="0" borderId="12" xfId="0" applyNumberFormat="1" applyFont="1" applyBorder="1" applyAlignment="1">
      <alignment horizontal="center" vertical="center" wrapText="1"/>
    </xf>
    <xf numFmtId="0" fontId="6" fillId="0" borderId="10" xfId="0" applyFont="1" applyBorder="1" applyAlignment="1">
      <alignment horizontal="left" vertical="center" wrapText="1"/>
    </xf>
    <xf numFmtId="0" fontId="6" fillId="0" borderId="13"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65" fontId="2" fillId="0" borderId="0" xfId="0" applyNumberFormat="1" applyFont="1" applyAlignment="1">
      <alignment horizontal="center" vertical="center" wrapText="1"/>
    </xf>
    <xf numFmtId="0" fontId="6" fillId="0" borderId="14" xfId="0" applyFont="1" applyBorder="1" applyAlignment="1">
      <alignment vertical="center" wrapText="1"/>
    </xf>
    <xf numFmtId="0" fontId="12" fillId="0" borderId="1" xfId="0" applyFont="1" applyBorder="1" applyAlignment="1">
      <alignment vertical="center" wrapText="1"/>
    </xf>
    <xf numFmtId="0" fontId="6" fillId="0" borderId="10"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3" xfId="0" applyFont="1" applyBorder="1" applyAlignment="1">
      <alignment horizontal="center" vertical="center" wrapText="1"/>
    </xf>
    <xf numFmtId="0" fontId="11" fillId="12" borderId="2" xfId="0" applyFont="1" applyFill="1" applyBorder="1" applyAlignment="1">
      <alignment horizontal="left" vertical="center" wrapText="1"/>
    </xf>
    <xf numFmtId="0" fontId="11" fillId="12" borderId="3" xfId="0" applyFont="1" applyFill="1" applyBorder="1" applyAlignment="1">
      <alignment horizontal="left" vertical="center" wrapText="1"/>
    </xf>
    <xf numFmtId="0" fontId="11" fillId="12" borderId="2"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1" fillId="0" borderId="0" xfId="0" applyFont="1" applyAlignment="1">
      <alignment vertical="center" wrapText="1"/>
    </xf>
    <xf numFmtId="165" fontId="2" fillId="0" borderId="0" xfId="0" applyNumberFormat="1" applyFont="1" applyAlignment="1">
      <alignment horizontal="center" vertical="center"/>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3" xfId="0" applyFont="1" applyBorder="1" applyAlignment="1">
      <alignment vertical="center" wrapText="1"/>
    </xf>
    <xf numFmtId="0" fontId="6" fillId="0" borderId="16" xfId="0" applyFont="1" applyBorder="1" applyAlignment="1">
      <alignment horizontal="left" vertical="center" wrapText="1"/>
    </xf>
    <xf numFmtId="0" fontId="1" fillId="0" borderId="16" xfId="0" applyFont="1" applyBorder="1" applyAlignment="1">
      <alignment horizontal="left" vertical="center" wrapText="1"/>
    </xf>
    <xf numFmtId="0" fontId="6" fillId="0" borderId="16"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16" xfId="0" applyBorder="1" applyAlignment="1">
      <alignment horizontal="center" vertical="center" wrapText="1"/>
    </xf>
    <xf numFmtId="0" fontId="1" fillId="0" borderId="16" xfId="0" applyFont="1" applyBorder="1" applyAlignment="1">
      <alignment horizontal="center"/>
    </xf>
    <xf numFmtId="0" fontId="0" fillId="12" borderId="16" xfId="0" applyFill="1" applyBorder="1" applyAlignment="1">
      <alignment horizontal="center" vertical="center" wrapText="1"/>
    </xf>
  </cellXfs>
  <cellStyles count="4">
    <cellStyle name="Normal" xfId="0" builtinId="0"/>
    <cellStyle name="Normal 2" xfId="1" xr:uid="{FD719E63-D1F1-44BB-AE06-64D90D8DAE52}"/>
    <cellStyle name="Normal 3" xfId="3" xr:uid="{8BFD65B1-0CC2-4F26-8256-9CB974145A75}"/>
    <cellStyle name="Porcentaje 2" xfId="2" xr:uid="{D45C3AE5-46EC-4E72-9903-01E1ADFC21EB}"/>
  </cellStyles>
  <dxfs count="8">
    <dxf>
      <font>
        <color theme="9" tint="0.39994506668294322"/>
      </font>
    </dxf>
    <dxf>
      <font>
        <color theme="9" tint="-0.24994659260841701"/>
      </font>
    </dxf>
    <dxf>
      <font>
        <color theme="0"/>
      </font>
    </dxf>
    <dxf>
      <font>
        <color theme="9" tint="-0.499984740745262"/>
      </font>
    </dxf>
    <dxf>
      <font>
        <color theme="9" tint="0.39994506668294322"/>
      </font>
    </dxf>
    <dxf>
      <font>
        <color theme="9" tint="-0.24994659260841701"/>
      </font>
    </dxf>
    <dxf>
      <font>
        <color theme="0"/>
      </font>
    </dxf>
    <dxf>
      <font>
        <color theme="9" tint="-0.499984740745262"/>
      </font>
    </dxf>
  </dxfs>
  <tableStyles count="0" defaultTableStyle="TableStyleMedium2" defaultPivotStyle="PivotStyleLight16"/>
  <colors>
    <mruColors>
      <color rgb="FFFFFF66"/>
      <color rgb="FFFFFF99"/>
      <color rgb="FF6DA945"/>
      <color rgb="FF6094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84691731414369"/>
          <c:y val="0.1153818096681577"/>
          <c:w val="0.55513618744676785"/>
          <c:h val="0.80601504138905711"/>
        </c:manualLayout>
      </c:layout>
      <c:radarChart>
        <c:radarStyle val="marker"/>
        <c:varyColors val="0"/>
        <c:ser>
          <c:idx val="0"/>
          <c:order val="0"/>
          <c:spPr>
            <a:ln w="28575" cap="rnd">
              <a:solidFill>
                <a:srgbClr val="FF0000"/>
              </a:solidFill>
              <a:round/>
            </a:ln>
            <a:effectLst/>
          </c:spPr>
          <c:marker>
            <c:symbol val="circle"/>
            <c:size val="5"/>
            <c:spPr>
              <a:solidFill>
                <a:srgbClr val="FF0000"/>
              </a:solidFill>
              <a:ln w="9525">
                <a:solidFill>
                  <a:schemeClr val="accent1"/>
                </a:solidFill>
              </a:ln>
              <a:effectLst/>
            </c:spPr>
          </c:marker>
          <c:cat>
            <c:numRef>
              <c:f>summary!$K$2:$K$11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summary!$P$2:$P$11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7F57-4304-BE03-FF31BC693134}"/>
            </c:ext>
          </c:extLst>
        </c:ser>
        <c:dLbls>
          <c:showLegendKey val="0"/>
          <c:showVal val="0"/>
          <c:showCatName val="0"/>
          <c:showSerName val="0"/>
          <c:showPercent val="0"/>
          <c:showBubbleSize val="0"/>
        </c:dLbls>
        <c:axId val="433537104"/>
        <c:axId val="433536776"/>
      </c:radarChart>
      <c:catAx>
        <c:axId val="43353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Abadi" panose="020B0604020202020204" pitchFamily="34" charset="0"/>
                <a:ea typeface="+mn-ea"/>
                <a:cs typeface="+mn-cs"/>
              </a:defRPr>
            </a:pPr>
            <a:endParaRPr lang="en-US"/>
          </a:p>
        </c:txPr>
        <c:crossAx val="433536776"/>
        <c:crosses val="autoZero"/>
        <c:auto val="1"/>
        <c:lblAlgn val="ctr"/>
        <c:lblOffset val="100"/>
        <c:noMultiLvlLbl val="0"/>
      </c:catAx>
      <c:valAx>
        <c:axId val="433536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3537104"/>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304800</xdr:colOff>
      <xdr:row>23</xdr:row>
      <xdr:rowOff>63499</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7</xdr:row>
      <xdr:rowOff>0</xdr:rowOff>
    </xdr:from>
    <xdr:to>
      <xdr:col>32</xdr:col>
      <xdr:colOff>6350</xdr:colOff>
      <xdr:row>26</xdr:row>
      <xdr:rowOff>497682</xdr:rowOff>
    </xdr:to>
    <xdr:sp macro="" textlink="">
      <xdr:nvSpPr>
        <xdr:cNvPr id="2" name="Group Box 20" hidden="1">
          <a:extLst>
            <a:ext uri="{63B3BB69-23CF-44E3-9099-C40C66FF867C}">
              <a14:compatExt xmlns:a14="http://schemas.microsoft.com/office/drawing/2010/main" spid="_x0000_s2068"/>
            </a:ext>
            <a:ext uri="{FF2B5EF4-FFF2-40B4-BE49-F238E27FC236}">
              <a16:creationId xmlns:a16="http://schemas.microsoft.com/office/drawing/2014/main" id="{C25E3A4D-7ACC-4A10-91CC-25D02CBE7DDD}"/>
            </a:ext>
          </a:extLst>
        </xdr:cNvPr>
        <xdr:cNvSpPr/>
      </xdr:nvSpPr>
      <xdr:spPr bwMode="auto">
        <a:xfrm>
          <a:off x="19326225" y="3543300"/>
          <a:ext cx="13417550"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3" name="Option Button 30" hidden="1">
          <a:extLst>
            <a:ext uri="{63B3BB69-23CF-44E3-9099-C40C66FF867C}">
              <a14:compatExt xmlns:a14="http://schemas.microsoft.com/office/drawing/2010/main" spid="_x0000_s2078"/>
            </a:ext>
            <a:ext uri="{FF2B5EF4-FFF2-40B4-BE49-F238E27FC236}">
              <a16:creationId xmlns:a16="http://schemas.microsoft.com/office/drawing/2014/main" id="{0311536E-20D9-4FD9-A2F8-1B131BD3BA3D}"/>
            </a:ext>
            <a:ext uri="{147F2762-F138-4A5C-976F-8EAC2B608ADB}">
              <a16:predDERef xmlns:a16="http://schemas.microsoft.com/office/drawing/2014/main" pred="{00000000-0008-0000-0200-000014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4" name="Option Button 32" hidden="1">
          <a:extLst>
            <a:ext uri="{63B3BB69-23CF-44E3-9099-C40C66FF867C}">
              <a14:compatExt xmlns:a14="http://schemas.microsoft.com/office/drawing/2010/main" spid="_x0000_s2080"/>
            </a:ext>
            <a:ext uri="{FF2B5EF4-FFF2-40B4-BE49-F238E27FC236}">
              <a16:creationId xmlns:a16="http://schemas.microsoft.com/office/drawing/2014/main" id="{7021CDA5-4F79-49BD-99A4-2B17A26CB8BF}"/>
            </a:ext>
            <a:ext uri="{147F2762-F138-4A5C-976F-8EAC2B608ADB}">
              <a16:predDERef xmlns:a16="http://schemas.microsoft.com/office/drawing/2014/main" pred="{00000000-0008-0000-0200-00001E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5" name="Option Button 34" hidden="1">
          <a:extLst>
            <a:ext uri="{63B3BB69-23CF-44E3-9099-C40C66FF867C}">
              <a14:compatExt xmlns:a14="http://schemas.microsoft.com/office/drawing/2010/main" spid="_x0000_s2082"/>
            </a:ext>
            <a:ext uri="{FF2B5EF4-FFF2-40B4-BE49-F238E27FC236}">
              <a16:creationId xmlns:a16="http://schemas.microsoft.com/office/drawing/2014/main" id="{355F6F2A-A5D8-4BFB-94FC-6C3FDF0B76AF}"/>
            </a:ext>
            <a:ext uri="{147F2762-F138-4A5C-976F-8EAC2B608ADB}">
              <a16:predDERef xmlns:a16="http://schemas.microsoft.com/office/drawing/2014/main" pred="{00000000-0008-0000-0200-000020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7</xdr:row>
      <xdr:rowOff>0</xdr:rowOff>
    </xdr:from>
    <xdr:to>
      <xdr:col>11</xdr:col>
      <xdr:colOff>438151</xdr:colOff>
      <xdr:row>26</xdr:row>
      <xdr:rowOff>326232</xdr:rowOff>
    </xdr:to>
    <xdr:sp macro="" textlink="">
      <xdr:nvSpPr>
        <xdr:cNvPr id="6" name="Option Button 36" hidden="1">
          <a:extLst>
            <a:ext uri="{63B3BB69-23CF-44E3-9099-C40C66FF867C}">
              <a14:compatExt xmlns:a14="http://schemas.microsoft.com/office/drawing/2010/main" spid="_x0000_s2084"/>
            </a:ext>
            <a:ext uri="{FF2B5EF4-FFF2-40B4-BE49-F238E27FC236}">
              <a16:creationId xmlns:a16="http://schemas.microsoft.com/office/drawing/2014/main" id="{1E1DD0FF-DDAB-4A58-A54D-6308EBADFA3B}"/>
            </a:ext>
            <a:ext uri="{147F2762-F138-4A5C-976F-8EAC2B608ADB}">
              <a16:predDERef xmlns:a16="http://schemas.microsoft.com/office/drawing/2014/main" pred="{00000000-0008-0000-0200-000022080000}"/>
            </a:ext>
          </a:extLst>
        </xdr:cNvPr>
        <xdr:cNvSpPr/>
      </xdr:nvSpPr>
      <xdr:spPr bwMode="auto">
        <a:xfrm>
          <a:off x="19326225" y="35433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32</xdr:col>
      <xdr:colOff>6350</xdr:colOff>
      <xdr:row>32</xdr:row>
      <xdr:rowOff>599282</xdr:rowOff>
    </xdr:to>
    <xdr:sp macro="" textlink="">
      <xdr:nvSpPr>
        <xdr:cNvPr id="7" name="Group Box 37" hidden="1">
          <a:extLst>
            <a:ext uri="{63B3BB69-23CF-44E3-9099-C40C66FF867C}">
              <a14:compatExt xmlns:a14="http://schemas.microsoft.com/office/drawing/2010/main" spid="_x0000_s2085"/>
            </a:ext>
            <a:ext uri="{FF2B5EF4-FFF2-40B4-BE49-F238E27FC236}">
              <a16:creationId xmlns:a16="http://schemas.microsoft.com/office/drawing/2014/main" id="{95050B08-725D-47D7-A450-FB1F0A2791A0}"/>
            </a:ext>
            <a:ext uri="{147F2762-F138-4A5C-976F-8EAC2B608ADB}">
              <a16:predDERef xmlns:a16="http://schemas.microsoft.com/office/drawing/2014/main" pred="{00000000-0008-0000-0200-000024080000}"/>
            </a:ext>
          </a:extLst>
        </xdr:cNvPr>
        <xdr:cNvSpPr/>
      </xdr:nvSpPr>
      <xdr:spPr bwMode="auto">
        <a:xfrm>
          <a:off x="19326225" y="1049655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25</xdr:row>
      <xdr:rowOff>0</xdr:rowOff>
    </xdr:from>
    <xdr:to>
      <xdr:col>32</xdr:col>
      <xdr:colOff>6350</xdr:colOff>
      <xdr:row>32</xdr:row>
      <xdr:rowOff>599282</xdr:rowOff>
    </xdr:to>
    <xdr:sp macro="" textlink="">
      <xdr:nvSpPr>
        <xdr:cNvPr id="8" name="Group Box 42" hidden="1">
          <a:extLst>
            <a:ext uri="{63B3BB69-23CF-44E3-9099-C40C66FF867C}">
              <a14:compatExt xmlns:a14="http://schemas.microsoft.com/office/drawing/2010/main" spid="_x0000_s2090"/>
            </a:ext>
            <a:ext uri="{FF2B5EF4-FFF2-40B4-BE49-F238E27FC236}">
              <a16:creationId xmlns:a16="http://schemas.microsoft.com/office/drawing/2014/main" id="{03FEA10C-5377-4C41-A93F-D66F6D3D838D}"/>
            </a:ext>
            <a:ext uri="{147F2762-F138-4A5C-976F-8EAC2B608ADB}">
              <a16:predDERef xmlns:a16="http://schemas.microsoft.com/office/drawing/2014/main" pred="{00000000-0008-0000-0200-000025080000}"/>
            </a:ext>
          </a:extLst>
        </xdr:cNvPr>
        <xdr:cNvSpPr/>
      </xdr:nvSpPr>
      <xdr:spPr bwMode="auto">
        <a:xfrm>
          <a:off x="19326225" y="1049655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9" name="Option Button 51" hidden="1">
          <a:extLst>
            <a:ext uri="{63B3BB69-23CF-44E3-9099-C40C66FF867C}">
              <a14:compatExt xmlns:a14="http://schemas.microsoft.com/office/drawing/2010/main" spid="_x0000_s2099"/>
            </a:ext>
            <a:ext uri="{FF2B5EF4-FFF2-40B4-BE49-F238E27FC236}">
              <a16:creationId xmlns:a16="http://schemas.microsoft.com/office/drawing/2014/main" id="{C3449219-FBCA-4C6E-8720-92ADDDF46140}"/>
            </a:ext>
            <a:ext uri="{147F2762-F138-4A5C-976F-8EAC2B608ADB}">
              <a16:predDERef xmlns:a16="http://schemas.microsoft.com/office/drawing/2014/main" pred="{00000000-0008-0000-0200-00002A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0" name="Option Button 52" hidden="1">
          <a:extLst>
            <a:ext uri="{63B3BB69-23CF-44E3-9099-C40C66FF867C}">
              <a14:compatExt xmlns:a14="http://schemas.microsoft.com/office/drawing/2010/main" spid="_x0000_s2100"/>
            </a:ext>
            <a:ext uri="{FF2B5EF4-FFF2-40B4-BE49-F238E27FC236}">
              <a16:creationId xmlns:a16="http://schemas.microsoft.com/office/drawing/2014/main" id="{B6F94241-D935-4F4E-8AFD-9445A7C7D48D}"/>
            </a:ext>
            <a:ext uri="{147F2762-F138-4A5C-976F-8EAC2B608ADB}">
              <a16:predDERef xmlns:a16="http://schemas.microsoft.com/office/drawing/2014/main" pred="{00000000-0008-0000-0200-000033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1" name="Option Button 53" hidden="1">
          <a:extLst>
            <a:ext uri="{63B3BB69-23CF-44E3-9099-C40C66FF867C}">
              <a14:compatExt xmlns:a14="http://schemas.microsoft.com/office/drawing/2010/main" spid="_x0000_s2101"/>
            </a:ext>
            <a:ext uri="{FF2B5EF4-FFF2-40B4-BE49-F238E27FC236}">
              <a16:creationId xmlns:a16="http://schemas.microsoft.com/office/drawing/2014/main" id="{EC00522B-ED36-4D5E-84A8-F31795EC9D4A}"/>
            </a:ext>
            <a:ext uri="{147F2762-F138-4A5C-976F-8EAC2B608ADB}">
              <a16:predDERef xmlns:a16="http://schemas.microsoft.com/office/drawing/2014/main" pred="{00000000-0008-0000-0200-000034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2" name="Option Button 54" hidden="1">
          <a:extLst>
            <a:ext uri="{63B3BB69-23CF-44E3-9099-C40C66FF867C}">
              <a14:compatExt xmlns:a14="http://schemas.microsoft.com/office/drawing/2010/main" spid="_x0000_s2102"/>
            </a:ext>
            <a:ext uri="{FF2B5EF4-FFF2-40B4-BE49-F238E27FC236}">
              <a16:creationId xmlns:a16="http://schemas.microsoft.com/office/drawing/2014/main" id="{2E96BE2B-1A73-4353-87D4-1A9FC1DA3CC3}"/>
            </a:ext>
            <a:ext uri="{147F2762-F138-4A5C-976F-8EAC2B608ADB}">
              <a16:predDERef xmlns:a16="http://schemas.microsoft.com/office/drawing/2014/main" pred="{00000000-0008-0000-0200-000035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3" name="Option Button 59" hidden="1">
          <a:extLst>
            <a:ext uri="{63B3BB69-23CF-44E3-9099-C40C66FF867C}">
              <a14:compatExt xmlns:a14="http://schemas.microsoft.com/office/drawing/2010/main" spid="_x0000_s2107"/>
            </a:ext>
            <a:ext uri="{FF2B5EF4-FFF2-40B4-BE49-F238E27FC236}">
              <a16:creationId xmlns:a16="http://schemas.microsoft.com/office/drawing/2014/main" id="{26A20BEA-7100-4AC4-AE16-F46CF69D4474}"/>
            </a:ext>
            <a:ext uri="{147F2762-F138-4A5C-976F-8EAC2B608ADB}">
              <a16:predDERef xmlns:a16="http://schemas.microsoft.com/office/drawing/2014/main" pred="{00000000-0008-0000-0200-000036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4" name="Option Button 60" hidden="1">
          <a:extLst>
            <a:ext uri="{63B3BB69-23CF-44E3-9099-C40C66FF867C}">
              <a14:compatExt xmlns:a14="http://schemas.microsoft.com/office/drawing/2010/main" spid="_x0000_s2108"/>
            </a:ext>
            <a:ext uri="{FF2B5EF4-FFF2-40B4-BE49-F238E27FC236}">
              <a16:creationId xmlns:a16="http://schemas.microsoft.com/office/drawing/2014/main" id="{B66EA1AE-26E4-44BE-AE6F-C082B1ADFCDF}"/>
            </a:ext>
            <a:ext uri="{147F2762-F138-4A5C-976F-8EAC2B608ADB}">
              <a16:predDERef xmlns:a16="http://schemas.microsoft.com/office/drawing/2014/main" pred="{00000000-0008-0000-0200-00003B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5" name="Option Button 61" hidden="1">
          <a:extLst>
            <a:ext uri="{63B3BB69-23CF-44E3-9099-C40C66FF867C}">
              <a14:compatExt xmlns:a14="http://schemas.microsoft.com/office/drawing/2010/main" spid="_x0000_s2109"/>
            </a:ext>
            <a:ext uri="{FF2B5EF4-FFF2-40B4-BE49-F238E27FC236}">
              <a16:creationId xmlns:a16="http://schemas.microsoft.com/office/drawing/2014/main" id="{27837999-58C5-4F91-BC84-8176A63F6FC8}"/>
            </a:ext>
            <a:ext uri="{147F2762-F138-4A5C-976F-8EAC2B608ADB}">
              <a16:predDERef xmlns:a16="http://schemas.microsoft.com/office/drawing/2014/main" pred="{00000000-0008-0000-0200-00003C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25</xdr:row>
      <xdr:rowOff>0</xdr:rowOff>
    </xdr:from>
    <xdr:to>
      <xdr:col>11</xdr:col>
      <xdr:colOff>438151</xdr:colOff>
      <xdr:row>32</xdr:row>
      <xdr:rowOff>435769</xdr:rowOff>
    </xdr:to>
    <xdr:sp macro="" textlink="">
      <xdr:nvSpPr>
        <xdr:cNvPr id="16" name="Option Button 62" hidden="1">
          <a:extLst>
            <a:ext uri="{63B3BB69-23CF-44E3-9099-C40C66FF867C}">
              <a14:compatExt xmlns:a14="http://schemas.microsoft.com/office/drawing/2010/main" spid="_x0000_s2110"/>
            </a:ext>
            <a:ext uri="{FF2B5EF4-FFF2-40B4-BE49-F238E27FC236}">
              <a16:creationId xmlns:a16="http://schemas.microsoft.com/office/drawing/2014/main" id="{FE231A77-A5D8-492B-89E0-5C936F7246AD}"/>
            </a:ext>
            <a:ext uri="{147F2762-F138-4A5C-976F-8EAC2B608ADB}">
              <a16:predDERef xmlns:a16="http://schemas.microsoft.com/office/drawing/2014/main" pred="{00000000-0008-0000-0200-00003D080000}"/>
            </a:ext>
          </a:extLst>
        </xdr:cNvPr>
        <xdr:cNvSpPr/>
      </xdr:nvSpPr>
      <xdr:spPr bwMode="auto">
        <a:xfrm>
          <a:off x="19326225" y="104965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32</xdr:col>
      <xdr:colOff>6350</xdr:colOff>
      <xdr:row>59</xdr:row>
      <xdr:rowOff>571501</xdr:rowOff>
    </xdr:to>
    <xdr:sp macro="" textlink="">
      <xdr:nvSpPr>
        <xdr:cNvPr id="17" name="Group Box 63" hidden="1">
          <a:extLst>
            <a:ext uri="{63B3BB69-23CF-44E3-9099-C40C66FF867C}">
              <a14:compatExt xmlns:a14="http://schemas.microsoft.com/office/drawing/2010/main" spid="_x0000_s2111"/>
            </a:ext>
            <a:ext uri="{FF2B5EF4-FFF2-40B4-BE49-F238E27FC236}">
              <a16:creationId xmlns:a16="http://schemas.microsoft.com/office/drawing/2014/main" id="{C5A4F4BA-A819-4165-975E-C801C29F80D8}"/>
            </a:ext>
            <a:ext uri="{147F2762-F138-4A5C-976F-8EAC2B608ADB}">
              <a16:predDERef xmlns:a16="http://schemas.microsoft.com/office/drawing/2014/main" pred="{00000000-0008-0000-0200-00003E080000}"/>
            </a:ext>
          </a:extLst>
        </xdr:cNvPr>
        <xdr:cNvSpPr/>
      </xdr:nvSpPr>
      <xdr:spPr bwMode="auto">
        <a:xfrm>
          <a:off x="19326225" y="15601950"/>
          <a:ext cx="13417550"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18" name="Option Button 64" hidden="1">
          <a:extLst>
            <a:ext uri="{63B3BB69-23CF-44E3-9099-C40C66FF867C}">
              <a14:compatExt xmlns:a14="http://schemas.microsoft.com/office/drawing/2010/main" spid="_x0000_s2112"/>
            </a:ext>
            <a:ext uri="{FF2B5EF4-FFF2-40B4-BE49-F238E27FC236}">
              <a16:creationId xmlns:a16="http://schemas.microsoft.com/office/drawing/2014/main" id="{23AEAAE4-9E91-4F43-B6A3-5F36D905A0CF}"/>
            </a:ext>
            <a:ext uri="{147F2762-F138-4A5C-976F-8EAC2B608ADB}">
              <a16:predDERef xmlns:a16="http://schemas.microsoft.com/office/drawing/2014/main" pred="{00000000-0008-0000-0200-00003F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19" name="Option Button 65" hidden="1">
          <a:extLst>
            <a:ext uri="{63B3BB69-23CF-44E3-9099-C40C66FF867C}">
              <a14:compatExt xmlns:a14="http://schemas.microsoft.com/office/drawing/2010/main" spid="_x0000_s2113"/>
            </a:ext>
            <a:ext uri="{FF2B5EF4-FFF2-40B4-BE49-F238E27FC236}">
              <a16:creationId xmlns:a16="http://schemas.microsoft.com/office/drawing/2014/main" id="{09B6BCF6-F19A-4700-B3D4-576DEC3CC4C5}"/>
            </a:ext>
            <a:ext uri="{147F2762-F138-4A5C-976F-8EAC2B608ADB}">
              <a16:predDERef xmlns:a16="http://schemas.microsoft.com/office/drawing/2014/main" pred="{00000000-0008-0000-0200-000040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20" name="Option Button 66" hidden="1">
          <a:extLst>
            <a:ext uri="{63B3BB69-23CF-44E3-9099-C40C66FF867C}">
              <a14:compatExt xmlns:a14="http://schemas.microsoft.com/office/drawing/2010/main" spid="_x0000_s2114"/>
            </a:ext>
            <a:ext uri="{FF2B5EF4-FFF2-40B4-BE49-F238E27FC236}">
              <a16:creationId xmlns:a16="http://schemas.microsoft.com/office/drawing/2014/main" id="{65FC7FC9-F0C1-40F9-A8DF-884F9F214415}"/>
            </a:ext>
            <a:ext uri="{147F2762-F138-4A5C-976F-8EAC2B608ADB}">
              <a16:predDERef xmlns:a16="http://schemas.microsoft.com/office/drawing/2014/main" pred="{00000000-0008-0000-0200-000041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0</xdr:rowOff>
    </xdr:from>
    <xdr:to>
      <xdr:col>11</xdr:col>
      <xdr:colOff>438151</xdr:colOff>
      <xdr:row>59</xdr:row>
      <xdr:rowOff>400051</xdr:rowOff>
    </xdr:to>
    <xdr:sp macro="" textlink="">
      <xdr:nvSpPr>
        <xdr:cNvPr id="21" name="Option Button 67" hidden="1">
          <a:extLst>
            <a:ext uri="{63B3BB69-23CF-44E3-9099-C40C66FF867C}">
              <a14:compatExt xmlns:a14="http://schemas.microsoft.com/office/drawing/2010/main" spid="_x0000_s2115"/>
            </a:ext>
            <a:ext uri="{FF2B5EF4-FFF2-40B4-BE49-F238E27FC236}">
              <a16:creationId xmlns:a16="http://schemas.microsoft.com/office/drawing/2014/main" id="{83DA4C3B-2E97-4AEA-89F8-BCD5F7840A8D}"/>
            </a:ext>
            <a:ext uri="{147F2762-F138-4A5C-976F-8EAC2B608ADB}">
              <a16:predDERef xmlns:a16="http://schemas.microsoft.com/office/drawing/2014/main" pred="{00000000-0008-0000-0200-000042080000}"/>
            </a:ext>
          </a:extLst>
        </xdr:cNvPr>
        <xdr:cNvSpPr/>
      </xdr:nvSpPr>
      <xdr:spPr bwMode="auto">
        <a:xfrm>
          <a:off x="19326225" y="156019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32</xdr:col>
      <xdr:colOff>6350</xdr:colOff>
      <xdr:row>79</xdr:row>
      <xdr:rowOff>236310</xdr:rowOff>
    </xdr:to>
    <xdr:sp macro="" textlink="">
      <xdr:nvSpPr>
        <xdr:cNvPr id="22" name="Group Box 68" hidden="1">
          <a:extLst>
            <a:ext uri="{63B3BB69-23CF-44E3-9099-C40C66FF867C}">
              <a14:compatExt xmlns:a14="http://schemas.microsoft.com/office/drawing/2010/main" spid="_x0000_s2116"/>
            </a:ext>
            <a:ext uri="{FF2B5EF4-FFF2-40B4-BE49-F238E27FC236}">
              <a16:creationId xmlns:a16="http://schemas.microsoft.com/office/drawing/2014/main" id="{67EF33BC-9E33-4EA6-98A1-079E0AD10BD6}"/>
            </a:ext>
            <a:ext uri="{147F2762-F138-4A5C-976F-8EAC2B608ADB}">
              <a16:predDERef xmlns:a16="http://schemas.microsoft.com/office/drawing/2014/main" pred="{00000000-0008-0000-0200-000043080000}"/>
            </a:ext>
          </a:extLst>
        </xdr:cNvPr>
        <xdr:cNvSpPr/>
      </xdr:nvSpPr>
      <xdr:spPr bwMode="auto">
        <a:xfrm>
          <a:off x="19326225" y="27736800"/>
          <a:ext cx="13417550" cy="379186"/>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3" name="Option Button 69" hidden="1">
          <a:extLst>
            <a:ext uri="{63B3BB69-23CF-44E3-9099-C40C66FF867C}">
              <a14:compatExt xmlns:a14="http://schemas.microsoft.com/office/drawing/2010/main" spid="_x0000_s2117"/>
            </a:ext>
            <a:ext uri="{FF2B5EF4-FFF2-40B4-BE49-F238E27FC236}">
              <a16:creationId xmlns:a16="http://schemas.microsoft.com/office/drawing/2014/main" id="{7543C8D2-CAD5-41CA-A1B6-2A76360A42E1}"/>
            </a:ext>
            <a:ext uri="{147F2762-F138-4A5C-976F-8EAC2B608ADB}">
              <a16:predDERef xmlns:a16="http://schemas.microsoft.com/office/drawing/2014/main" pred="{00000000-0008-0000-0200-000044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4" name="Option Button 70" hidden="1">
          <a:extLst>
            <a:ext uri="{63B3BB69-23CF-44E3-9099-C40C66FF867C}">
              <a14:compatExt xmlns:a14="http://schemas.microsoft.com/office/drawing/2010/main" spid="_x0000_s2118"/>
            </a:ext>
            <a:ext uri="{FF2B5EF4-FFF2-40B4-BE49-F238E27FC236}">
              <a16:creationId xmlns:a16="http://schemas.microsoft.com/office/drawing/2014/main" id="{3D626BA0-A2B8-4528-9D06-888B6518587C}"/>
            </a:ext>
            <a:ext uri="{147F2762-F138-4A5C-976F-8EAC2B608ADB}">
              <a16:predDERef xmlns:a16="http://schemas.microsoft.com/office/drawing/2014/main" pred="{00000000-0008-0000-0200-000045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5" name="Option Button 71" hidden="1">
          <a:extLst>
            <a:ext uri="{63B3BB69-23CF-44E3-9099-C40C66FF867C}">
              <a14:compatExt xmlns:a14="http://schemas.microsoft.com/office/drawing/2010/main" spid="_x0000_s2119"/>
            </a:ext>
            <a:ext uri="{FF2B5EF4-FFF2-40B4-BE49-F238E27FC236}">
              <a16:creationId xmlns:a16="http://schemas.microsoft.com/office/drawing/2014/main" id="{2B88DC1A-DEA4-4729-BA66-03129997A7FD}"/>
            </a:ext>
            <a:ext uri="{147F2762-F138-4A5C-976F-8EAC2B608ADB}">
              <a16:predDERef xmlns:a16="http://schemas.microsoft.com/office/drawing/2014/main" pred="{00000000-0008-0000-0200-000046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48</xdr:row>
      <xdr:rowOff>0</xdr:rowOff>
    </xdr:from>
    <xdr:to>
      <xdr:col>11</xdr:col>
      <xdr:colOff>438151</xdr:colOff>
      <xdr:row>79</xdr:row>
      <xdr:rowOff>71437</xdr:rowOff>
    </xdr:to>
    <xdr:sp macro="" textlink="">
      <xdr:nvSpPr>
        <xdr:cNvPr id="26" name="Option Button 72" hidden="1">
          <a:extLst>
            <a:ext uri="{63B3BB69-23CF-44E3-9099-C40C66FF867C}">
              <a14:compatExt xmlns:a14="http://schemas.microsoft.com/office/drawing/2010/main" spid="_x0000_s2120"/>
            </a:ext>
            <a:ext uri="{FF2B5EF4-FFF2-40B4-BE49-F238E27FC236}">
              <a16:creationId xmlns:a16="http://schemas.microsoft.com/office/drawing/2014/main" id="{ECA59434-07EC-4F60-97DC-5E3751966797}"/>
            </a:ext>
            <a:ext uri="{147F2762-F138-4A5C-976F-8EAC2B608ADB}">
              <a16:predDERef xmlns:a16="http://schemas.microsoft.com/office/drawing/2014/main" pred="{00000000-0008-0000-0200-000047080000}"/>
            </a:ext>
          </a:extLst>
        </xdr:cNvPr>
        <xdr:cNvSpPr/>
      </xdr:nvSpPr>
      <xdr:spPr bwMode="auto">
        <a:xfrm>
          <a:off x="19326225" y="277368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32</xdr:col>
      <xdr:colOff>6350</xdr:colOff>
      <xdr:row>61</xdr:row>
      <xdr:rowOff>413544</xdr:rowOff>
    </xdr:to>
    <xdr:sp macro="" textlink="">
      <xdr:nvSpPr>
        <xdr:cNvPr id="27" name="Group Box 73" hidden="1">
          <a:extLst>
            <a:ext uri="{63B3BB69-23CF-44E3-9099-C40C66FF867C}">
              <a14:compatExt xmlns:a14="http://schemas.microsoft.com/office/drawing/2010/main" spid="_x0000_s2121"/>
            </a:ext>
            <a:ext uri="{FF2B5EF4-FFF2-40B4-BE49-F238E27FC236}">
              <a16:creationId xmlns:a16="http://schemas.microsoft.com/office/drawing/2014/main" id="{B776E95E-620F-4C39-9394-FBEA6903400C}"/>
            </a:ext>
            <a:ext uri="{147F2762-F138-4A5C-976F-8EAC2B608ADB}">
              <a16:predDERef xmlns:a16="http://schemas.microsoft.com/office/drawing/2014/main" pred="{00000000-0008-0000-0200-000048080000}"/>
            </a:ext>
          </a:extLst>
        </xdr:cNvPr>
        <xdr:cNvSpPr/>
      </xdr:nvSpPr>
      <xdr:spPr bwMode="auto">
        <a:xfrm>
          <a:off x="19326225" y="37090350"/>
          <a:ext cx="13417550" cy="42545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28" name="Option Button 74" hidden="1">
          <a:extLst>
            <a:ext uri="{63B3BB69-23CF-44E3-9099-C40C66FF867C}">
              <a14:compatExt xmlns:a14="http://schemas.microsoft.com/office/drawing/2010/main" spid="_x0000_s2122"/>
            </a:ext>
            <a:ext uri="{FF2B5EF4-FFF2-40B4-BE49-F238E27FC236}">
              <a16:creationId xmlns:a16="http://schemas.microsoft.com/office/drawing/2014/main" id="{52CFE656-ECB4-4089-8B7F-C490F850025C}"/>
            </a:ext>
            <a:ext uri="{147F2762-F138-4A5C-976F-8EAC2B608ADB}">
              <a16:predDERef xmlns:a16="http://schemas.microsoft.com/office/drawing/2014/main" pred="{00000000-0008-0000-0200-000049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29" name="Option Button 75" hidden="1">
          <a:extLst>
            <a:ext uri="{63B3BB69-23CF-44E3-9099-C40C66FF867C}">
              <a14:compatExt xmlns:a14="http://schemas.microsoft.com/office/drawing/2010/main" spid="_x0000_s2123"/>
            </a:ext>
            <a:ext uri="{FF2B5EF4-FFF2-40B4-BE49-F238E27FC236}">
              <a16:creationId xmlns:a16="http://schemas.microsoft.com/office/drawing/2014/main" id="{B5C893F0-C716-41E0-A187-F7268101CAAD}"/>
            </a:ext>
            <a:ext uri="{147F2762-F138-4A5C-976F-8EAC2B608ADB}">
              <a16:predDERef xmlns:a16="http://schemas.microsoft.com/office/drawing/2014/main" pred="{00000000-0008-0000-0200-00004A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30" name="Option Button 76" hidden="1">
          <a:extLst>
            <a:ext uri="{63B3BB69-23CF-44E3-9099-C40C66FF867C}">
              <a14:compatExt xmlns:a14="http://schemas.microsoft.com/office/drawing/2010/main" spid="_x0000_s2124"/>
            </a:ext>
            <a:ext uri="{FF2B5EF4-FFF2-40B4-BE49-F238E27FC236}">
              <a16:creationId xmlns:a16="http://schemas.microsoft.com/office/drawing/2014/main" id="{43FBECB2-3BFB-45F7-BB14-D5BDE26E0D54}"/>
            </a:ext>
            <a:ext uri="{147F2762-F138-4A5C-976F-8EAC2B608ADB}">
              <a16:predDERef xmlns:a16="http://schemas.microsoft.com/office/drawing/2014/main" pred="{00000000-0008-0000-0200-00004B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56</xdr:row>
      <xdr:rowOff>0</xdr:rowOff>
    </xdr:from>
    <xdr:to>
      <xdr:col>11</xdr:col>
      <xdr:colOff>438151</xdr:colOff>
      <xdr:row>61</xdr:row>
      <xdr:rowOff>197644</xdr:rowOff>
    </xdr:to>
    <xdr:sp macro="" textlink="">
      <xdr:nvSpPr>
        <xdr:cNvPr id="31" name="Option Button 77" hidden="1">
          <a:extLst>
            <a:ext uri="{63B3BB69-23CF-44E3-9099-C40C66FF867C}">
              <a14:compatExt xmlns:a14="http://schemas.microsoft.com/office/drawing/2010/main" spid="_x0000_s2125"/>
            </a:ext>
            <a:ext uri="{FF2B5EF4-FFF2-40B4-BE49-F238E27FC236}">
              <a16:creationId xmlns:a16="http://schemas.microsoft.com/office/drawing/2014/main" id="{2A62069E-E7F0-44AA-9530-7782E2378A83}"/>
            </a:ext>
            <a:ext uri="{147F2762-F138-4A5C-976F-8EAC2B608ADB}">
              <a16:predDERef xmlns:a16="http://schemas.microsoft.com/office/drawing/2014/main" pred="{00000000-0008-0000-0200-00004C080000}"/>
            </a:ext>
          </a:extLst>
        </xdr:cNvPr>
        <xdr:cNvSpPr/>
      </xdr:nvSpPr>
      <xdr:spPr bwMode="auto">
        <a:xfrm>
          <a:off x="19326225" y="3709035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32</xdr:col>
      <xdr:colOff>6350</xdr:colOff>
      <xdr:row>61</xdr:row>
      <xdr:rowOff>365918</xdr:rowOff>
    </xdr:to>
    <xdr:sp macro="" textlink="">
      <xdr:nvSpPr>
        <xdr:cNvPr id="32" name="Group Box 78" hidden="1">
          <a:extLst>
            <a:ext uri="{63B3BB69-23CF-44E3-9099-C40C66FF867C}">
              <a14:compatExt xmlns:a14="http://schemas.microsoft.com/office/drawing/2010/main" spid="_x0000_s2126"/>
            </a:ext>
            <a:ext uri="{FF2B5EF4-FFF2-40B4-BE49-F238E27FC236}">
              <a16:creationId xmlns:a16="http://schemas.microsoft.com/office/drawing/2014/main" id="{6EDEAFA9-A0C7-4B47-A73E-79E3E647E568}"/>
            </a:ext>
            <a:ext uri="{147F2762-F138-4A5C-976F-8EAC2B608ADB}">
              <a16:predDERef xmlns:a16="http://schemas.microsoft.com/office/drawing/2014/main" pred="{00000000-0008-0000-0200-00004D080000}"/>
            </a:ext>
          </a:extLst>
        </xdr:cNvPr>
        <xdr:cNvSpPr/>
      </xdr:nvSpPr>
      <xdr:spPr bwMode="auto">
        <a:xfrm>
          <a:off x="19326225" y="3821430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3" name="Option Button 79" hidden="1">
          <a:extLst>
            <a:ext uri="{63B3BB69-23CF-44E3-9099-C40C66FF867C}">
              <a14:compatExt xmlns:a14="http://schemas.microsoft.com/office/drawing/2010/main" spid="_x0000_s2127"/>
            </a:ext>
            <a:ext uri="{FF2B5EF4-FFF2-40B4-BE49-F238E27FC236}">
              <a16:creationId xmlns:a16="http://schemas.microsoft.com/office/drawing/2014/main" id="{A8B6AB48-C2A1-4C15-BB21-DD25851F3B8F}"/>
            </a:ext>
            <a:ext uri="{147F2762-F138-4A5C-976F-8EAC2B608ADB}">
              <a16:predDERef xmlns:a16="http://schemas.microsoft.com/office/drawing/2014/main" pred="{00000000-0008-0000-0200-00004E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4" name="Option Button 80" hidden="1">
          <a:extLst>
            <a:ext uri="{63B3BB69-23CF-44E3-9099-C40C66FF867C}">
              <a14:compatExt xmlns:a14="http://schemas.microsoft.com/office/drawing/2010/main" spid="_x0000_s2128"/>
            </a:ext>
            <a:ext uri="{FF2B5EF4-FFF2-40B4-BE49-F238E27FC236}">
              <a16:creationId xmlns:a16="http://schemas.microsoft.com/office/drawing/2014/main" id="{A7246903-B8B8-4CD1-8682-D9321987F2A9}"/>
            </a:ext>
            <a:ext uri="{147F2762-F138-4A5C-976F-8EAC2B608ADB}">
              <a16:predDERef xmlns:a16="http://schemas.microsoft.com/office/drawing/2014/main" pred="{00000000-0008-0000-0200-00004F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5" name="Option Button 81" hidden="1">
          <a:extLst>
            <a:ext uri="{63B3BB69-23CF-44E3-9099-C40C66FF867C}">
              <a14:compatExt xmlns:a14="http://schemas.microsoft.com/office/drawing/2010/main" spid="_x0000_s2129"/>
            </a:ext>
            <a:ext uri="{FF2B5EF4-FFF2-40B4-BE49-F238E27FC236}">
              <a16:creationId xmlns:a16="http://schemas.microsoft.com/office/drawing/2014/main" id="{07A25210-2F89-4595-817A-C423CBBC51AB}"/>
            </a:ext>
            <a:ext uri="{147F2762-F138-4A5C-976F-8EAC2B608ADB}">
              <a16:predDERef xmlns:a16="http://schemas.microsoft.com/office/drawing/2014/main" pred="{00000000-0008-0000-0200-000050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57</xdr:row>
      <xdr:rowOff>0</xdr:rowOff>
    </xdr:from>
    <xdr:to>
      <xdr:col>11</xdr:col>
      <xdr:colOff>438151</xdr:colOff>
      <xdr:row>61</xdr:row>
      <xdr:rowOff>194469</xdr:rowOff>
    </xdr:to>
    <xdr:sp macro="" textlink="">
      <xdr:nvSpPr>
        <xdr:cNvPr id="36" name="Option Button 82" hidden="1">
          <a:extLst>
            <a:ext uri="{63B3BB69-23CF-44E3-9099-C40C66FF867C}">
              <a14:compatExt xmlns:a14="http://schemas.microsoft.com/office/drawing/2010/main" spid="_x0000_s2130"/>
            </a:ext>
            <a:ext uri="{FF2B5EF4-FFF2-40B4-BE49-F238E27FC236}">
              <a16:creationId xmlns:a16="http://schemas.microsoft.com/office/drawing/2014/main" id="{904DD5BF-5820-4C37-8979-B4F7DC412107}"/>
            </a:ext>
            <a:ext uri="{147F2762-F138-4A5C-976F-8EAC2B608ADB}">
              <a16:predDERef xmlns:a16="http://schemas.microsoft.com/office/drawing/2014/main" pred="{00000000-0008-0000-0200-000051080000}"/>
            </a:ext>
          </a:extLst>
        </xdr:cNvPr>
        <xdr:cNvSpPr/>
      </xdr:nvSpPr>
      <xdr:spPr bwMode="auto">
        <a:xfrm>
          <a:off x="19326225" y="382143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32</xdr:col>
      <xdr:colOff>6350</xdr:colOff>
      <xdr:row>72</xdr:row>
      <xdr:rowOff>120649</xdr:rowOff>
    </xdr:to>
    <xdr:sp macro="" textlink="">
      <xdr:nvSpPr>
        <xdr:cNvPr id="37" name="Group Box 83" hidden="1">
          <a:extLst>
            <a:ext uri="{63B3BB69-23CF-44E3-9099-C40C66FF867C}">
              <a14:compatExt xmlns:a14="http://schemas.microsoft.com/office/drawing/2010/main" spid="_x0000_s2131"/>
            </a:ext>
            <a:ext uri="{FF2B5EF4-FFF2-40B4-BE49-F238E27FC236}">
              <a16:creationId xmlns:a16="http://schemas.microsoft.com/office/drawing/2014/main" id="{18D0DEEF-DEC0-4805-B96C-A9160D7ED0EB}"/>
            </a:ext>
            <a:ext uri="{147F2762-F138-4A5C-976F-8EAC2B608ADB}">
              <a16:predDERef xmlns:a16="http://schemas.microsoft.com/office/drawing/2014/main" pred="{00000000-0008-0000-0200-000052080000}"/>
            </a:ext>
          </a:extLst>
        </xdr:cNvPr>
        <xdr:cNvSpPr/>
      </xdr:nvSpPr>
      <xdr:spPr bwMode="auto">
        <a:xfrm>
          <a:off x="19326225" y="39214425"/>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38" name="Option Button 84" hidden="1">
          <a:extLst>
            <a:ext uri="{63B3BB69-23CF-44E3-9099-C40C66FF867C}">
              <a14:compatExt xmlns:a14="http://schemas.microsoft.com/office/drawing/2010/main" spid="_x0000_s2132"/>
            </a:ext>
            <a:ext uri="{FF2B5EF4-FFF2-40B4-BE49-F238E27FC236}">
              <a16:creationId xmlns:a16="http://schemas.microsoft.com/office/drawing/2014/main" id="{3405F08B-9C6E-488B-9B05-9BAE003280FC}"/>
            </a:ext>
            <a:ext uri="{147F2762-F138-4A5C-976F-8EAC2B608ADB}">
              <a16:predDERef xmlns:a16="http://schemas.microsoft.com/office/drawing/2014/main" pred="{00000000-0008-0000-0200-000053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39" name="Option Button 85" hidden="1">
          <a:extLst>
            <a:ext uri="{63B3BB69-23CF-44E3-9099-C40C66FF867C}">
              <a14:compatExt xmlns:a14="http://schemas.microsoft.com/office/drawing/2010/main" spid="_x0000_s2133"/>
            </a:ext>
            <a:ext uri="{FF2B5EF4-FFF2-40B4-BE49-F238E27FC236}">
              <a16:creationId xmlns:a16="http://schemas.microsoft.com/office/drawing/2014/main" id="{57961242-2EF0-4B75-A7E8-CB63E2B57F2B}"/>
            </a:ext>
            <a:ext uri="{147F2762-F138-4A5C-976F-8EAC2B608ADB}">
              <a16:predDERef xmlns:a16="http://schemas.microsoft.com/office/drawing/2014/main" pred="{00000000-0008-0000-0200-000054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40" name="Option Button 86" hidden="1">
          <a:extLst>
            <a:ext uri="{63B3BB69-23CF-44E3-9099-C40C66FF867C}">
              <a14:compatExt xmlns:a14="http://schemas.microsoft.com/office/drawing/2010/main" spid="_x0000_s2134"/>
            </a:ext>
            <a:ext uri="{FF2B5EF4-FFF2-40B4-BE49-F238E27FC236}">
              <a16:creationId xmlns:a16="http://schemas.microsoft.com/office/drawing/2014/main" id="{015E1C5F-6561-4B40-A702-5CC8DB3FD66C}"/>
            </a:ext>
            <a:ext uri="{147F2762-F138-4A5C-976F-8EAC2B608ADB}">
              <a16:predDERef xmlns:a16="http://schemas.microsoft.com/office/drawing/2014/main" pred="{00000000-0008-0000-0200-000055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61</xdr:row>
      <xdr:rowOff>0</xdr:rowOff>
    </xdr:from>
    <xdr:to>
      <xdr:col>11</xdr:col>
      <xdr:colOff>438151</xdr:colOff>
      <xdr:row>71</xdr:row>
      <xdr:rowOff>535939</xdr:rowOff>
    </xdr:to>
    <xdr:sp macro="" textlink="">
      <xdr:nvSpPr>
        <xdr:cNvPr id="41" name="Option Button 87" hidden="1">
          <a:extLst>
            <a:ext uri="{63B3BB69-23CF-44E3-9099-C40C66FF867C}">
              <a14:compatExt xmlns:a14="http://schemas.microsoft.com/office/drawing/2010/main" spid="_x0000_s2135"/>
            </a:ext>
            <a:ext uri="{FF2B5EF4-FFF2-40B4-BE49-F238E27FC236}">
              <a16:creationId xmlns:a16="http://schemas.microsoft.com/office/drawing/2014/main" id="{5313A51E-3E1C-4415-98AE-1F4604855E1C}"/>
            </a:ext>
            <a:ext uri="{147F2762-F138-4A5C-976F-8EAC2B608ADB}">
              <a16:predDERef xmlns:a16="http://schemas.microsoft.com/office/drawing/2014/main" pred="{00000000-0008-0000-0200-000056080000}"/>
            </a:ext>
          </a:extLst>
        </xdr:cNvPr>
        <xdr:cNvSpPr/>
      </xdr:nvSpPr>
      <xdr:spPr bwMode="auto">
        <a:xfrm>
          <a:off x="19326225" y="392906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28575</xdr:rowOff>
    </xdr:from>
    <xdr:to>
      <xdr:col>32</xdr:col>
      <xdr:colOff>6350</xdr:colOff>
      <xdr:row>67</xdr:row>
      <xdr:rowOff>944563</xdr:rowOff>
    </xdr:to>
    <xdr:sp macro="" textlink="">
      <xdr:nvSpPr>
        <xdr:cNvPr id="42" name="Group Box 88" hidden="1">
          <a:extLst>
            <a:ext uri="{63B3BB69-23CF-44E3-9099-C40C66FF867C}">
              <a14:compatExt xmlns:a14="http://schemas.microsoft.com/office/drawing/2010/main" spid="_x0000_s2136"/>
            </a:ext>
            <a:ext uri="{FF2B5EF4-FFF2-40B4-BE49-F238E27FC236}">
              <a16:creationId xmlns:a16="http://schemas.microsoft.com/office/drawing/2014/main" id="{EE17A492-2C92-4796-A43D-9E586E3129B6}"/>
            </a:ext>
            <a:ext uri="{147F2762-F138-4A5C-976F-8EAC2B608ADB}">
              <a16:predDERef xmlns:a16="http://schemas.microsoft.com/office/drawing/2014/main" pred="{00000000-0008-0000-0200-000057080000}"/>
            </a:ext>
          </a:extLst>
        </xdr:cNvPr>
        <xdr:cNvSpPr/>
      </xdr:nvSpPr>
      <xdr:spPr bwMode="auto">
        <a:xfrm>
          <a:off x="19326225" y="42786300"/>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3" name="Option Button 89" hidden="1">
          <a:extLst>
            <a:ext uri="{63B3BB69-23CF-44E3-9099-C40C66FF867C}">
              <a14:compatExt xmlns:a14="http://schemas.microsoft.com/office/drawing/2010/main" spid="_x0000_s2137"/>
            </a:ext>
            <a:ext uri="{FF2B5EF4-FFF2-40B4-BE49-F238E27FC236}">
              <a16:creationId xmlns:a16="http://schemas.microsoft.com/office/drawing/2014/main" id="{E64669D8-B276-4809-8E3D-19DF2AF40FC6}"/>
            </a:ext>
            <a:ext uri="{147F2762-F138-4A5C-976F-8EAC2B608ADB}">
              <a16:predDERef xmlns:a16="http://schemas.microsoft.com/office/drawing/2014/main" pred="{00000000-0008-0000-0200-000058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4" name="Option Button 90" hidden="1">
          <a:extLst>
            <a:ext uri="{63B3BB69-23CF-44E3-9099-C40C66FF867C}">
              <a14:compatExt xmlns:a14="http://schemas.microsoft.com/office/drawing/2010/main" spid="_x0000_s2138"/>
            </a:ext>
            <a:ext uri="{FF2B5EF4-FFF2-40B4-BE49-F238E27FC236}">
              <a16:creationId xmlns:a16="http://schemas.microsoft.com/office/drawing/2014/main" id="{4B71FAB7-60D6-48DA-8C0E-CCA7A781F77E}"/>
            </a:ext>
            <a:ext uri="{147F2762-F138-4A5C-976F-8EAC2B608ADB}">
              <a16:predDERef xmlns:a16="http://schemas.microsoft.com/office/drawing/2014/main" pred="{00000000-0008-0000-0200-000059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5" name="Option Button 91" hidden="1">
          <a:extLst>
            <a:ext uri="{63B3BB69-23CF-44E3-9099-C40C66FF867C}">
              <a14:compatExt xmlns:a14="http://schemas.microsoft.com/office/drawing/2010/main" spid="_x0000_s2139"/>
            </a:ext>
            <a:ext uri="{FF2B5EF4-FFF2-40B4-BE49-F238E27FC236}">
              <a16:creationId xmlns:a16="http://schemas.microsoft.com/office/drawing/2014/main" id="{C78BEFA0-1C9D-4771-9D18-53729B27F8FC}"/>
            </a:ext>
            <a:ext uri="{147F2762-F138-4A5C-976F-8EAC2B608ADB}">
              <a16:predDERef xmlns:a16="http://schemas.microsoft.com/office/drawing/2014/main" pred="{00000000-0008-0000-0200-00005A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65</xdr:row>
      <xdr:rowOff>104775</xdr:rowOff>
    </xdr:from>
    <xdr:to>
      <xdr:col>11</xdr:col>
      <xdr:colOff>438151</xdr:colOff>
      <xdr:row>67</xdr:row>
      <xdr:rowOff>696913</xdr:rowOff>
    </xdr:to>
    <xdr:sp macro="" textlink="">
      <xdr:nvSpPr>
        <xdr:cNvPr id="46" name="Option Button 92" hidden="1">
          <a:extLst>
            <a:ext uri="{63B3BB69-23CF-44E3-9099-C40C66FF867C}">
              <a14:compatExt xmlns:a14="http://schemas.microsoft.com/office/drawing/2010/main" spid="_x0000_s2140"/>
            </a:ext>
            <a:ext uri="{FF2B5EF4-FFF2-40B4-BE49-F238E27FC236}">
              <a16:creationId xmlns:a16="http://schemas.microsoft.com/office/drawing/2014/main" id="{AD4822BC-8617-4DF2-B5F6-90EB97FADE99}"/>
            </a:ext>
            <a:ext uri="{147F2762-F138-4A5C-976F-8EAC2B608ADB}">
              <a16:predDERef xmlns:a16="http://schemas.microsoft.com/office/drawing/2014/main" pred="{00000000-0008-0000-0200-00005B080000}"/>
            </a:ext>
          </a:extLst>
        </xdr:cNvPr>
        <xdr:cNvSpPr/>
      </xdr:nvSpPr>
      <xdr:spPr bwMode="auto">
        <a:xfrm>
          <a:off x="19326225" y="428625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2</xdr:row>
      <xdr:rowOff>0</xdr:rowOff>
    </xdr:from>
    <xdr:ext cx="13365163" cy="374424"/>
    <xdr:sp macro="" textlink="">
      <xdr:nvSpPr>
        <xdr:cNvPr id="86" name="Group Box 93" hidden="1">
          <a:extLst>
            <a:ext uri="{63B3BB69-23CF-44E3-9099-C40C66FF867C}">
              <a14:compatExt xmlns:a14="http://schemas.microsoft.com/office/drawing/2010/main" spid="_x0000_s2141"/>
            </a:ext>
            <a:ext uri="{FF2B5EF4-FFF2-40B4-BE49-F238E27FC236}">
              <a16:creationId xmlns:a16="http://schemas.microsoft.com/office/drawing/2014/main" id="{6B46A2AE-B29A-48E3-8385-9C8E0D1D7A56}"/>
            </a:ext>
            <a:ext uri="{147F2762-F138-4A5C-976F-8EAC2B608ADB}">
              <a16:predDERef xmlns:a16="http://schemas.microsoft.com/office/drawing/2014/main" pred="{00000000-0008-0000-0200-00005C080000}"/>
            </a:ext>
          </a:extLst>
        </xdr:cNvPr>
        <xdr:cNvSpPr/>
      </xdr:nvSpPr>
      <xdr:spPr bwMode="auto">
        <a:xfrm>
          <a:off x="19326225" y="74018775"/>
          <a:ext cx="13417550" cy="37918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twoCellAnchor editAs="oneCell">
    <xdr:from>
      <xdr:col>10</xdr:col>
      <xdr:colOff>0</xdr:colOff>
      <xdr:row>112</xdr:row>
      <xdr:rowOff>0</xdr:rowOff>
    </xdr:from>
    <xdr:to>
      <xdr:col>11</xdr:col>
      <xdr:colOff>438151</xdr:colOff>
      <xdr:row>119</xdr:row>
      <xdr:rowOff>2382</xdr:rowOff>
    </xdr:to>
    <xdr:sp macro="" textlink="">
      <xdr:nvSpPr>
        <xdr:cNvPr id="48" name="Option Button 94" hidden="1">
          <a:extLst>
            <a:ext uri="{63B3BB69-23CF-44E3-9099-C40C66FF867C}">
              <a14:compatExt xmlns:a14="http://schemas.microsoft.com/office/drawing/2010/main" spid="_x0000_s2142"/>
            </a:ext>
            <a:ext uri="{FF2B5EF4-FFF2-40B4-BE49-F238E27FC236}">
              <a16:creationId xmlns:a16="http://schemas.microsoft.com/office/drawing/2014/main" id="{9D194F61-555C-4DA7-BFC6-BAA4C619D577}"/>
            </a:ext>
            <a:ext uri="{147F2762-F138-4A5C-976F-8EAC2B608ADB}">
              <a16:predDERef xmlns:a16="http://schemas.microsoft.com/office/drawing/2014/main" pred="{00000000-0008-0000-0200-00005D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49" name="Option Button 95" hidden="1">
          <a:extLst>
            <a:ext uri="{63B3BB69-23CF-44E3-9099-C40C66FF867C}">
              <a14:compatExt xmlns:a14="http://schemas.microsoft.com/office/drawing/2010/main" spid="_x0000_s2143"/>
            </a:ext>
            <a:ext uri="{FF2B5EF4-FFF2-40B4-BE49-F238E27FC236}">
              <a16:creationId xmlns:a16="http://schemas.microsoft.com/office/drawing/2014/main" id="{9A9B5E43-7D51-4DD0-9DD8-5D9D7A5082F2}"/>
            </a:ext>
            <a:ext uri="{147F2762-F138-4A5C-976F-8EAC2B608ADB}">
              <a16:predDERef xmlns:a16="http://schemas.microsoft.com/office/drawing/2014/main" pred="{00000000-0008-0000-0200-00005E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50" name="Option Button 96" hidden="1">
          <a:extLst>
            <a:ext uri="{63B3BB69-23CF-44E3-9099-C40C66FF867C}">
              <a14:compatExt xmlns:a14="http://schemas.microsoft.com/office/drawing/2010/main" spid="_x0000_s2144"/>
            </a:ext>
            <a:ext uri="{FF2B5EF4-FFF2-40B4-BE49-F238E27FC236}">
              <a16:creationId xmlns:a16="http://schemas.microsoft.com/office/drawing/2014/main" id="{BD5F5FB9-BC87-4F0E-8CDB-62062E5CF815}"/>
            </a:ext>
            <a:ext uri="{147F2762-F138-4A5C-976F-8EAC2B608ADB}">
              <a16:predDERef xmlns:a16="http://schemas.microsoft.com/office/drawing/2014/main" pred="{00000000-0008-0000-0200-00005F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112</xdr:row>
      <xdr:rowOff>0</xdr:rowOff>
    </xdr:from>
    <xdr:to>
      <xdr:col>11</xdr:col>
      <xdr:colOff>438151</xdr:colOff>
      <xdr:row>119</xdr:row>
      <xdr:rowOff>2382</xdr:rowOff>
    </xdr:to>
    <xdr:sp macro="" textlink="">
      <xdr:nvSpPr>
        <xdr:cNvPr id="51" name="Option Button 97" hidden="1">
          <a:extLst>
            <a:ext uri="{63B3BB69-23CF-44E3-9099-C40C66FF867C}">
              <a14:compatExt xmlns:a14="http://schemas.microsoft.com/office/drawing/2010/main" spid="_x0000_s2145"/>
            </a:ext>
            <a:ext uri="{FF2B5EF4-FFF2-40B4-BE49-F238E27FC236}">
              <a16:creationId xmlns:a16="http://schemas.microsoft.com/office/drawing/2014/main" id="{66CF583E-ED25-4539-A8D7-81E63BE5FE6D}"/>
            </a:ext>
            <a:ext uri="{147F2762-F138-4A5C-976F-8EAC2B608ADB}">
              <a16:predDERef xmlns:a16="http://schemas.microsoft.com/office/drawing/2014/main" pred="{00000000-0008-0000-0200-000060080000}"/>
            </a:ext>
          </a:extLst>
        </xdr:cNvPr>
        <xdr:cNvSpPr/>
      </xdr:nvSpPr>
      <xdr:spPr bwMode="auto">
        <a:xfrm>
          <a:off x="19326225" y="740187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3</xdr:row>
      <xdr:rowOff>0</xdr:rowOff>
    </xdr:from>
    <xdr:ext cx="13365163" cy="377825"/>
    <xdr:sp macro="" textlink="">
      <xdr:nvSpPr>
        <xdr:cNvPr id="87" name="Group Box 98" hidden="1">
          <a:extLst>
            <a:ext uri="{63B3BB69-23CF-44E3-9099-C40C66FF867C}">
              <a14:compatExt xmlns:a14="http://schemas.microsoft.com/office/drawing/2010/main" spid="_x0000_s2146"/>
            </a:ext>
            <a:ext uri="{FF2B5EF4-FFF2-40B4-BE49-F238E27FC236}">
              <a16:creationId xmlns:a16="http://schemas.microsoft.com/office/drawing/2014/main" id="{3098DB9A-EF01-4552-B781-9A925363EC85}"/>
            </a:ext>
            <a:ext uri="{147F2762-F138-4A5C-976F-8EAC2B608ADB}">
              <a16:predDERef xmlns:a16="http://schemas.microsoft.com/office/drawing/2014/main" pred="{00000000-0008-0000-0200-000061080000}"/>
            </a:ext>
          </a:extLst>
        </xdr:cNvPr>
        <xdr:cNvSpPr/>
      </xdr:nvSpPr>
      <xdr:spPr bwMode="auto">
        <a:xfrm>
          <a:off x="19326225" y="76228575"/>
          <a:ext cx="13417550" cy="3778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3</xdr:row>
      <xdr:rowOff>0</xdr:rowOff>
    </xdr:from>
    <xdr:ext cx="1045370" cy="206375"/>
    <xdr:sp macro="" textlink="">
      <xdr:nvSpPr>
        <xdr:cNvPr id="88" name="Option Button 99" hidden="1">
          <a:extLst>
            <a:ext uri="{63B3BB69-23CF-44E3-9099-C40C66FF867C}">
              <a14:compatExt xmlns:a14="http://schemas.microsoft.com/office/drawing/2010/main" spid="_x0000_s2147"/>
            </a:ext>
            <a:ext uri="{FF2B5EF4-FFF2-40B4-BE49-F238E27FC236}">
              <a16:creationId xmlns:a16="http://schemas.microsoft.com/office/drawing/2014/main" id="{CCD87297-D18D-4A3E-A60F-48830CEFBDD6}"/>
            </a:ext>
            <a:ext uri="{147F2762-F138-4A5C-976F-8EAC2B608ADB}">
              <a16:predDERef xmlns:a16="http://schemas.microsoft.com/office/drawing/2014/main" pred="{00000000-0008-0000-0200-000062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89" name="Option Button 100" hidden="1">
          <a:extLst>
            <a:ext uri="{63B3BB69-23CF-44E3-9099-C40C66FF867C}">
              <a14:compatExt xmlns:a14="http://schemas.microsoft.com/office/drawing/2010/main" spid="_x0000_s2148"/>
            </a:ext>
            <a:ext uri="{FF2B5EF4-FFF2-40B4-BE49-F238E27FC236}">
              <a16:creationId xmlns:a16="http://schemas.microsoft.com/office/drawing/2014/main" id="{5889885B-6018-4217-BC82-FB75909018D6}"/>
            </a:ext>
            <a:ext uri="{147F2762-F138-4A5C-976F-8EAC2B608ADB}">
              <a16:predDERef xmlns:a16="http://schemas.microsoft.com/office/drawing/2014/main" pred="{00000000-0008-0000-0200-000063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90" name="Option Button 101" hidden="1">
          <a:extLst>
            <a:ext uri="{63B3BB69-23CF-44E3-9099-C40C66FF867C}">
              <a14:compatExt xmlns:a14="http://schemas.microsoft.com/office/drawing/2010/main" spid="_x0000_s2149"/>
            </a:ext>
            <a:ext uri="{FF2B5EF4-FFF2-40B4-BE49-F238E27FC236}">
              <a16:creationId xmlns:a16="http://schemas.microsoft.com/office/drawing/2014/main" id="{EDC193DD-9DE7-4A13-B122-1F0E95367BAA}"/>
            </a:ext>
            <a:ext uri="{147F2762-F138-4A5C-976F-8EAC2B608ADB}">
              <a16:predDERef xmlns:a16="http://schemas.microsoft.com/office/drawing/2014/main" pred="{00000000-0008-0000-0200-000064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3</xdr:row>
      <xdr:rowOff>0</xdr:rowOff>
    </xdr:from>
    <xdr:ext cx="1045370" cy="206375"/>
    <xdr:sp macro="" textlink="">
      <xdr:nvSpPr>
        <xdr:cNvPr id="91" name="Option Button 102" hidden="1">
          <a:extLst>
            <a:ext uri="{63B3BB69-23CF-44E3-9099-C40C66FF867C}">
              <a14:compatExt xmlns:a14="http://schemas.microsoft.com/office/drawing/2010/main" spid="_x0000_s2150"/>
            </a:ext>
            <a:ext uri="{FF2B5EF4-FFF2-40B4-BE49-F238E27FC236}">
              <a16:creationId xmlns:a16="http://schemas.microsoft.com/office/drawing/2014/main" id="{E38E9C2C-96E3-4E9E-81D9-89A81C84B77E}"/>
            </a:ext>
            <a:ext uri="{147F2762-F138-4A5C-976F-8EAC2B608ADB}">
              <a16:predDERef xmlns:a16="http://schemas.microsoft.com/office/drawing/2014/main" pred="{00000000-0008-0000-0200-000065080000}"/>
            </a:ext>
          </a:extLst>
        </xdr:cNvPr>
        <xdr:cNvSpPr/>
      </xdr:nvSpPr>
      <xdr:spPr bwMode="auto">
        <a:xfrm>
          <a:off x="19326225" y="7630477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twoCellAnchor editAs="oneCell">
    <xdr:from>
      <xdr:col>10</xdr:col>
      <xdr:colOff>0</xdr:colOff>
      <xdr:row>113</xdr:row>
      <xdr:rowOff>28575</xdr:rowOff>
    </xdr:from>
    <xdr:to>
      <xdr:col>32</xdr:col>
      <xdr:colOff>6350</xdr:colOff>
      <xdr:row>301</xdr:row>
      <xdr:rowOff>26194</xdr:rowOff>
    </xdr:to>
    <xdr:sp macro="" textlink="">
      <xdr:nvSpPr>
        <xdr:cNvPr id="57" name="Group Box 103" hidden="1">
          <a:extLst>
            <a:ext uri="{63B3BB69-23CF-44E3-9099-C40C66FF867C}">
              <a14:compatExt xmlns:a14="http://schemas.microsoft.com/office/drawing/2010/main" spid="_x0000_s2151"/>
            </a:ext>
            <a:ext uri="{FF2B5EF4-FFF2-40B4-BE49-F238E27FC236}">
              <a16:creationId xmlns:a16="http://schemas.microsoft.com/office/drawing/2014/main" id="{CAF763F2-8FCD-4BCB-B944-4C06931BD45B}"/>
            </a:ext>
            <a:ext uri="{147F2762-F138-4A5C-976F-8EAC2B608ADB}">
              <a16:predDERef xmlns:a16="http://schemas.microsoft.com/office/drawing/2014/main" pred="{00000000-0008-0000-0200-000066080000}"/>
            </a:ext>
          </a:extLst>
        </xdr:cNvPr>
        <xdr:cNvSpPr/>
      </xdr:nvSpPr>
      <xdr:spPr bwMode="auto">
        <a:xfrm>
          <a:off x="19326225" y="79781400"/>
          <a:ext cx="13417550" cy="3905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58" name="Option Button 104" hidden="1">
          <a:extLst>
            <a:ext uri="{63B3BB69-23CF-44E3-9099-C40C66FF867C}">
              <a14:compatExt xmlns:a14="http://schemas.microsoft.com/office/drawing/2010/main" spid="_x0000_s2152"/>
            </a:ext>
            <a:ext uri="{FF2B5EF4-FFF2-40B4-BE49-F238E27FC236}">
              <a16:creationId xmlns:a16="http://schemas.microsoft.com/office/drawing/2014/main" id="{B0FCB23A-CEA7-4809-9304-99AC451C47F6}"/>
            </a:ext>
            <a:ext uri="{147F2762-F138-4A5C-976F-8EAC2B608ADB}">
              <a16:predDERef xmlns:a16="http://schemas.microsoft.com/office/drawing/2014/main" pred="{00000000-0008-0000-0200-000067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59" name="Option Button 105" hidden="1">
          <a:extLst>
            <a:ext uri="{63B3BB69-23CF-44E3-9099-C40C66FF867C}">
              <a14:compatExt xmlns:a14="http://schemas.microsoft.com/office/drawing/2010/main" spid="_x0000_s2153"/>
            </a:ext>
            <a:ext uri="{FF2B5EF4-FFF2-40B4-BE49-F238E27FC236}">
              <a16:creationId xmlns:a16="http://schemas.microsoft.com/office/drawing/2014/main" id="{DFD514D2-2C6B-4421-9D18-790AEEBA5BC6}"/>
            </a:ext>
            <a:ext uri="{147F2762-F138-4A5C-976F-8EAC2B608ADB}">
              <a16:predDERef xmlns:a16="http://schemas.microsoft.com/office/drawing/2014/main" pred="{00000000-0008-0000-0200-000068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60" name="Option Button 106" hidden="1">
          <a:extLst>
            <a:ext uri="{63B3BB69-23CF-44E3-9099-C40C66FF867C}">
              <a14:compatExt xmlns:a14="http://schemas.microsoft.com/office/drawing/2010/main" spid="_x0000_s2154"/>
            </a:ext>
            <a:ext uri="{FF2B5EF4-FFF2-40B4-BE49-F238E27FC236}">
              <a16:creationId xmlns:a16="http://schemas.microsoft.com/office/drawing/2014/main" id="{78059983-432D-4A69-92F2-ACC998C44DCD}"/>
            </a:ext>
            <a:ext uri="{147F2762-F138-4A5C-976F-8EAC2B608ADB}">
              <a16:predDERef xmlns:a16="http://schemas.microsoft.com/office/drawing/2014/main" pred="{00000000-0008-0000-0200-000069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113</xdr:row>
      <xdr:rowOff>104775</xdr:rowOff>
    </xdr:from>
    <xdr:to>
      <xdr:col>11</xdr:col>
      <xdr:colOff>438151</xdr:colOff>
      <xdr:row>300</xdr:row>
      <xdr:rowOff>8732</xdr:rowOff>
    </xdr:to>
    <xdr:sp macro="" textlink="">
      <xdr:nvSpPr>
        <xdr:cNvPr id="61" name="Option Button 107" hidden="1">
          <a:extLst>
            <a:ext uri="{63B3BB69-23CF-44E3-9099-C40C66FF867C}">
              <a14:compatExt xmlns:a14="http://schemas.microsoft.com/office/drawing/2010/main" spid="_x0000_s2155"/>
            </a:ext>
            <a:ext uri="{FF2B5EF4-FFF2-40B4-BE49-F238E27FC236}">
              <a16:creationId xmlns:a16="http://schemas.microsoft.com/office/drawing/2014/main" id="{512654B3-29CF-4726-8D3F-B4FF3071AC69}"/>
            </a:ext>
            <a:ext uri="{147F2762-F138-4A5C-976F-8EAC2B608ADB}">
              <a16:predDERef xmlns:a16="http://schemas.microsoft.com/office/drawing/2014/main" pred="{00000000-0008-0000-0200-00006A080000}"/>
            </a:ext>
          </a:extLst>
        </xdr:cNvPr>
        <xdr:cNvSpPr/>
      </xdr:nvSpPr>
      <xdr:spPr bwMode="auto">
        <a:xfrm>
          <a:off x="19326225" y="79857600"/>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28575</xdr:rowOff>
    </xdr:from>
    <xdr:to>
      <xdr:col>32</xdr:col>
      <xdr:colOff>6350</xdr:colOff>
      <xdr:row>59</xdr:row>
      <xdr:rowOff>552451</xdr:rowOff>
    </xdr:to>
    <xdr:sp macro="" textlink="">
      <xdr:nvSpPr>
        <xdr:cNvPr id="62" name="Group Box 108" hidden="1">
          <a:extLst>
            <a:ext uri="{63B3BB69-23CF-44E3-9099-C40C66FF867C}">
              <a14:compatExt xmlns:a14="http://schemas.microsoft.com/office/drawing/2010/main" spid="_x0000_s2156"/>
            </a:ext>
            <a:ext uri="{FF2B5EF4-FFF2-40B4-BE49-F238E27FC236}">
              <a16:creationId xmlns:a16="http://schemas.microsoft.com/office/drawing/2014/main" id="{ED1050A0-A243-40BC-87C8-DB35EF307050}"/>
            </a:ext>
            <a:ext uri="{147F2762-F138-4A5C-976F-8EAC2B608ADB}">
              <a16:predDERef xmlns:a16="http://schemas.microsoft.com/office/drawing/2014/main" pred="{00000000-0008-0000-0200-00006B080000}"/>
            </a:ext>
          </a:extLst>
        </xdr:cNvPr>
        <xdr:cNvSpPr/>
      </xdr:nvSpPr>
      <xdr:spPr bwMode="auto">
        <a:xfrm>
          <a:off x="19326225" y="15630525"/>
          <a:ext cx="13417550" cy="390525"/>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3" name="Option Button 109" hidden="1">
          <a:extLst>
            <a:ext uri="{63B3BB69-23CF-44E3-9099-C40C66FF867C}">
              <a14:compatExt xmlns:a14="http://schemas.microsoft.com/office/drawing/2010/main" spid="_x0000_s2157"/>
            </a:ext>
            <a:ext uri="{FF2B5EF4-FFF2-40B4-BE49-F238E27FC236}">
              <a16:creationId xmlns:a16="http://schemas.microsoft.com/office/drawing/2014/main" id="{316A3F41-DC97-4C9F-B0CE-61220E8FCB53}"/>
            </a:ext>
            <a:ext uri="{147F2762-F138-4A5C-976F-8EAC2B608ADB}">
              <a16:predDERef xmlns:a16="http://schemas.microsoft.com/office/drawing/2014/main" pred="{00000000-0008-0000-0200-00006C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4" name="Option Button 110" hidden="1">
          <a:extLst>
            <a:ext uri="{63B3BB69-23CF-44E3-9099-C40C66FF867C}">
              <a14:compatExt xmlns:a14="http://schemas.microsoft.com/office/drawing/2010/main" spid="_x0000_s2158"/>
            </a:ext>
            <a:ext uri="{FF2B5EF4-FFF2-40B4-BE49-F238E27FC236}">
              <a16:creationId xmlns:a16="http://schemas.microsoft.com/office/drawing/2014/main" id="{703EB8B4-C914-4AFC-AAE9-1857B0B40535}"/>
            </a:ext>
            <a:ext uri="{147F2762-F138-4A5C-976F-8EAC2B608ADB}">
              <a16:predDERef xmlns:a16="http://schemas.microsoft.com/office/drawing/2014/main" pred="{00000000-0008-0000-0200-00006D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5" name="Option Button 111" hidden="1">
          <a:extLst>
            <a:ext uri="{63B3BB69-23CF-44E3-9099-C40C66FF867C}">
              <a14:compatExt xmlns:a14="http://schemas.microsoft.com/office/drawing/2010/main" spid="_x0000_s2159"/>
            </a:ext>
            <a:ext uri="{FF2B5EF4-FFF2-40B4-BE49-F238E27FC236}">
              <a16:creationId xmlns:a16="http://schemas.microsoft.com/office/drawing/2014/main" id="{E930BF2D-8B20-4399-A093-106B4D4E461D}"/>
            </a:ext>
            <a:ext uri="{147F2762-F138-4A5C-976F-8EAC2B608ADB}">
              <a16:predDERef xmlns:a16="http://schemas.microsoft.com/office/drawing/2014/main" pred="{00000000-0008-0000-0200-00006E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34</xdr:row>
      <xdr:rowOff>104775</xdr:rowOff>
    </xdr:from>
    <xdr:to>
      <xdr:col>11</xdr:col>
      <xdr:colOff>438151</xdr:colOff>
      <xdr:row>59</xdr:row>
      <xdr:rowOff>292101</xdr:rowOff>
    </xdr:to>
    <xdr:sp macro="" textlink="">
      <xdr:nvSpPr>
        <xdr:cNvPr id="66" name="Option Button 112" hidden="1">
          <a:extLst>
            <a:ext uri="{63B3BB69-23CF-44E3-9099-C40C66FF867C}">
              <a14:compatExt xmlns:a14="http://schemas.microsoft.com/office/drawing/2010/main" spid="_x0000_s2160"/>
            </a:ext>
            <a:ext uri="{FF2B5EF4-FFF2-40B4-BE49-F238E27FC236}">
              <a16:creationId xmlns:a16="http://schemas.microsoft.com/office/drawing/2014/main" id="{3EFDF75A-22B8-4D83-93ED-DF3DCF4265F0}"/>
            </a:ext>
            <a:ext uri="{147F2762-F138-4A5C-976F-8EAC2B608ADB}">
              <a16:predDERef xmlns:a16="http://schemas.microsoft.com/office/drawing/2014/main" pred="{00000000-0008-0000-0200-00006F080000}"/>
            </a:ext>
          </a:extLst>
        </xdr:cNvPr>
        <xdr:cNvSpPr/>
      </xdr:nvSpPr>
      <xdr:spPr bwMode="auto">
        <a:xfrm>
          <a:off x="19326225" y="15706725"/>
          <a:ext cx="1047750" cy="206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70</xdr:row>
      <xdr:rowOff>0</xdr:rowOff>
    </xdr:from>
    <xdr:ext cx="13420725" cy="381000"/>
    <xdr:sp macro="" textlink="">
      <xdr:nvSpPr>
        <xdr:cNvPr id="67" name="Group Box 113" hidden="1">
          <a:extLst>
            <a:ext uri="{63B3BB69-23CF-44E3-9099-C40C66FF867C}">
              <a14:compatExt xmlns:a14="http://schemas.microsoft.com/office/drawing/2010/main" spid="_x0000_s2161"/>
            </a:ext>
            <a:ext uri="{FF2B5EF4-FFF2-40B4-BE49-F238E27FC236}">
              <a16:creationId xmlns:a16="http://schemas.microsoft.com/office/drawing/2014/main" id="{E462E22F-B946-4091-86E3-BFCD1515CB97}"/>
            </a:ext>
            <a:ext uri="{147F2762-F138-4A5C-976F-8EAC2B608ADB}">
              <a16:predDERef xmlns:a16="http://schemas.microsoft.com/office/drawing/2014/main" pred="{00000000-0008-0000-0200-000070080000}"/>
            </a:ext>
          </a:extLst>
        </xdr:cNvPr>
        <xdr:cNvSpPr/>
      </xdr:nvSpPr>
      <xdr:spPr bwMode="auto">
        <a:xfrm>
          <a:off x="19326225" y="49368075"/>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70</xdr:row>
      <xdr:rowOff>0</xdr:rowOff>
    </xdr:from>
    <xdr:ext cx="1047750" cy="209550"/>
    <xdr:sp macro="" textlink="">
      <xdr:nvSpPr>
        <xdr:cNvPr id="68" name="Option Button 114" hidden="1">
          <a:extLst>
            <a:ext uri="{63B3BB69-23CF-44E3-9099-C40C66FF867C}">
              <a14:compatExt xmlns:a14="http://schemas.microsoft.com/office/drawing/2010/main" spid="_x0000_s2162"/>
            </a:ext>
            <a:ext uri="{FF2B5EF4-FFF2-40B4-BE49-F238E27FC236}">
              <a16:creationId xmlns:a16="http://schemas.microsoft.com/office/drawing/2014/main" id="{18ED4CBE-0F1E-4D71-AA80-58F3A02B717A}"/>
            </a:ext>
            <a:ext uri="{147F2762-F138-4A5C-976F-8EAC2B608ADB}">
              <a16:predDERef xmlns:a16="http://schemas.microsoft.com/office/drawing/2014/main" pred="{0EC04E8C-0742-45DF-AEE8-B9CFFA650B6E}"/>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69" name="Option Button 115" hidden="1">
          <a:extLst>
            <a:ext uri="{63B3BB69-23CF-44E3-9099-C40C66FF867C}">
              <a14:compatExt xmlns:a14="http://schemas.microsoft.com/office/drawing/2010/main" spid="_x0000_s2163"/>
            </a:ext>
            <a:ext uri="{FF2B5EF4-FFF2-40B4-BE49-F238E27FC236}">
              <a16:creationId xmlns:a16="http://schemas.microsoft.com/office/drawing/2014/main" id="{8A168949-44FA-4572-9444-4C9C133E88AE}"/>
            </a:ext>
            <a:ext uri="{147F2762-F138-4A5C-976F-8EAC2B608ADB}">
              <a16:predDERef xmlns:a16="http://schemas.microsoft.com/office/drawing/2014/main" pred="{6BEEA6EE-EE17-49DE-B00B-4140082A04F2}"/>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70" name="Option Button 116" hidden="1">
          <a:extLst>
            <a:ext uri="{63B3BB69-23CF-44E3-9099-C40C66FF867C}">
              <a14:compatExt xmlns:a14="http://schemas.microsoft.com/office/drawing/2010/main" spid="_x0000_s2164"/>
            </a:ext>
            <a:ext uri="{FF2B5EF4-FFF2-40B4-BE49-F238E27FC236}">
              <a16:creationId xmlns:a16="http://schemas.microsoft.com/office/drawing/2014/main" id="{E02C0822-6C8C-4A94-B8E1-2C4E0ADC1F58}"/>
            </a:ext>
            <a:ext uri="{147F2762-F138-4A5C-976F-8EAC2B608ADB}">
              <a16:predDERef xmlns:a16="http://schemas.microsoft.com/office/drawing/2014/main" pred="{DB4AF23A-8998-434E-8A98-9CB60D43BE55}"/>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70</xdr:row>
      <xdr:rowOff>0</xdr:rowOff>
    </xdr:from>
    <xdr:ext cx="1047750" cy="209550"/>
    <xdr:sp macro="" textlink="">
      <xdr:nvSpPr>
        <xdr:cNvPr id="71" name="Option Button 117" hidden="1">
          <a:extLst>
            <a:ext uri="{63B3BB69-23CF-44E3-9099-C40C66FF867C}">
              <a14:compatExt xmlns:a14="http://schemas.microsoft.com/office/drawing/2010/main" spid="_x0000_s2165"/>
            </a:ext>
            <a:ext uri="{FF2B5EF4-FFF2-40B4-BE49-F238E27FC236}">
              <a16:creationId xmlns:a16="http://schemas.microsoft.com/office/drawing/2014/main" id="{504D0762-9E1F-4EBB-8A75-62E4F84E68C9}"/>
            </a:ext>
            <a:ext uri="{147F2762-F138-4A5C-976F-8EAC2B608ADB}">
              <a16:predDERef xmlns:a16="http://schemas.microsoft.com/office/drawing/2014/main" pred="{9F0E6BF7-5720-46A7-85DC-68AC8A503455}"/>
            </a:ext>
          </a:extLst>
        </xdr:cNvPr>
        <xdr:cNvSpPr/>
      </xdr:nvSpPr>
      <xdr:spPr bwMode="auto">
        <a:xfrm>
          <a:off x="19326225" y="49444275"/>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twoCellAnchor editAs="oneCell">
    <xdr:from>
      <xdr:col>10</xdr:col>
      <xdr:colOff>0</xdr:colOff>
      <xdr:row>29</xdr:row>
      <xdr:rowOff>0</xdr:rowOff>
    </xdr:from>
    <xdr:to>
      <xdr:col>32</xdr:col>
      <xdr:colOff>6350</xdr:colOff>
      <xdr:row>38</xdr:row>
      <xdr:rowOff>294482</xdr:rowOff>
    </xdr:to>
    <xdr:sp macro="" textlink="">
      <xdr:nvSpPr>
        <xdr:cNvPr id="72" name="Group Box 37" hidden="1">
          <a:extLst>
            <a:ext uri="{63B3BB69-23CF-44E3-9099-C40C66FF867C}">
              <a14:compatExt xmlns:a14="http://schemas.microsoft.com/office/drawing/2010/main" spid="_x0000_s2085"/>
            </a:ext>
            <a:ext uri="{FF2B5EF4-FFF2-40B4-BE49-F238E27FC236}">
              <a16:creationId xmlns:a16="http://schemas.microsoft.com/office/drawing/2014/main" id="{EEC85C66-ECF3-48C7-9452-D7E63B258267}"/>
            </a:ext>
            <a:ext uri="{147F2762-F138-4A5C-976F-8EAC2B608ADB}">
              <a16:predDERef xmlns:a16="http://schemas.microsoft.com/office/drawing/2014/main" pred="{504D0762-9E1F-4EBB-8A75-62E4F84E68C9}"/>
            </a:ext>
          </a:extLst>
        </xdr:cNvPr>
        <xdr:cNvSpPr/>
      </xdr:nvSpPr>
      <xdr:spPr bwMode="auto">
        <a:xfrm>
          <a:off x="25003125" y="11896725"/>
          <a:ext cx="13417550" cy="377826"/>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29</xdr:row>
      <xdr:rowOff>0</xdr:rowOff>
    </xdr:from>
    <xdr:to>
      <xdr:col>32</xdr:col>
      <xdr:colOff>6350</xdr:colOff>
      <xdr:row>38</xdr:row>
      <xdr:rowOff>294482</xdr:rowOff>
    </xdr:to>
    <xdr:sp macro="" textlink="">
      <xdr:nvSpPr>
        <xdr:cNvPr id="73" name="Group Box 42" hidden="1">
          <a:extLst>
            <a:ext uri="{63B3BB69-23CF-44E3-9099-C40C66FF867C}">
              <a14:compatExt xmlns:a14="http://schemas.microsoft.com/office/drawing/2010/main" spid="_x0000_s2090"/>
            </a:ext>
            <a:ext uri="{FF2B5EF4-FFF2-40B4-BE49-F238E27FC236}">
              <a16:creationId xmlns:a16="http://schemas.microsoft.com/office/drawing/2014/main" id="{036E970A-BF97-4F21-A1AF-26DDD024E63B}"/>
            </a:ext>
            <a:ext uri="{147F2762-F138-4A5C-976F-8EAC2B608ADB}">
              <a16:predDERef xmlns:a16="http://schemas.microsoft.com/office/drawing/2014/main" pred="{EEC85C66-ECF3-48C7-9452-D7E63B258267}"/>
            </a:ext>
          </a:extLst>
        </xdr:cNvPr>
        <xdr:cNvSpPr/>
      </xdr:nvSpPr>
      <xdr:spPr bwMode="auto">
        <a:xfrm>
          <a:off x="25003125" y="11896725"/>
          <a:ext cx="13417550" cy="377826"/>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2407</xdr:rowOff>
    </xdr:from>
    <xdr:to>
      <xdr:col>4</xdr:col>
      <xdr:colOff>703033</xdr:colOff>
      <xdr:row>25</xdr:row>
      <xdr:rowOff>188654</xdr:rowOff>
    </xdr:to>
    <xdr:pic>
      <xdr:nvPicPr>
        <xdr:cNvPr id="4" name="Picture 3">
          <a:extLst>
            <a:ext uri="{FF2B5EF4-FFF2-40B4-BE49-F238E27FC236}">
              <a16:creationId xmlns:a16="http://schemas.microsoft.com/office/drawing/2014/main" id="{5C78EAA8-02DE-4BA1-A7F2-E197706E9F8A}"/>
            </a:ext>
          </a:extLst>
        </xdr:cNvPr>
        <xdr:cNvPicPr>
          <a:picLocks noChangeAspect="1"/>
        </xdr:cNvPicPr>
      </xdr:nvPicPr>
      <xdr:blipFill>
        <a:blip xmlns:r="http://schemas.openxmlformats.org/officeDocument/2006/relationships" r:embed="rId1"/>
        <a:stretch>
          <a:fillRect/>
        </a:stretch>
      </xdr:blipFill>
      <xdr:spPr>
        <a:xfrm>
          <a:off x="0" y="2316982"/>
          <a:ext cx="3598633" cy="4751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581024</xdr:colOff>
      <xdr:row>1</xdr:row>
      <xdr:rowOff>168275</xdr:rowOff>
    </xdr:from>
    <xdr:to>
      <xdr:col>11</xdr:col>
      <xdr:colOff>679449</xdr:colOff>
      <xdr:row>41</xdr:row>
      <xdr:rowOff>142875</xdr:rowOff>
    </xdr:to>
    <xdr:sp macro="" textlink="">
      <xdr:nvSpPr>
        <xdr:cNvPr id="2" name="TextBox 1">
          <a:extLst>
            <a:ext uri="{FF2B5EF4-FFF2-40B4-BE49-F238E27FC236}">
              <a16:creationId xmlns:a16="http://schemas.microsoft.com/office/drawing/2014/main" id="{15894BE1-3059-4B7B-ABA0-70184312766A}"/>
            </a:ext>
            <a:ext uri="{147F2762-F138-4A5C-976F-8EAC2B608ADB}">
              <a16:predDERef xmlns:a16="http://schemas.microsoft.com/office/drawing/2014/main" pred="{6BB5F9AA-D8EC-41B8-93B4-3BD4289AE987}"/>
            </a:ext>
          </a:extLst>
        </xdr:cNvPr>
        <xdr:cNvSpPr txBox="1"/>
      </xdr:nvSpPr>
      <xdr:spPr>
        <a:xfrm>
          <a:off x="581024" y="349250"/>
          <a:ext cx="6804025" cy="7213600"/>
        </a:xfrm>
        <a:prstGeom prst="rect">
          <a:avLst/>
        </a:prstGeom>
        <a:solidFill>
          <a:srgbClr val="DEDBC4">
            <a:alpha val="50196"/>
          </a:srgbClr>
        </a:solidFill>
        <a:ln w="9525" cmpd="sng">
          <a:solidFill>
            <a:srgbClr val="DEDBC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fr-FR" sz="1050" b="1" i="0">
              <a:solidFill>
                <a:sysClr val="windowText" lastClr="000000"/>
              </a:solidFill>
              <a:effectLst/>
              <a:latin typeface="Century Gothic" panose="020B0502020202020204" pitchFamily="34" charset="0"/>
              <a:ea typeface="+mn-ea"/>
              <a:cs typeface="+mn-cs"/>
            </a:rPr>
            <a:t>Comment fonctionne l’outil d’évaluation approfondie des risques des exploitations agricoles ?</a:t>
          </a:r>
        </a:p>
        <a:p>
          <a:pPr fontAlgn="base"/>
          <a:r>
            <a:rPr lang="fr-FR" sz="1000" b="0" i="0">
              <a:solidFill>
                <a:sysClr val="windowText" lastClr="000000"/>
              </a:solidFill>
              <a:effectLst/>
              <a:latin typeface="Century Gothic" panose="020B0502020202020204" pitchFamily="34" charset="0"/>
              <a:ea typeface="+mn-ea"/>
              <a:cs typeface="+mn-cs"/>
            </a:rPr>
            <a:t>L’outil d’évaluation des risques des exploitations agricoles contient une série de questions permettant aux</a:t>
          </a:r>
          <a:r>
            <a:rPr lang="fr-FR" sz="1000" b="0" i="0" baseline="0">
              <a:solidFill>
                <a:sysClr val="windowText" lastClr="000000"/>
              </a:solidFill>
              <a:effectLst/>
              <a:latin typeface="Century Gothic" panose="020B0502020202020204" pitchFamily="34" charset="0"/>
              <a:ea typeface="+mn-ea"/>
              <a:cs typeface="+mn-cs"/>
            </a:rPr>
            <a:t> titulaires</a:t>
          </a:r>
          <a:r>
            <a:rPr lang="fr-FR" sz="1000" b="0" i="0">
              <a:solidFill>
                <a:sysClr val="windowText" lastClr="000000"/>
              </a:solidFill>
              <a:effectLst/>
              <a:latin typeface="Century Gothic" panose="020B0502020202020204" pitchFamily="34" charset="0"/>
              <a:ea typeface="+mn-ea"/>
              <a:cs typeface="+mn-cs"/>
            </a:rPr>
            <a:t> de certificats d’identifier les risques </a:t>
          </a:r>
          <a:r>
            <a:rPr lang="fr-FR" sz="1000" b="0" i="0">
              <a:solidFill>
                <a:schemeClr val="dk1"/>
              </a:solidFill>
              <a:effectLst/>
              <a:latin typeface="Century Gothic" panose="020B0502020202020204" pitchFamily="34" charset="0"/>
              <a:ea typeface="+mn-ea"/>
              <a:cs typeface="+mn-cs"/>
            </a:rPr>
            <a:t>liés à l’agriculture durable </a:t>
          </a:r>
          <a:r>
            <a:rPr lang="fr-FR" sz="1000" b="0" i="0" baseline="0">
              <a:solidFill>
                <a:schemeClr val="dk1"/>
              </a:solidFill>
              <a:effectLst/>
              <a:latin typeface="Century Gothic" panose="020B0502020202020204" pitchFamily="34" charset="0"/>
              <a:ea typeface="+mn-ea"/>
              <a:cs typeface="+mn-cs"/>
            </a:rPr>
            <a:t>sur leur exploitation</a:t>
          </a:r>
          <a:r>
            <a:rPr lang="fr-FR" sz="1000" b="0" i="0">
              <a:solidFill>
                <a:sysClr val="windowText" lastClr="000000"/>
              </a:solidFill>
              <a:effectLst/>
              <a:latin typeface="Century Gothic" panose="020B0502020202020204" pitchFamily="34" charset="0"/>
              <a:ea typeface="+mn-ea"/>
              <a:cs typeface="+mn-cs"/>
            </a:rPr>
            <a:t> et de définir les mesures</a:t>
          </a:r>
          <a:r>
            <a:rPr lang="fr-FR" sz="1000" b="0" i="0" baseline="0">
              <a:solidFill>
                <a:sysClr val="windowText" lastClr="000000"/>
              </a:solidFill>
              <a:effectLst/>
              <a:latin typeface="Century Gothic" panose="020B0502020202020204" pitchFamily="34" charset="0"/>
              <a:ea typeface="+mn-ea"/>
              <a:cs typeface="+mn-cs"/>
            </a:rPr>
            <a:t> appropriées de traitement de ces risques.</a:t>
          </a:r>
          <a:r>
            <a:rPr lang="fr-FR" sz="1000" b="0" i="0">
              <a:solidFill>
                <a:sysClr val="windowText" lastClr="000000"/>
              </a:solidFill>
              <a:effectLst/>
              <a:latin typeface="Century Gothic" panose="020B0502020202020204" pitchFamily="34" charset="0"/>
              <a:ea typeface="+mn-ea"/>
              <a:cs typeface="+mn-cs"/>
            </a:rPr>
            <a:t> </a:t>
          </a:r>
        </a:p>
        <a:p>
          <a:pPr fontAlgn="base"/>
          <a:endParaRPr/>
        </a:p>
        <a:p>
          <a:pPr fontAlgn="base"/>
          <a:r>
            <a:rPr lang="fr-FR" sz="1000" b="0" i="0">
              <a:solidFill>
                <a:sysClr val="windowText" lastClr="000000"/>
              </a:solidFill>
              <a:effectLst/>
              <a:latin typeface="Century Gothic" panose="020B0502020202020204" pitchFamily="34" charset="0"/>
              <a:ea typeface="+mn-ea"/>
              <a:cs typeface="+mn-cs"/>
            </a:rPr>
            <a:t>Le titulaire du certificat accède à l'outil d'évaluation des risques sous la forme d'un questionnaire, </a:t>
          </a:r>
          <a:r>
            <a:rPr lang="fr-FR" sz="1000" b="0" i="0" baseline="0">
              <a:solidFill>
                <a:sysClr val="windowText" lastClr="000000"/>
              </a:solidFill>
              <a:effectLst/>
              <a:latin typeface="Century Gothic" panose="020B0502020202020204" pitchFamily="34" charset="0"/>
              <a:ea typeface="+mn-ea"/>
              <a:cs typeface="+mn-cs"/>
            </a:rPr>
            <a:t>dont les interrogations sont basées sur les exigences applicables (par ex. : certification de groupe ou grande exploitation/exploitation certifiée individuellement. </a:t>
          </a:r>
          <a:r>
            <a:rPr lang="fr-FR" sz="1000" b="1" i="0" baseline="0">
              <a:solidFill>
                <a:sysClr val="windowText" lastClr="000000"/>
              </a:solidFill>
              <a:effectLst/>
              <a:latin typeface="Century Gothic" panose="020B0502020202020204" pitchFamily="34" charset="0"/>
              <a:ea typeface="+mn-ea"/>
              <a:cs typeface="+mn-cs"/>
            </a:rPr>
            <a:t>NB Dans les groupes mixtes de petites et grandes exploitations agricoles, ou dans les groupes de grandes exploitations, toutes les grandes exploitations agricoles doivent également procéder à l’évaluation des risques pour elles-mêmes, au-dessus de la direction du groupe qui l'a fait pour le groupe entier</a:t>
          </a:r>
          <a:r>
            <a:rPr lang="fr-FR" sz="1000" b="0" i="0" baseline="0">
              <a:solidFill>
                <a:sysClr val="windowText" lastClr="000000"/>
              </a:solidFill>
              <a:effectLst/>
              <a:latin typeface="Century Gothic" panose="020B0502020202020204" pitchFamily="34" charset="0"/>
              <a:ea typeface="+mn-ea"/>
              <a:cs typeface="+mn-cs"/>
            </a:rPr>
            <a:t>.</a:t>
          </a:r>
        </a:p>
        <a:p>
          <a:pPr fontAlgn="base"/>
          <a:endParaRPr/>
        </a:p>
        <a:p>
          <a:pPr marL="0" marR="0" lvl="0" indent="0" defTabSz="914400" eaLnBrk="1" fontAlgn="base" latinLnBrk="0" hangingPunct="1">
            <a:lnSpc>
              <a:spcPct val="100000"/>
            </a:lnSpc>
            <a:spcBef>
              <a:spcPts val="0"/>
            </a:spcBef>
            <a:spcAft>
              <a:spcPts val="0"/>
            </a:spcAft>
            <a:buClrTx/>
            <a:buSzTx/>
            <a:buFontTx/>
            <a:buNone/>
            <a:tabLst/>
            <a:defRPr/>
          </a:pPr>
          <a:r>
            <a:rPr lang="fr-FR" b="0" i="0">
              <a:effectLst/>
            </a:rPr>
            <a:t>Les questions sont enregistrées</a:t>
          </a:r>
          <a:r>
            <a:rPr lang="fr-FR" sz="1000" b="0" i="0">
              <a:solidFill>
                <a:sysClr val="windowText" lastClr="000000"/>
              </a:solidFill>
              <a:effectLst/>
              <a:latin typeface="Century Gothic" panose="020B0502020202020204" pitchFamily="34" charset="0"/>
              <a:ea typeface="+mn-ea"/>
              <a:cs typeface="+mn-cs"/>
            </a:rPr>
            <a:t> </a:t>
          </a:r>
          <a:r>
            <a:rPr lang="fr-FR" b="0" i="0">
              <a:effectLst/>
            </a:rPr>
            <a:t>sous l'onglet "A&amp;A_Évaluation-approfondie-des-risques.</a:t>
          </a:r>
          <a:r>
            <a:rPr lang="fr-FR" sz="1000" b="0" i="0">
              <a:solidFill>
                <a:sysClr val="windowText" lastClr="000000"/>
              </a:solidFill>
              <a:effectLst/>
              <a:latin typeface="Century Gothic" panose="020B0502020202020204" pitchFamily="34" charset="0"/>
              <a:ea typeface="+mn-ea"/>
              <a:cs typeface="+mn-cs"/>
            </a:rPr>
            <a:t>.</a:t>
          </a:r>
          <a:r>
            <a:rPr lang="fr-FR" b="0" i="0">
              <a:effectLst/>
            </a:rPr>
            <a:t>Répondre par Oui ou Non en colonne G aux questions applicables en colonne F pour sélectionner l'action d'atténuation du risque en colonne I. Par ex., les actions d'atténuation correspondant à la réponse "Oui" à la question 1 (cellule F2) sont inscrites dans la cellule I2. Mais la même réponse "Oui" à la même question posée à une grande exploitation ou au titulaire d'un certificat individuel (cellule F4) conduit aux mesures d'atténuation développées en cellule I4.</a:t>
          </a:r>
          <a:r>
            <a:rPr lang="fr-FR" sz="1100" b="0" i="0" baseline="0">
              <a:solidFill>
                <a:schemeClr val="dk1"/>
              </a:solidFill>
              <a:effectLst/>
              <a:latin typeface="+mn-lt"/>
              <a:ea typeface="+mn-ea"/>
              <a:cs typeface="+mn-cs"/>
            </a:rPr>
            <a:t> La réponse peut être donnée par ex. en surlignant l'action d’atténuation par une couleur.</a:t>
          </a:r>
          <a:r>
            <a:rPr lang="fr-FR" sz="1000" b="0" i="0">
              <a:solidFill>
                <a:sysClr val="windowText" lastClr="000000"/>
              </a:solidFill>
              <a:effectLst/>
              <a:latin typeface="Century Gothic" panose="020B0502020202020204" pitchFamily="34" charset="0"/>
              <a:ea typeface="+mn-ea"/>
              <a:cs typeface="+mn-cs"/>
            </a:rPr>
            <a:t>  </a:t>
          </a:r>
        </a:p>
        <a:p>
          <a:pPr fontAlgn="base"/>
          <a:r>
            <a:rPr lang="fr-FR" sz="1000" b="0" i="0">
              <a:solidFill>
                <a:sysClr val="windowText" lastClr="000000"/>
              </a:solidFill>
              <a:effectLst/>
              <a:latin typeface="Century Gothic" panose="020B0502020202020204" pitchFamily="34" charset="0"/>
              <a:ea typeface="+mn-ea"/>
              <a:cs typeface="+mn-cs"/>
            </a:rPr>
            <a:t>Le Titulaire d’un certificat peut enregistrer l’état du processus à n’importe quelle étape et le terminer plus tard.  </a:t>
          </a:r>
        </a:p>
        <a:p>
          <a:pPr fontAlgn="base"/>
          <a:r>
            <a:rPr lang="fr-FR" sz="1000" b="0" i="0">
              <a:solidFill>
                <a:sysClr val="windowText" lastClr="000000"/>
              </a:solidFill>
              <a:effectLst/>
              <a:latin typeface="Century Gothic" panose="020B0502020202020204" pitchFamily="34" charset="0"/>
              <a:ea typeface="+mn-ea"/>
              <a:cs typeface="+mn-cs"/>
            </a:rPr>
            <a:t> </a:t>
          </a:r>
        </a:p>
        <a:p>
          <a:pPr fontAlgn="base"/>
          <a:r>
            <a:rPr lang="fr-FR" sz="1000" b="0" i="0">
              <a:solidFill>
                <a:sysClr val="windowText" lastClr="000000"/>
              </a:solidFill>
              <a:effectLst/>
              <a:latin typeface="Century Gothic" panose="020B0502020202020204" pitchFamily="34" charset="0"/>
              <a:ea typeface="+mn-ea"/>
              <a:cs typeface="+mn-cs"/>
            </a:rPr>
            <a:t>Une fois que l’Outil d’évaluation des risques est correctement rempli, le Titulaire de certificat dispose d'une vue d’ensemble des mesures d’atténuation recommandées pour chacun des risques identifiés. Le Titulaire d’un certificat peut également mettre en œuvre ses propres mesures d’atténuation s'il les considère plus appropriées</a:t>
          </a:r>
          <a:r>
            <a:rPr lang="fr-FR" sz="1000" b="0" i="0" baseline="0">
              <a:solidFill>
                <a:sysClr val="windowText" lastClr="000000"/>
              </a:solidFill>
              <a:effectLst/>
              <a:latin typeface="Century Gothic" panose="020B0502020202020204" pitchFamily="34" charset="0"/>
              <a:ea typeface="+mn-ea"/>
              <a:cs typeface="+mn-cs"/>
            </a:rPr>
            <a:t> au contexte. Il convient d’inscrire ces mesures dans la colonne ‘J’ : "Actions d’atténuation à intégrer dans le plan de gestion".</a:t>
          </a:r>
          <a:r>
            <a:rPr lang="fr-FR" sz="1000" b="0" i="0">
              <a:solidFill>
                <a:sysClr val="windowText" lastClr="000000"/>
              </a:solidFill>
              <a:effectLst/>
              <a:latin typeface="Century Gothic" panose="020B0502020202020204" pitchFamily="34" charset="0"/>
              <a:ea typeface="+mn-ea"/>
              <a:cs typeface="+mn-cs"/>
            </a:rPr>
            <a:t> </a:t>
          </a:r>
        </a:p>
        <a:p>
          <a:pPr fontAlgn="base"/>
          <a:endParaRPr/>
        </a:p>
        <a:p>
          <a:pPr fontAlgn="base"/>
          <a:r>
            <a:rPr lang="fr-FR" sz="1000" b="0" i="0">
              <a:solidFill>
                <a:sysClr val="windowText" lastClr="000000"/>
              </a:solidFill>
              <a:effectLst/>
              <a:latin typeface="Century Gothic" panose="020B0502020202020204" pitchFamily="34" charset="0"/>
              <a:ea typeface="+mn-ea"/>
              <a:cs typeface="+mn-cs"/>
            </a:rPr>
            <a:t>Il faut </a:t>
          </a:r>
          <a:r>
            <a:rPr lang="fr-FR" sz="1000" b="0" i="0" baseline="0">
              <a:solidFill>
                <a:sysClr val="windowText" lastClr="000000"/>
              </a:solidFill>
              <a:effectLst/>
              <a:latin typeface="Century Gothic" panose="020B0502020202020204" pitchFamily="34" charset="0"/>
              <a:ea typeface="+mn-ea"/>
              <a:cs typeface="+mn-cs"/>
            </a:rPr>
            <a:t> intégrer les mesures d’atténuation dans le plan de gestion et assurer le suivi de leur mise en œuvre.</a:t>
          </a:r>
        </a:p>
        <a:p>
          <a:pPr fontAlgn="base"/>
          <a:endParaRPr/>
        </a:p>
        <a:p>
          <a:pPr fontAlgn="base"/>
          <a:r>
            <a:rPr lang="fr-FR" sz="1000">
              <a:solidFill>
                <a:sysClr val="windowText" lastClr="000000"/>
              </a:solidFill>
              <a:effectLst/>
              <a:latin typeface="Century Gothic" panose="020B0502020202020204" pitchFamily="34" charset="0"/>
            </a:rPr>
            <a:t>L’</a:t>
          </a:r>
          <a:r>
            <a:rPr lang="fr-FR" sz="1000" baseline="0">
              <a:solidFill>
                <a:sysClr val="windowText" lastClr="000000"/>
              </a:solidFill>
              <a:effectLst/>
              <a:latin typeface="Century Gothic" panose="020B0502020202020204" pitchFamily="34" charset="0"/>
            </a:rPr>
            <a:t>outil d’évaluation des risques applicable aux exploitations agricoles comprend une évaluation </a:t>
          </a:r>
          <a:r>
            <a:rPr lang="fr-FR" sz="1000" b="1" baseline="0">
              <a:solidFill>
                <a:sysClr val="windowText" lastClr="000000"/>
              </a:solidFill>
              <a:effectLst/>
              <a:latin typeface="Century Gothic" panose="020B0502020202020204" pitchFamily="34" charset="0"/>
            </a:rPr>
            <a:t>basique</a:t>
          </a:r>
          <a:r>
            <a:rPr lang="fr-FR" sz="1000" baseline="0">
              <a:solidFill>
                <a:sysClr val="windowText" lastClr="000000"/>
              </a:solidFill>
              <a:effectLst/>
              <a:latin typeface="Century Gothic" panose="020B0502020202020204" pitchFamily="34" charset="0"/>
            </a:rPr>
            <a:t> (phase de préparation, à répéter après trois ans) et une évaluation </a:t>
          </a:r>
          <a:r>
            <a:rPr lang="fr-FR" sz="1000" b="1" baseline="0">
              <a:solidFill>
                <a:sysClr val="windowText" lastClr="000000"/>
              </a:solidFill>
              <a:effectLst/>
              <a:latin typeface="Century Gothic" panose="020B0502020202020204" pitchFamily="34" charset="0"/>
            </a:rPr>
            <a:t>approfondie</a:t>
          </a:r>
          <a:r>
            <a:rPr lang="fr-FR" sz="1000" baseline="0">
              <a:solidFill>
                <a:sysClr val="windowText" lastClr="000000"/>
              </a:solidFill>
              <a:effectLst/>
              <a:latin typeface="Century Gothic" panose="020B0502020202020204" pitchFamily="34" charset="0"/>
            </a:rPr>
            <a:t> (réalisée la première année et à répéter après trois ans). </a:t>
          </a:r>
        </a:p>
        <a:p>
          <a:pPr fontAlgn="base"/>
          <a:endParaRPr/>
        </a:p>
        <a:p>
          <a:pPr fontAlgn="base"/>
          <a:r>
            <a:rPr lang="fr-FR" sz="1000" baseline="0">
              <a:solidFill>
                <a:sysClr val="windowText" lastClr="000000"/>
              </a:solidFill>
              <a:effectLst/>
              <a:latin typeface="Century Gothic" panose="020B0502020202020204" pitchFamily="34" charset="0"/>
            </a:rPr>
            <a:t>L’approfondissement de l’évaluation des risques comprend :</a:t>
          </a:r>
        </a:p>
        <a:p>
          <a:pPr fontAlgn="base"/>
          <a:r>
            <a:rPr lang="fr-FR" sz="1000" baseline="0">
              <a:solidFill>
                <a:sysClr val="windowText" lastClr="000000"/>
              </a:solidFill>
              <a:effectLst/>
              <a:latin typeface="Century Gothic" panose="020B0502020202020204" pitchFamily="34" charset="0"/>
            </a:rPr>
            <a:t>- Évaluation approfondie des risques liés au genre</a:t>
          </a:r>
        </a:p>
        <a:p>
          <a:pPr fontAlgn="base"/>
          <a:r>
            <a:rPr lang="fr-FR" sz="1000" baseline="0">
              <a:solidFill>
                <a:sysClr val="windowText" lastClr="000000"/>
              </a:solidFill>
              <a:effectLst/>
              <a:latin typeface="Century Gothic" panose="020B0502020202020204" pitchFamily="34" charset="0"/>
              <a:ea typeface="+mn-ea"/>
              <a:cs typeface="+mn-cs"/>
            </a:rPr>
            <a:t>- Étude approfondie de l'évaluation-et-résolution des risques </a:t>
          </a:r>
          <a:r>
            <a:rPr lang="fr-FR" sz="1000" baseline="0">
              <a:solidFill>
                <a:schemeClr val="dk1"/>
              </a:solidFill>
              <a:effectLst/>
              <a:latin typeface="Century Gothic" panose="020B0502020202020204" pitchFamily="34" charset="0"/>
              <a:ea typeface="+mn-ea"/>
              <a:cs typeface="+mn-cs"/>
            </a:rPr>
            <a:t>(en fonction du niveau national des risques de travail des enfants et de travail forcés tels qu’identifiés par Rainforest Alliance)</a:t>
          </a:r>
        </a:p>
        <a:p>
          <a:pPr fontAlgn="base"/>
          <a:r>
            <a:rPr lang="fr-FR" sz="1000" baseline="0">
              <a:solidFill>
                <a:sysClr val="windowText" lastClr="000000"/>
              </a:solidFill>
              <a:effectLst/>
              <a:latin typeface="Century Gothic" panose="020B0502020202020204" pitchFamily="34" charset="0"/>
            </a:rPr>
            <a:t>-Évaluation en profondeur des risques liés au changement climatique</a:t>
          </a:r>
        </a:p>
        <a:p>
          <a:pPr fontAlgn="base"/>
          <a:r>
            <a:rPr lang="fr-FR" sz="1000" baseline="0">
              <a:solidFill>
                <a:sysClr val="windowText" lastClr="000000"/>
              </a:solidFill>
              <a:effectLst/>
              <a:latin typeface="Century Gothic" panose="020B0502020202020204" pitchFamily="34" charset="0"/>
              <a:ea typeface="+mn-ea"/>
              <a:cs typeface="+mn-cs"/>
            </a:rPr>
            <a:t>Ces trois évaluations approfondies font l’objet de documents séparés. </a:t>
          </a:r>
          <a:r>
            <a:rPr lang="fr-FR" sz="1000" baseline="0">
              <a:solidFill>
                <a:schemeClr val="dk1"/>
              </a:solidFill>
              <a:effectLst/>
              <a:latin typeface="Century Gothic" panose="020B0502020202020204" pitchFamily="34" charset="0"/>
              <a:ea typeface="+mn-ea"/>
              <a:cs typeface="+mn-cs"/>
            </a:rPr>
            <a:t>L’évaluation approfondie des risques doit permettre de définir les mesures à prendre à partir de l’année 1. </a:t>
          </a:r>
        </a:p>
        <a:p>
          <a:pPr fontAlgn="base"/>
          <a:endParaRPr/>
        </a:p>
        <a:p>
          <a:pPr fontAlgn="base"/>
          <a:r>
            <a:rPr lang="fr-FR" sz="1000" i="1" baseline="0">
              <a:solidFill>
                <a:sysClr val="windowText" lastClr="000000"/>
              </a:solidFill>
              <a:effectLst/>
              <a:latin typeface="Century Gothic" panose="020B0502020202020204" pitchFamily="34" charset="0"/>
            </a:rPr>
            <a:t>L’intégration de l’Outil d’évaluation des risques dans la plateforme de certification numérique est planifiée à une étape ultérieure.</a:t>
          </a:r>
        </a:p>
        <a:p>
          <a:pPr fontAlgn="base"/>
          <a:endParaRPr/>
        </a:p>
        <a:p>
          <a:pPr fontAlgn="base"/>
          <a:endParaRPr/>
        </a:p>
      </xdr:txBody>
    </xdr:sp>
    <xdr:clientData/>
  </xdr:twoCellAnchor>
  <xdr:oneCellAnchor>
    <xdr:from>
      <xdr:col>0</xdr:col>
      <xdr:colOff>606425</xdr:colOff>
      <xdr:row>44</xdr:row>
      <xdr:rowOff>63500</xdr:rowOff>
    </xdr:from>
    <xdr:ext cx="8591550" cy="6194425"/>
    <xdr:sp macro="" textlink="">
      <xdr:nvSpPr>
        <xdr:cNvPr id="3" name="TextBox 2">
          <a:extLst>
            <a:ext uri="{FF2B5EF4-FFF2-40B4-BE49-F238E27FC236}">
              <a16:creationId xmlns:a16="http://schemas.microsoft.com/office/drawing/2014/main" id="{A62C7AB6-C0D8-4CE7-A4FC-F9CDEDB53CB9}"/>
            </a:ext>
          </a:extLst>
        </xdr:cNvPr>
        <xdr:cNvSpPr txBox="1"/>
      </xdr:nvSpPr>
      <xdr:spPr>
        <a:xfrm>
          <a:off x="606425" y="8026400"/>
          <a:ext cx="8591550" cy="6194425"/>
        </a:xfrm>
        <a:prstGeom prst="rect">
          <a:avLst/>
        </a:prstGeom>
        <a:solidFill>
          <a:srgbClr val="85C4E3">
            <a:alpha val="50196"/>
          </a:srgbClr>
        </a:solidFill>
        <a:ln>
          <a:solidFill>
            <a:srgbClr val="85C4E3"/>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fr-FR" sz="1100" b="1">
              <a:solidFill>
                <a:sysClr val="windowText" lastClr="000000"/>
              </a:solidFill>
              <a:effectLst/>
              <a:latin typeface="Century Gothic" panose="020B0502020202020204" pitchFamily="34" charset="0"/>
              <a:ea typeface="+mn-ea"/>
              <a:cs typeface="+mn-cs"/>
            </a:rPr>
            <a:t>L’outil d’évaluation des risques des exploitations agricoles dans la norme</a:t>
          </a:r>
        </a:p>
        <a:p>
          <a:r>
            <a:rPr lang="fr-FR" sz="1000">
              <a:solidFill>
                <a:sysClr val="windowText" lastClr="000000"/>
              </a:solidFill>
              <a:effectLst/>
              <a:latin typeface="Century Gothic" panose="020B0502020202020204" pitchFamily="34" charset="0"/>
              <a:ea typeface="+mn-ea"/>
              <a:cs typeface="+mn-cs"/>
            </a:rPr>
            <a:t> </a:t>
          </a:r>
        </a:p>
        <a:p>
          <a:r>
            <a:rPr lang="fr-FR" sz="1050" u="sng">
              <a:solidFill>
                <a:sysClr val="windowText" lastClr="000000"/>
              </a:solidFill>
              <a:effectLst/>
              <a:latin typeface="Century Gothic" panose="020B0502020202020204" pitchFamily="34" charset="0"/>
              <a:ea typeface="+mn-ea"/>
              <a:cs typeface="+mn-cs"/>
            </a:rPr>
            <a:t>Évaluation de base des risques (exigences fondamentales) :</a:t>
          </a:r>
        </a:p>
        <a:p>
          <a:r>
            <a:rPr lang="fr-FR" sz="1000" b="1">
              <a:solidFill>
                <a:sysClr val="windowText" lastClr="000000"/>
              </a:solidFill>
              <a:effectLst/>
              <a:latin typeface="Century Gothic" panose="020B0502020202020204" pitchFamily="34" charset="0"/>
              <a:ea typeface="+mn-ea"/>
              <a:cs typeface="+mn-cs"/>
            </a:rPr>
            <a:t>Exigence 1.3.1 :</a:t>
          </a:r>
          <a:r>
            <a:rPr lang="fr-FR" sz="1000">
              <a:solidFill>
                <a:sysClr val="windowText" lastClr="000000"/>
              </a:solidFill>
              <a:effectLst/>
              <a:latin typeface="Century Gothic" panose="020B0502020202020204" pitchFamily="34" charset="0"/>
              <a:ea typeface="+mn-ea"/>
              <a:cs typeface="+mn-cs"/>
            </a:rPr>
            <a:t>  Au minimum tous les trois ans, la direction utilise l'outil d’évaluation des risques des exploitations agricoles pour réaliser une évaluation des risques sur la base des exigences de cette norme. </a:t>
          </a:r>
        </a:p>
        <a:p>
          <a:r>
            <a:rPr lang="fr-FR" sz="1000" b="1">
              <a:solidFill>
                <a:sysClr val="windowText" lastClr="000000"/>
              </a:solidFill>
              <a:effectLst/>
              <a:latin typeface="Century Gothic" panose="020B0502020202020204" pitchFamily="34" charset="0"/>
              <a:ea typeface="+mn-ea"/>
              <a:cs typeface="+mn-cs"/>
            </a:rPr>
            <a:t>Exigence 1.6.2 :</a:t>
          </a:r>
          <a:r>
            <a:rPr lang="fr-FR" sz="1000">
              <a:solidFill>
                <a:sysClr val="windowText" lastClr="000000"/>
              </a:solidFill>
              <a:effectLst/>
              <a:latin typeface="Century Gothic" panose="020B0502020202020204" pitchFamily="34" charset="0"/>
              <a:ea typeface="+mn-ea"/>
              <a:cs typeface="+mn-cs"/>
            </a:rPr>
            <a:t> La personne/comité responsable réalise les activités suivantes : Mise en œuvre des mesures d’atténuation relatives à l’égalité des genres conformément à l'évaluation de base des risques des exploitations agricoles ou à l’évaluation des risques de la chaîne d'approvisionnement et intégration de ces mesures dans le Plan de gestion</a:t>
          </a:r>
        </a:p>
        <a:p>
          <a:r>
            <a:rPr lang="fr-FR" sz="1000" b="1">
              <a:solidFill>
                <a:sysClr val="windowText" lastClr="000000"/>
              </a:solidFill>
              <a:effectLst/>
              <a:latin typeface="Century Gothic" panose="020B0502020202020204" pitchFamily="34" charset="0"/>
              <a:ea typeface="+mn-ea"/>
              <a:cs typeface="+mn-cs"/>
            </a:rPr>
            <a:t>Exigence 4.1.1</a:t>
          </a:r>
          <a:r>
            <a:rPr lang="fr-FR" sz="1000">
              <a:solidFill>
                <a:sysClr val="windowText" lastClr="000000"/>
              </a:solidFill>
              <a:effectLst/>
              <a:latin typeface="Century Gothic" panose="020B0502020202020204" pitchFamily="34" charset="0"/>
              <a:ea typeface="+mn-ea"/>
              <a:cs typeface="+mn-cs"/>
            </a:rPr>
            <a:t> :  Les variétés de plantes pour les plantations, les greffes et la réhabilitation sont sélectionnées en fonction de la qualité, de la productivité, de la résistance aux ravageurs et aux maladies et de leur adéquation au climat durant la durée de vie des plantes. Ceci est effectué conformément aux résultats de l’Evaluation des risques pour les exploitations agricoles (1.3.1) en regard du climat.  </a:t>
          </a:r>
        </a:p>
        <a:p>
          <a:r>
            <a:rPr lang="fr-FR" sz="1000" b="1">
              <a:solidFill>
                <a:sysClr val="windowText" lastClr="000000"/>
              </a:solidFill>
              <a:effectLst/>
              <a:latin typeface="Century Gothic" panose="020B0502020202020204" pitchFamily="34" charset="0"/>
              <a:ea typeface="+mn-ea"/>
              <a:cs typeface="+mn-cs"/>
            </a:rPr>
            <a:t>Exigence 5.1.2 :</a:t>
          </a:r>
          <a:r>
            <a:rPr lang="fr-FR" sz="1000">
              <a:solidFill>
                <a:sysClr val="windowText" lastClr="000000"/>
              </a:solidFill>
              <a:effectLst/>
              <a:latin typeface="Century Gothic" panose="020B0502020202020204" pitchFamily="34" charset="0"/>
              <a:ea typeface="+mn-ea"/>
              <a:cs typeface="+mn-cs"/>
            </a:rPr>
            <a:t> Dans le Plan de gestion, le comité/représentant de la direction inclut les mesures d’atténuation identifiées dans l’Évaluation de base des risques pour les exploitations agricoles ou dans l’Évaluation des risques de la chaîne d'approvisionnement et met en œuvre les mesures correspondantes.  </a:t>
          </a:r>
        </a:p>
        <a:p>
          <a:r>
            <a:rPr lang="fr-FR" sz="1000">
              <a:solidFill>
                <a:sysClr val="windowText" lastClr="000000"/>
              </a:solidFill>
              <a:effectLst/>
              <a:latin typeface="Century Gothic" panose="020B0502020202020204" pitchFamily="34" charset="0"/>
              <a:ea typeface="+mn-ea"/>
              <a:cs typeface="+mn-cs"/>
            </a:rPr>
            <a:t>L’Évaluation de base des risques pour les exploitations agricoles se déroule au moins tous les trois ans.  </a:t>
          </a:r>
        </a:p>
        <a:p>
          <a:r>
            <a:rPr lang="fr-FR" sz="1000" b="1">
              <a:solidFill>
                <a:sysClr val="windowText" lastClr="000000"/>
              </a:solidFill>
              <a:effectLst/>
              <a:latin typeface="Century Gothic" panose="020B0502020202020204" pitchFamily="34" charset="0"/>
              <a:ea typeface="+mn-ea"/>
              <a:cs typeface="+mn-cs"/>
            </a:rPr>
            <a:t>Exigence 6.1.3</a:t>
          </a:r>
          <a:r>
            <a:rPr lang="fr-FR" sz="1000">
              <a:solidFill>
                <a:sysClr val="windowText" lastClr="000000"/>
              </a:solidFill>
              <a:effectLst/>
              <a:latin typeface="Century Gothic" panose="020B0502020202020204" pitchFamily="34" charset="0"/>
              <a:ea typeface="+mn-ea"/>
              <a:cs typeface="+mn-cs"/>
            </a:rPr>
            <a:t> </a:t>
          </a:r>
          <a:r>
            <a:rPr lang="fr-FR" sz="1000" b="1">
              <a:solidFill>
                <a:sysClr val="windowText" lastClr="000000"/>
              </a:solidFill>
              <a:effectLst/>
              <a:latin typeface="Century Gothic" panose="020B0502020202020204" pitchFamily="34" charset="0"/>
              <a:ea typeface="+mn-ea"/>
              <a:cs typeface="+mn-cs"/>
            </a:rPr>
            <a:t>(grandes exploitations, exploitations certifiées individuellement) :</a:t>
          </a:r>
          <a:r>
            <a:rPr lang="fr-FR" sz="1000">
              <a:solidFill>
                <a:sysClr val="windowText" lastClr="000000"/>
              </a:solidFill>
              <a:effectLst/>
              <a:latin typeface="Century Gothic" panose="020B0502020202020204" pitchFamily="34" charset="0"/>
              <a:ea typeface="+mn-ea"/>
              <a:cs typeface="+mn-cs"/>
            </a:rPr>
            <a:t> La direction inclut les mesures d’atténuation provenant de l’Outil d’évaluation des risques pour les exploitations agricoles dans la section 1.3.1 en regard des Hautes valeurs de conservation dans le Plan de gestion (1.3.2). La direction met en œuvre ces mesures. </a:t>
          </a:r>
        </a:p>
        <a:p>
          <a:r>
            <a:rPr lang="fr-FR" sz="1000" b="1">
              <a:solidFill>
                <a:sysClr val="windowText" lastClr="000000"/>
              </a:solidFill>
              <a:effectLst/>
              <a:latin typeface="Century Gothic" panose="020B0502020202020204" pitchFamily="34" charset="0"/>
              <a:ea typeface="+mn-ea"/>
              <a:cs typeface="+mn-cs"/>
            </a:rPr>
            <a:t>Exigence 6.1.4</a:t>
          </a:r>
          <a:r>
            <a:rPr lang="fr-FR" sz="1000">
              <a:solidFill>
                <a:sysClr val="windowText" lastClr="000000"/>
              </a:solidFill>
              <a:effectLst/>
              <a:latin typeface="Century Gothic" panose="020B0502020202020204" pitchFamily="34" charset="0"/>
              <a:ea typeface="+mn-ea"/>
              <a:cs typeface="+mn-cs"/>
            </a:rPr>
            <a:t> </a:t>
          </a:r>
          <a:r>
            <a:rPr lang="fr-FR" sz="1000" b="1">
              <a:solidFill>
                <a:sysClr val="windowText" lastClr="000000"/>
              </a:solidFill>
              <a:effectLst/>
              <a:latin typeface="Century Gothic" panose="020B0502020202020204" pitchFamily="34" charset="0"/>
              <a:ea typeface="+mn-ea"/>
              <a:cs typeface="+mn-cs"/>
            </a:rPr>
            <a:t>(Certification de groupe, Amélioration)</a:t>
          </a:r>
          <a:r>
            <a:rPr lang="fr-FR" sz="1000">
              <a:solidFill>
                <a:sysClr val="windowText" lastClr="000000"/>
              </a:solidFill>
              <a:effectLst/>
              <a:latin typeface="Century Gothic" panose="020B0502020202020204" pitchFamily="34" charset="0"/>
              <a:ea typeface="+mn-ea"/>
              <a:cs typeface="+mn-cs"/>
            </a:rPr>
            <a:t> : La direction inclut les mesures d’atténuation provenant de l’Outil d’évaluation des risques pour les exploitations agricoles dans la section 1.3.1 en regard des Hautes valeurs de conservation dans le Plan de gestion (1.3.2). La direction met en œuvre ces mesures. </a:t>
          </a:r>
        </a:p>
        <a:p>
          <a:r>
            <a:rPr lang="fr-FR" sz="1000">
              <a:solidFill>
                <a:sysClr val="windowText" lastClr="000000"/>
              </a:solidFill>
              <a:effectLst/>
              <a:latin typeface="Century Gothic" panose="020B0502020202020204" pitchFamily="34" charset="0"/>
              <a:ea typeface="+mn-ea"/>
              <a:cs typeface="+mn-cs"/>
            </a:rPr>
            <a:t>(La direction du groupe met en œuvre les mesures d’atténuation des HVC dès la première année)</a:t>
          </a:r>
        </a:p>
        <a:p>
          <a:r>
            <a:rPr lang="fr-FR" sz="1000" b="1">
              <a:solidFill>
                <a:sysClr val="windowText" lastClr="000000"/>
              </a:solidFill>
              <a:effectLst/>
              <a:latin typeface="Century Gothic" panose="020B0502020202020204" pitchFamily="34" charset="0"/>
              <a:ea typeface="+mn-ea"/>
              <a:cs typeface="+mn-cs"/>
            </a:rPr>
            <a:t>Exigence 6.2.1</a:t>
          </a:r>
          <a:r>
            <a:rPr lang="fr-FR" sz="1000">
              <a:solidFill>
                <a:sysClr val="windowText" lastClr="000000"/>
              </a:solidFill>
              <a:effectLst/>
              <a:latin typeface="Century Gothic" panose="020B0502020202020204" pitchFamily="34" charset="0"/>
              <a:ea typeface="+mn-ea"/>
              <a:cs typeface="+mn-cs"/>
            </a:rPr>
            <a:t> : La direction élabore et met en œuvre un plan pour conserver les écosystèmes naturels. Le plan se base sur la carte requise dans la section 1.2.9 et la section sur les écosystèmes naturels de l’Outil d’évaluation des risques pour les exploitations agricoles dans la section 1.3.1 et est mis à jour annuellement. </a:t>
          </a:r>
        </a:p>
        <a:p>
          <a:r>
            <a:rPr lang="fr-FR" sz="1000">
              <a:solidFill>
                <a:sysClr val="windowText" lastClr="000000"/>
              </a:solidFill>
              <a:effectLst/>
              <a:latin typeface="Century Gothic" panose="020B0502020202020204" pitchFamily="34" charset="0"/>
              <a:ea typeface="+mn-ea"/>
              <a:cs typeface="+mn-cs"/>
            </a:rPr>
            <a:t> </a:t>
          </a:r>
        </a:p>
        <a:p>
          <a:r>
            <a:rPr lang="fr-FR" sz="1050" u="sng">
              <a:solidFill>
                <a:sysClr val="windowText" lastClr="000000"/>
              </a:solidFill>
              <a:effectLst/>
              <a:latin typeface="Century Gothic" panose="020B0502020202020204" pitchFamily="34" charset="0"/>
              <a:ea typeface="+mn-ea"/>
              <a:cs typeface="+mn-cs"/>
            </a:rPr>
            <a:t>Évaluation approfondie des risques des exploitations agricoles (exigences d’amélioration) :</a:t>
          </a:r>
        </a:p>
        <a:p>
          <a:r>
            <a:rPr lang="fr-FR" sz="1000" b="1">
              <a:solidFill>
                <a:sysClr val="windowText" lastClr="000000"/>
              </a:solidFill>
              <a:effectLst/>
              <a:latin typeface="Century Gothic" panose="020B0502020202020204" pitchFamily="34" charset="0"/>
              <a:ea typeface="+mn-ea"/>
              <a:cs typeface="+mn-cs"/>
            </a:rPr>
            <a:t>Exigence 1.3.5 :</a:t>
          </a:r>
          <a:r>
            <a:rPr lang="fr-FR" sz="1000">
              <a:solidFill>
                <a:sysClr val="windowText" lastClr="000000"/>
              </a:solidFill>
              <a:effectLst/>
              <a:latin typeface="Century Gothic" panose="020B0502020202020204" pitchFamily="34" charset="0"/>
              <a:ea typeface="+mn-ea"/>
              <a:cs typeface="+mn-cs"/>
            </a:rPr>
            <a:t> En fonction des résultats de l’évaluation de base des risques des exploitations agricoles (1.3.1), la direction effectue l’évaluation approfondie des risques des exploitations agricoles dus au changement climatique afin d’évaluer plus en détails les menaces climatiques et les mesures d’atténuation correspondantes adaptées au contexte régional.</a:t>
          </a:r>
        </a:p>
        <a:p>
          <a:r>
            <a:rPr lang="fr-FR" sz="1000" b="1">
              <a:solidFill>
                <a:sysClr val="windowText" lastClr="000000"/>
              </a:solidFill>
              <a:effectLst/>
              <a:latin typeface="Century Gothic" panose="020B0502020202020204" pitchFamily="34" charset="0"/>
              <a:ea typeface="+mn-ea"/>
              <a:cs typeface="+mn-cs"/>
            </a:rPr>
            <a:t>Exigence 1.6.3 :</a:t>
          </a:r>
          <a:r>
            <a:rPr lang="fr-FR" sz="1000">
              <a:solidFill>
                <a:sysClr val="windowText" lastClr="000000"/>
              </a:solidFill>
              <a:effectLst/>
              <a:latin typeface="Century Gothic" panose="020B0502020202020204" pitchFamily="34" charset="0"/>
              <a:ea typeface="+mn-ea"/>
              <a:cs typeface="+mn-cs"/>
            </a:rPr>
            <a:t> À partir de la première année, la personne/comité responsable : Met en œuvre l’outil d’évaluation approfondie des risques liés au genre sur les exploitations agricoles et le répète tous les trois ans au minimum.</a:t>
          </a:r>
        </a:p>
        <a:p>
          <a:r>
            <a:rPr lang="fr-FR" sz="1000" b="1">
              <a:solidFill>
                <a:sysClr val="windowText" lastClr="000000"/>
              </a:solidFill>
              <a:effectLst/>
              <a:latin typeface="Century Gothic" panose="020B0502020202020204" pitchFamily="34" charset="0"/>
              <a:ea typeface="+mn-ea"/>
              <a:cs typeface="+mn-cs"/>
            </a:rPr>
            <a:t>Exigence 5.1.5</a:t>
          </a:r>
          <a:r>
            <a:rPr lang="fr-FR" sz="1000">
              <a:solidFill>
                <a:sysClr val="windowText" lastClr="000000"/>
              </a:solidFill>
              <a:effectLst/>
              <a:latin typeface="Century Gothic" panose="020B0502020202020204" pitchFamily="34" charset="0"/>
              <a:ea typeface="+mn-ea"/>
              <a:cs typeface="+mn-cs"/>
            </a:rPr>
            <a:t> : Au cours de l’année 1 de la certification, le comité/représentant de la direction : </a:t>
          </a:r>
        </a:p>
        <a:p>
          <a:r>
            <a:rPr lang="fr-FR" sz="1000">
              <a:solidFill>
                <a:sysClr val="windowText" lastClr="000000"/>
              </a:solidFill>
              <a:effectLst/>
              <a:latin typeface="Century Gothic" panose="020B0502020202020204" pitchFamily="34" charset="0"/>
              <a:ea typeface="+mn-ea"/>
              <a:cs typeface="+mn-cs"/>
            </a:rPr>
            <a:t>Applique l’évaluation et la résolution approfondies des risques</a:t>
          </a:r>
        </a:p>
        <a:p>
          <a:r>
            <a:rPr lang="fr-FR" sz="1000">
              <a:solidFill>
                <a:sysClr val="windowText" lastClr="000000"/>
              </a:solidFill>
              <a:effectLst/>
              <a:latin typeface="Century Gothic" panose="020B0502020202020204" pitchFamily="34" charset="0"/>
              <a:ea typeface="+mn-ea"/>
              <a:cs typeface="+mn-cs"/>
            </a:rPr>
            <a:t>Intègre les mesures d’atténuation correspondantes dans le Plan de gestion(1.3.2)</a:t>
          </a:r>
        </a:p>
        <a:p>
          <a:r>
            <a:rPr lang="fr-FR" sz="1000">
              <a:solidFill>
                <a:sysClr val="windowText" lastClr="000000"/>
              </a:solidFill>
              <a:effectLst/>
              <a:latin typeface="Century Gothic" panose="020B0502020202020204" pitchFamily="34" charset="0"/>
              <a:ea typeface="+mn-ea"/>
              <a:cs typeface="+mn-cs"/>
            </a:rPr>
            <a:t>Met en œuvre ces mesures </a:t>
          </a:r>
        </a:p>
      </xdr:txBody>
    </xdr:sp>
    <xdr:clientData/>
  </xdr:oneCellAnchor>
  <xdr:oneCellAnchor>
    <xdr:from>
      <xdr:col>12</xdr:col>
      <xdr:colOff>135889</xdr:colOff>
      <xdr:row>1</xdr:row>
      <xdr:rowOff>160019</xdr:rowOff>
    </xdr:from>
    <xdr:ext cx="9603106" cy="7240905"/>
    <xdr:sp macro="" textlink="">
      <xdr:nvSpPr>
        <xdr:cNvPr id="4" name="TextBox 3">
          <a:extLst>
            <a:ext uri="{FF2B5EF4-FFF2-40B4-BE49-F238E27FC236}">
              <a16:creationId xmlns:a16="http://schemas.microsoft.com/office/drawing/2014/main" id="{FB1D4102-0968-4353-BD23-3BF46AF1D18A}"/>
            </a:ext>
          </a:extLst>
        </xdr:cNvPr>
        <xdr:cNvSpPr txBox="1"/>
      </xdr:nvSpPr>
      <xdr:spPr>
        <a:xfrm>
          <a:off x="7784464" y="340994"/>
          <a:ext cx="9603106" cy="7240905"/>
        </a:xfrm>
        <a:prstGeom prst="rect">
          <a:avLst/>
        </a:prstGeom>
        <a:solidFill>
          <a:srgbClr val="CCDE82">
            <a:alpha val="50196"/>
          </a:srgbClr>
        </a:solidFill>
        <a:ln>
          <a:solidFill>
            <a:srgbClr val="CCDE82"/>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pPr eaLnBrk="1" fontAlgn="auto" latinLnBrk="0" hangingPunct="1"/>
          <a:r>
            <a:rPr lang="fr-FR" sz="1000" b="1" i="0" baseline="0">
              <a:solidFill>
                <a:sysClr val="windowText" lastClr="000000"/>
              </a:solidFill>
              <a:effectLst/>
              <a:latin typeface="Century Gothic" panose="020B0502020202020204" pitchFamily="34" charset="0"/>
              <a:ea typeface="+mn-ea"/>
              <a:cs typeface="+mn-cs"/>
            </a:rPr>
            <a:t>Pourquoi créer un outil d’évaluation des risques pour les exploitations agricoles</a:t>
          </a:r>
          <a:r>
            <a:rPr lang="fr-FR" sz="1000" i="0" baseline="0">
              <a:solidFill>
                <a:sysClr val="windowText" lastClr="000000"/>
              </a:solidFill>
              <a:effectLst/>
              <a:latin typeface="Century Gothic" panose="020B0502020202020204" pitchFamily="34" charset="0"/>
              <a:ea typeface="+mn-ea"/>
              <a:cs typeface="+mn-cs"/>
            </a:rPr>
            <a:t> </a:t>
          </a:r>
          <a:r>
            <a:rPr lang="fr-FR" sz="1000" b="0" i="0" baseline="0">
              <a:solidFill>
                <a:sysClr val="windowText" lastClr="000000"/>
              </a:solidFill>
              <a:effectLst/>
              <a:latin typeface="Century Gothic" panose="020B0502020202020204" pitchFamily="34" charset="0"/>
              <a:ea typeface="+mn-ea"/>
              <a:cs typeface="+mn-cs"/>
            </a:rPr>
            <a:t>?</a:t>
          </a: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L’objectif est d’aider les titulaires d’un certificat à définir les éléments permettant </a:t>
          </a:r>
          <a:r>
            <a:rPr lang="fr-FR" sz="1000" b="0" i="0" baseline="0">
              <a:solidFill>
                <a:schemeClr val="tx1"/>
              </a:solidFill>
              <a:effectLst/>
              <a:latin typeface="Century Gothic" panose="020B0502020202020204" pitchFamily="34" charset="0"/>
              <a:ea typeface="+mn-ea"/>
              <a:cs typeface="+mn-cs"/>
            </a:rPr>
            <a:t>d’atteindre les objectifs de durabilité définis par</a:t>
          </a:r>
          <a:r>
            <a:rPr lang="fr-FR" sz="1000" b="0" i="0" baseline="0">
              <a:solidFill>
                <a:sysClr val="windowText" lastClr="000000"/>
              </a:solidFill>
              <a:effectLst/>
              <a:latin typeface="Century Gothic" panose="020B0502020202020204" pitchFamily="34" charset="0"/>
              <a:ea typeface="+mn-ea"/>
              <a:cs typeface="+mn-cs"/>
            </a:rPr>
            <a:t> la norme parce que :</a:t>
          </a: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 la </a:t>
          </a:r>
          <a:r>
            <a:rPr lang="fr-FR" sz="1000" b="1" i="0" baseline="0">
              <a:solidFill>
                <a:sysClr val="windowText" lastClr="000000"/>
              </a:solidFill>
              <a:effectLst/>
              <a:latin typeface="Century Gothic" panose="020B0502020202020204" pitchFamily="34" charset="0"/>
              <a:ea typeface="+mn-ea"/>
              <a:cs typeface="+mn-cs"/>
            </a:rPr>
            <a:t>norme ne peut pas couvrir l’ensemble des différentes circonstances possibles </a:t>
          </a:r>
          <a:r>
            <a:rPr lang="fr-FR" sz="1000" b="0" i="0" baseline="0">
              <a:solidFill>
                <a:sysClr val="windowText" lastClr="000000"/>
              </a:solidFill>
              <a:effectLst/>
              <a:latin typeface="Century Gothic" panose="020B0502020202020204" pitchFamily="34" charset="0"/>
              <a:ea typeface="+mn-ea"/>
              <a:cs typeface="+mn-cs"/>
            </a:rPr>
            <a:t>susceptibles de se présenter dans une exploitation agricole, un groupe ou une zone particulière. </a:t>
          </a: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 la norme </a:t>
          </a:r>
          <a:r>
            <a:rPr lang="fr-FR" sz="1000" b="1" i="0" baseline="0">
              <a:solidFill>
                <a:sysClr val="windowText" lastClr="000000"/>
              </a:solidFill>
              <a:effectLst/>
              <a:latin typeface="Century Gothic" panose="020B0502020202020204" pitchFamily="34" charset="0"/>
              <a:ea typeface="+mn-ea"/>
              <a:cs typeface="+mn-cs"/>
            </a:rPr>
            <a:t>ne peut pas définir</a:t>
          </a:r>
          <a:r>
            <a:rPr lang="fr-FR" sz="1000" b="0" i="0" baseline="0">
              <a:solidFill>
                <a:sysClr val="windowText" lastClr="000000"/>
              </a:solidFill>
              <a:effectLst/>
              <a:latin typeface="Century Gothic" panose="020B0502020202020204" pitchFamily="34" charset="0"/>
              <a:ea typeface="+mn-ea"/>
              <a:cs typeface="+mn-cs"/>
            </a:rPr>
            <a:t> ce qui constitue les meilleures pratiques ou </a:t>
          </a:r>
          <a:r>
            <a:rPr lang="fr-FR" sz="1000" b="1" i="0" baseline="0">
              <a:solidFill>
                <a:sysClr val="windowText" lastClr="000000"/>
              </a:solidFill>
              <a:effectLst/>
              <a:latin typeface="Century Gothic" panose="020B0502020202020204" pitchFamily="34" charset="0"/>
              <a:ea typeface="+mn-ea"/>
              <a:cs typeface="+mn-cs"/>
            </a:rPr>
            <a:t>les mesures les plus efficaces </a:t>
          </a:r>
          <a:r>
            <a:rPr lang="fr-FR" sz="1000" b="1" i="0" baseline="0">
              <a:solidFill>
                <a:schemeClr val="tx1"/>
              </a:solidFill>
              <a:effectLst/>
              <a:latin typeface="Century Gothic" panose="020B0502020202020204" pitchFamily="34" charset="0"/>
              <a:ea typeface="+mn-ea"/>
              <a:cs typeface="+mn-cs"/>
            </a:rPr>
            <a:t>dans toutes les circonstances dès lors que les réponses aux besoins spécifiques des différents contextes nécessitent des mesures différentes</a:t>
          </a:r>
          <a:r>
            <a:rPr lang="fr-FR" sz="1000" b="0" i="0" baseline="0">
              <a:solidFill>
                <a:sysClr val="windowText" lastClr="000000"/>
              </a:solidFill>
              <a:effectLst/>
              <a:latin typeface="Century Gothic" panose="020B0502020202020204" pitchFamily="34" charset="0"/>
              <a:ea typeface="+mn-ea"/>
              <a:cs typeface="+mn-cs"/>
            </a:rPr>
            <a:t>. </a:t>
          </a:r>
        </a:p>
        <a:p>
          <a:pPr eaLnBrk="1" fontAlgn="auto" latinLnBrk="0" hangingPunct="1"/>
          <a:endParaRP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En répondant à un ensemble de questions prédéfinies, l’outil est un</a:t>
          </a:r>
          <a:r>
            <a:rPr lang="fr-FR" sz="1000" i="0" baseline="0">
              <a:solidFill>
                <a:sysClr val="windowText" lastClr="000000"/>
              </a:solidFill>
              <a:effectLst/>
              <a:latin typeface="Century Gothic" panose="020B0502020202020204" pitchFamily="34" charset="0"/>
              <a:ea typeface="+mn-ea"/>
              <a:cs typeface="+mn-cs"/>
            </a:rPr>
            <a:t> </a:t>
          </a:r>
          <a:r>
            <a:rPr lang="fr-FR" sz="1000" b="1" i="0" baseline="0">
              <a:solidFill>
                <a:sysClr val="windowText" lastClr="000000"/>
              </a:solidFill>
              <a:effectLst/>
              <a:latin typeface="Century Gothic" panose="020B0502020202020204" pitchFamily="34" charset="0"/>
              <a:ea typeface="+mn-ea"/>
              <a:cs typeface="+mn-cs"/>
            </a:rPr>
            <a:t>guide</a:t>
          </a:r>
          <a:r>
            <a:rPr lang="fr-FR" sz="1000" b="0" i="0" baseline="0">
              <a:solidFill>
                <a:sysClr val="windowText" lastClr="000000"/>
              </a:solidFill>
              <a:effectLst/>
              <a:latin typeface="Century Gothic" panose="020B0502020202020204" pitchFamily="34" charset="0"/>
              <a:ea typeface="+mn-ea"/>
              <a:cs typeface="+mn-cs"/>
            </a:rPr>
            <a:t> qui répond à une série prédéfinie de questions </a:t>
          </a:r>
          <a:r>
            <a:rPr lang="fr-FR" sz="1000" b="0" i="0" baseline="0">
              <a:solidFill>
                <a:schemeClr val="tx1"/>
              </a:solidFill>
              <a:effectLst/>
              <a:latin typeface="Century Gothic" panose="020B0502020202020204" pitchFamily="34" charset="0"/>
              <a:ea typeface="+mn-ea"/>
              <a:cs typeface="+mn-cs"/>
            </a:rPr>
            <a:t>afin de permettre aux titulaires de certificats d’identifier la meilleure manière de réduire les risques </a:t>
          </a:r>
          <a:r>
            <a:rPr lang="fr-FR" sz="1000" b="0" i="0" baseline="0">
              <a:solidFill>
                <a:sysClr val="windowText" lastClr="000000"/>
              </a:solidFill>
              <a:effectLst/>
              <a:latin typeface="Century Gothic" panose="020B0502020202020204" pitchFamily="34" charset="0"/>
              <a:ea typeface="+mn-ea"/>
              <a:cs typeface="+mn-cs"/>
            </a:rPr>
            <a:t>d’atteinte à l’agriculture durable sur leur exploitation et d’atteindre leurs objectifs. </a:t>
          </a: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L’outil</a:t>
          </a:r>
          <a:r>
            <a:rPr lang="fr-FR" sz="1000" i="0" baseline="0">
              <a:solidFill>
                <a:sysClr val="windowText" lastClr="000000"/>
              </a:solidFill>
              <a:effectLst/>
              <a:latin typeface="Century Gothic" panose="020B0502020202020204" pitchFamily="34" charset="0"/>
              <a:ea typeface="+mn-ea"/>
              <a:cs typeface="+mn-cs"/>
            </a:rPr>
            <a:t> </a:t>
          </a:r>
          <a:r>
            <a:rPr lang="fr-FR" sz="1000" b="1" i="0" baseline="0">
              <a:solidFill>
                <a:sysClr val="windowText" lastClr="000000"/>
              </a:solidFill>
              <a:effectLst/>
              <a:latin typeface="Century Gothic" panose="020B0502020202020204" pitchFamily="34" charset="0"/>
              <a:ea typeface="+mn-ea"/>
              <a:cs typeface="+mn-cs"/>
            </a:rPr>
            <a:t>n’a pas</a:t>
          </a:r>
          <a:r>
            <a:rPr lang="fr-FR" sz="1000" b="0" i="0" baseline="0">
              <a:solidFill>
                <a:sysClr val="windowText" lastClr="000000"/>
              </a:solidFill>
              <a:effectLst/>
              <a:latin typeface="Century Gothic" panose="020B0502020202020204" pitchFamily="34" charset="0"/>
              <a:ea typeface="+mn-ea"/>
              <a:cs typeface="+mn-cs"/>
            </a:rPr>
            <a:t> pour objet de permettre à Rainforest Alliance ni à tout autre tiers d’</a:t>
          </a:r>
          <a:r>
            <a:rPr lang="fr-FR" sz="1000" b="1" i="0" baseline="0">
              <a:solidFill>
                <a:sysClr val="windowText" lastClr="000000"/>
              </a:solidFill>
              <a:effectLst/>
              <a:latin typeface="Century Gothic" panose="020B0502020202020204" pitchFamily="34" charset="0"/>
              <a:ea typeface="+mn-ea"/>
              <a:cs typeface="+mn-cs"/>
            </a:rPr>
            <a:t>évaluer</a:t>
          </a:r>
          <a:r>
            <a:rPr lang="fr-FR" sz="1000" b="0" i="0" baseline="0">
              <a:solidFill>
                <a:sysClr val="windowText" lastClr="000000"/>
              </a:solidFill>
              <a:effectLst/>
              <a:latin typeface="Century Gothic" panose="020B0502020202020204" pitchFamily="34" charset="0"/>
              <a:ea typeface="+mn-ea"/>
              <a:cs typeface="+mn-cs"/>
            </a:rPr>
            <a:t> </a:t>
          </a:r>
          <a:r>
            <a:rPr lang="fr-FR" sz="1000" b="1" i="0" baseline="0">
              <a:solidFill>
                <a:sysClr val="windowText" lastClr="000000"/>
              </a:solidFill>
              <a:effectLst/>
              <a:latin typeface="Century Gothic" panose="020B0502020202020204" pitchFamily="34" charset="0"/>
              <a:ea typeface="+mn-ea"/>
              <a:cs typeface="+mn-cs"/>
            </a:rPr>
            <a:t>le niveau de risque </a:t>
          </a:r>
          <a:r>
            <a:rPr lang="fr-FR" sz="1000" b="0" i="0" baseline="0">
              <a:solidFill>
                <a:sysClr val="windowText" lastClr="000000"/>
              </a:solidFill>
              <a:effectLst/>
              <a:latin typeface="Century Gothic" panose="020B0502020202020204" pitchFamily="34" charset="0"/>
              <a:ea typeface="+mn-ea"/>
              <a:cs typeface="+mn-cs"/>
            </a:rPr>
            <a:t>auquel le détenteur d’un certificat </a:t>
          </a:r>
          <a:r>
            <a:rPr lang="fr-FR" sz="1000" b="0" i="0" baseline="0">
              <a:solidFill>
                <a:schemeClr val="tx1"/>
              </a:solidFill>
              <a:effectLst/>
              <a:latin typeface="Century Gothic" panose="020B0502020202020204" pitchFamily="34" charset="0"/>
              <a:ea typeface="+mn-ea"/>
              <a:cs typeface="+mn-cs"/>
            </a:rPr>
            <a:t>est exposé</a:t>
          </a:r>
          <a:r>
            <a:rPr lang="fr-FR" sz="1000" b="0" i="0" baseline="0">
              <a:solidFill>
                <a:sysClr val="windowText" lastClr="000000"/>
              </a:solidFill>
              <a:effectLst/>
              <a:latin typeface="Century Gothic" panose="020B0502020202020204" pitchFamily="34" charset="0"/>
              <a:ea typeface="+mn-ea"/>
              <a:cs typeface="+mn-cs"/>
            </a:rPr>
            <a:t>. </a:t>
          </a:r>
        </a:p>
        <a:p>
          <a:pPr fontAlgn="base"/>
          <a:endParaRPr/>
        </a:p>
        <a:p>
          <a:pPr eaLnBrk="1" fontAlgn="auto" latinLnBrk="0" hangingPunct="1"/>
          <a:r>
            <a:rPr lang="fr-FR" sz="1000" b="1" i="0" baseline="0">
              <a:solidFill>
                <a:sysClr val="windowText" lastClr="000000"/>
              </a:solidFill>
              <a:effectLst/>
              <a:latin typeface="Century Gothic" panose="020B0502020202020204" pitchFamily="34" charset="0"/>
              <a:ea typeface="+mn-ea"/>
              <a:cs typeface="+mn-cs"/>
            </a:rPr>
            <a:t>Sommaire</a:t>
          </a: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Les</a:t>
          </a:r>
          <a:r>
            <a:rPr lang="fr-FR" sz="1000" i="0" baseline="0">
              <a:solidFill>
                <a:sysClr val="windowText" lastClr="000000"/>
              </a:solidFill>
              <a:effectLst/>
              <a:latin typeface="Century Gothic" panose="020B0502020202020204" pitchFamily="34" charset="0"/>
              <a:ea typeface="+mn-ea"/>
              <a:cs typeface="+mn-cs"/>
            </a:rPr>
            <a:t> </a:t>
          </a:r>
          <a:r>
            <a:rPr lang="fr-FR" sz="1000" b="1" i="0" baseline="0">
              <a:solidFill>
                <a:sysClr val="windowText" lastClr="000000"/>
              </a:solidFill>
              <a:effectLst/>
              <a:latin typeface="Century Gothic" panose="020B0502020202020204" pitchFamily="34" charset="0"/>
              <a:ea typeface="+mn-ea"/>
              <a:cs typeface="+mn-cs"/>
            </a:rPr>
            <a:t>sujets</a:t>
          </a:r>
          <a:r>
            <a:rPr lang="fr-FR" sz="1000" b="0" i="0" baseline="0">
              <a:solidFill>
                <a:sysClr val="windowText" lastClr="000000"/>
              </a:solidFill>
              <a:effectLst/>
              <a:latin typeface="Century Gothic" panose="020B0502020202020204" pitchFamily="34" charset="0"/>
              <a:ea typeface="+mn-ea"/>
              <a:cs typeface="+mn-cs"/>
            </a:rPr>
            <a:t> couverts par l’Outil d’évaluation approfondie des risques pour les exploitations agricoles sont :</a:t>
          </a:r>
        </a:p>
        <a:p>
          <a:pPr marL="171450" indent="-171450" eaLnBrk="1" fontAlgn="auto" latinLnBrk="0" hangingPunct="1">
            <a:buFont typeface="Arial" panose="020B0604020202020204" pitchFamily="34" charset="0"/>
            <a:buChar char="•"/>
          </a:pPr>
          <a:r>
            <a:rPr lang="fr-FR" sz="1000" b="0" baseline="0">
              <a:solidFill>
                <a:sysClr val="windowText" lastClr="000000"/>
              </a:solidFill>
              <a:effectLst/>
              <a:latin typeface="Century Gothic" panose="020B0502020202020204" pitchFamily="34" charset="0"/>
              <a:ea typeface="+mn-ea"/>
              <a:cs typeface="+mn-cs"/>
            </a:rPr>
            <a:t>Chapitre social </a:t>
          </a:r>
          <a:r>
            <a:rPr lang="fr-FR" sz="1000" b="0" i="0" baseline="0">
              <a:solidFill>
                <a:sysClr val="windowText" lastClr="000000"/>
              </a:solidFill>
              <a:effectLst/>
              <a:latin typeface="Century Gothic" panose="020B0502020202020204" pitchFamily="34" charset="0"/>
              <a:ea typeface="+mn-ea"/>
              <a:cs typeface="+mn-cs"/>
            </a:rPr>
            <a:t>: Évaluation-et-résolution (travail des enfants, travail forcé, discrimination, violence et harcèlement sur le lieu de travail)</a:t>
          </a:r>
        </a:p>
        <a:p>
          <a:pPr eaLnBrk="1" fontAlgn="auto" latinLnBrk="0" hangingPunct="1"/>
          <a:endParaRP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À chaque sujet correspond un nombre limité de </a:t>
          </a:r>
          <a:r>
            <a:rPr lang="fr-FR" sz="1000" b="1" i="0" baseline="0">
              <a:solidFill>
                <a:sysClr val="windowText" lastClr="000000"/>
              </a:solidFill>
              <a:effectLst/>
              <a:latin typeface="Century Gothic" panose="020B0502020202020204" pitchFamily="34" charset="0"/>
              <a:ea typeface="+mn-ea"/>
              <a:cs typeface="+mn-cs"/>
            </a:rPr>
            <a:t>questions</a:t>
          </a:r>
          <a:r>
            <a:rPr lang="fr-FR" sz="1000" b="0" i="0" baseline="0">
              <a:solidFill>
                <a:sysClr val="windowText" lastClr="000000"/>
              </a:solidFill>
              <a:effectLst/>
              <a:latin typeface="Century Gothic" panose="020B0502020202020204" pitchFamily="34" charset="0"/>
              <a:ea typeface="+mn-ea"/>
              <a:cs typeface="+mn-cs"/>
            </a:rPr>
            <a:t> auxquelles il faut répondre par </a:t>
          </a:r>
          <a:r>
            <a:rPr lang="fr-FR" sz="1000" b="1" i="0" baseline="0">
              <a:solidFill>
                <a:sysClr val="windowText" lastClr="000000"/>
              </a:solidFill>
              <a:effectLst/>
              <a:latin typeface="Century Gothic" panose="020B0502020202020204" pitchFamily="34" charset="0"/>
              <a:ea typeface="+mn-ea"/>
              <a:cs typeface="+mn-cs"/>
            </a:rPr>
            <a:t>oui</a:t>
          </a:r>
          <a:r>
            <a:rPr lang="fr-FR" sz="1000" b="0" i="0" baseline="0">
              <a:solidFill>
                <a:sysClr val="windowText" lastClr="000000"/>
              </a:solidFill>
              <a:effectLst/>
              <a:latin typeface="Century Gothic" panose="020B0502020202020204" pitchFamily="34" charset="0"/>
              <a:ea typeface="+mn-ea"/>
              <a:cs typeface="+mn-cs"/>
            </a:rPr>
            <a:t> ou par </a:t>
          </a:r>
          <a:r>
            <a:rPr lang="fr-FR" sz="1000" b="1" i="0" baseline="0">
              <a:solidFill>
                <a:sysClr val="windowText" lastClr="000000"/>
              </a:solidFill>
              <a:effectLst/>
              <a:latin typeface="Century Gothic" panose="020B0502020202020204" pitchFamily="34" charset="0"/>
              <a:ea typeface="+mn-ea"/>
              <a:cs typeface="+mn-cs"/>
            </a:rPr>
            <a:t>non</a:t>
          </a:r>
          <a:r>
            <a:rPr lang="fr-FR" sz="1000" b="0" i="0" baseline="0">
              <a:solidFill>
                <a:sysClr val="windowText" lastClr="000000"/>
              </a:solidFill>
              <a:effectLst/>
              <a:latin typeface="Century Gothic" panose="020B0502020202020204" pitchFamily="34" charset="0"/>
              <a:ea typeface="+mn-ea"/>
              <a:cs typeface="+mn-cs"/>
            </a:rPr>
            <a:t>. En fonction de la réponse, les</a:t>
          </a:r>
          <a:r>
            <a:rPr lang="fr-FR" sz="1000" b="1" i="0" baseline="0">
              <a:solidFill>
                <a:sysClr val="windowText" lastClr="000000"/>
              </a:solidFill>
              <a:effectLst/>
              <a:latin typeface="Century Gothic" panose="020B0502020202020204" pitchFamily="34" charset="0"/>
              <a:ea typeface="+mn-ea"/>
              <a:cs typeface="+mn-cs"/>
            </a:rPr>
            <a:t>mesures</a:t>
          </a:r>
          <a:r>
            <a:rPr lang="fr-FR" sz="1000" b="0" i="0" baseline="0">
              <a:solidFill>
                <a:sysClr val="windowText" lastClr="000000"/>
              </a:solidFill>
              <a:effectLst/>
              <a:latin typeface="Century Gothic" panose="020B0502020202020204" pitchFamily="34" charset="0"/>
              <a:ea typeface="+mn-ea"/>
              <a:cs typeface="+mn-cs"/>
            </a:rPr>
            <a:t> </a:t>
          </a:r>
          <a:r>
            <a:rPr lang="fr-FR" sz="1000" b="1" i="0" baseline="0">
              <a:solidFill>
                <a:sysClr val="windowText" lastClr="000000"/>
              </a:solidFill>
              <a:effectLst/>
              <a:latin typeface="Century Gothic" panose="020B0502020202020204" pitchFamily="34" charset="0"/>
              <a:ea typeface="+mn-ea"/>
              <a:cs typeface="+mn-cs"/>
            </a:rPr>
            <a:t>recommandées d’atténuation des risques</a:t>
          </a:r>
          <a:r>
            <a:rPr lang="fr-FR" sz="1000" b="0" i="0" baseline="0">
              <a:solidFill>
                <a:sysClr val="windowText" lastClr="000000"/>
              </a:solidFill>
              <a:effectLst/>
              <a:latin typeface="Century Gothic" panose="020B0502020202020204" pitchFamily="34" charset="0"/>
              <a:ea typeface="+mn-ea"/>
              <a:cs typeface="+mn-cs"/>
            </a:rPr>
            <a:t> apparaissent dans la cellule suivante sur la même ligne. </a:t>
          </a:r>
        </a:p>
        <a:p>
          <a:pPr eaLnBrk="1" fontAlgn="auto" latinLnBrk="0" hangingPunct="1"/>
          <a:endParaRPr/>
        </a:p>
        <a:p>
          <a:pPr eaLnBrk="1" fontAlgn="auto" latinLnBrk="0" hangingPunct="1"/>
          <a:r>
            <a:rPr lang="fr-FR" sz="1000" b="1" i="0" baseline="0">
              <a:solidFill>
                <a:sysClr val="windowText" lastClr="000000"/>
              </a:solidFill>
              <a:effectLst/>
              <a:latin typeface="Century Gothic" panose="020B0502020202020204" pitchFamily="34" charset="0"/>
              <a:ea typeface="+mn-ea"/>
              <a:cs typeface="+mn-cs"/>
            </a:rPr>
            <a:t>Utilisation de l’outil d’évaluation des risques</a:t>
          </a: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L’outil d’évaluation des risques est utilisé par la direction d’un groupe ou d'une exploitation individuelle pour identifier </a:t>
          </a:r>
          <a:r>
            <a:rPr lang="fr-FR" sz="1000" b="1" i="0" baseline="0">
              <a:solidFill>
                <a:sysClr val="windowText" lastClr="000000"/>
              </a:solidFill>
              <a:effectLst/>
              <a:latin typeface="Century Gothic" panose="020B0502020202020204" pitchFamily="34" charset="0"/>
              <a:ea typeface="+mn-ea"/>
              <a:cs typeface="+mn-cs"/>
            </a:rPr>
            <a:t>les mesures à prendre pour atténuer les risques identifiés</a:t>
          </a:r>
          <a:r>
            <a:rPr lang="fr-FR" sz="1000" b="0" i="0" baseline="0">
              <a:solidFill>
                <a:sysClr val="windowText" lastClr="000000"/>
              </a:solidFill>
              <a:effectLst/>
              <a:latin typeface="Century Gothic" panose="020B0502020202020204" pitchFamily="34" charset="0"/>
              <a:ea typeface="+mn-ea"/>
              <a:cs typeface="+mn-cs"/>
            </a:rPr>
            <a:t>.</a:t>
          </a:r>
        </a:p>
        <a:p>
          <a:pPr eaLnBrk="1" fontAlgn="auto" latinLnBrk="0" hangingPunct="1"/>
          <a:endParaRPr/>
        </a:p>
        <a:p>
          <a:pPr marL="0" marR="0" lvl="0" indent="0" defTabSz="914400" eaLnBrk="1" fontAlgn="auto" latinLnBrk="0" hangingPunct="1">
            <a:lnSpc>
              <a:spcPct val="100000"/>
            </a:lnSpc>
            <a:spcBef>
              <a:spcPts val="0"/>
            </a:spcBef>
            <a:spcAft>
              <a:spcPts val="0"/>
            </a:spcAft>
            <a:buClrTx/>
            <a:buSzTx/>
            <a:buFontTx/>
            <a:buNone/>
            <a:tabLst/>
            <a:defRPr/>
          </a:pPr>
          <a:r>
            <a:rPr lang="fr-FR" sz="1000" b="0" i="0" baseline="0">
              <a:solidFill>
                <a:sysClr val="windowText" lastClr="000000"/>
              </a:solidFill>
              <a:effectLst/>
              <a:latin typeface="Century Gothic" panose="020B0502020202020204" pitchFamily="34" charset="0"/>
              <a:ea typeface="+mn-ea"/>
              <a:cs typeface="+mn-cs"/>
            </a:rPr>
            <a:t>Le résultat de l’évaluation des risques est une liste de mesures à inclure dans le</a:t>
          </a:r>
          <a:r>
            <a:rPr lang="fr-FR" sz="1000" i="0" baseline="0">
              <a:solidFill>
                <a:sysClr val="windowText" lastClr="000000"/>
              </a:solidFill>
              <a:effectLst/>
              <a:latin typeface="Century Gothic" panose="020B0502020202020204" pitchFamily="34" charset="0"/>
              <a:ea typeface="+mn-ea"/>
              <a:cs typeface="+mn-cs"/>
            </a:rPr>
            <a:t> </a:t>
          </a:r>
          <a:r>
            <a:rPr lang="fr-FR" sz="1000" b="1" i="0" baseline="0">
              <a:solidFill>
                <a:sysClr val="windowText" lastClr="000000"/>
              </a:solidFill>
              <a:effectLst/>
              <a:latin typeface="Century Gothic" panose="020B0502020202020204" pitchFamily="34" charset="0"/>
              <a:ea typeface="+mn-ea"/>
              <a:cs typeface="+mn-cs"/>
            </a:rPr>
            <a:t>plan de gestion. </a:t>
          </a:r>
          <a:r>
            <a:rPr lang="fr-FR" sz="1000" b="0" i="0" baseline="0">
              <a:solidFill>
                <a:schemeClr val="tx1"/>
              </a:solidFill>
              <a:effectLst/>
              <a:latin typeface="Century Gothic" panose="020B0502020202020204" pitchFamily="34" charset="0"/>
              <a:ea typeface="+mn-ea"/>
              <a:cs typeface="+mn-cs"/>
            </a:rPr>
            <a:t>L</a:t>
          </a:r>
          <a:r>
            <a:rPr lang="fr-FR" sz="1000" baseline="0">
              <a:solidFill>
                <a:schemeClr val="tx1"/>
              </a:solidFill>
              <a:effectLst/>
              <a:latin typeface="Century Gothic" panose="020B0502020202020204" pitchFamily="34" charset="0"/>
              <a:ea typeface="+mn-ea"/>
              <a:cs typeface="+mn-cs"/>
            </a:rPr>
            <a:t>es résultats de l’évaluation de base des risques sont intégrés dans le plan de gestion dès la première année et mis à jour annuellement sur la base 1. des progrès mis en évidence par le suivi et 2.  des résultats actualisés à l’occasion de l'évaluation triennale des risques.  L’évaluation approfondie des risques doit permettre de définir les mesures à prendre à partir de l’année 1.</a:t>
          </a:r>
        </a:p>
        <a:p>
          <a:pPr eaLnBrk="1" fontAlgn="auto" latinLnBrk="0" hangingPunct="1"/>
          <a:endParaRP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Il est </a:t>
          </a:r>
          <a:r>
            <a:rPr lang="fr-FR" sz="1000" b="1" i="0" baseline="0">
              <a:solidFill>
                <a:sysClr val="windowText" lastClr="000000"/>
              </a:solidFill>
              <a:effectLst/>
              <a:latin typeface="Century Gothic" panose="020B0502020202020204" pitchFamily="34" charset="0"/>
              <a:ea typeface="+mn-ea"/>
              <a:cs typeface="+mn-cs"/>
            </a:rPr>
            <a:t>impératif</a:t>
          </a:r>
          <a:r>
            <a:rPr lang="fr-FR" sz="1000" b="0" i="0" baseline="0">
              <a:solidFill>
                <a:sysClr val="windowText" lastClr="000000"/>
              </a:solidFill>
              <a:effectLst/>
              <a:latin typeface="Century Gothic" panose="020B0502020202020204" pitchFamily="34" charset="0"/>
              <a:ea typeface="+mn-ea"/>
              <a:cs typeface="+mn-cs"/>
            </a:rPr>
            <a:t> de prendre des mesures d’atténuation de chaque risque identifié. Rainforest Alliance recommande fortement les mesures d’atténuation proposées, mais en permettant d'y substituer les autres mesures d’atténuation si elles sont considérées comme plus efficaces dans le contexte spécifique du Titulaire de certificat. Si le Titulaire de certificat décide de prendre des mesures différentes, il doit les justifier et les inclure également dans le Plan de gestion.</a:t>
          </a:r>
        </a:p>
        <a:p>
          <a:pPr eaLnBrk="1" fontAlgn="auto" latinLnBrk="0" hangingPunct="1"/>
          <a:endParaRP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Les </a:t>
          </a:r>
          <a:r>
            <a:rPr lang="fr-FR" sz="1000" b="1" i="0" baseline="0">
              <a:solidFill>
                <a:sysClr val="windowText" lastClr="000000"/>
              </a:solidFill>
              <a:effectLst/>
              <a:latin typeface="Century Gothic" panose="020B0502020202020204" pitchFamily="34" charset="0"/>
              <a:ea typeface="+mn-ea"/>
              <a:cs typeface="+mn-cs"/>
            </a:rPr>
            <a:t>auditeurs</a:t>
          </a:r>
          <a:r>
            <a:rPr lang="fr-FR" sz="1000" b="0" i="0" baseline="0">
              <a:solidFill>
                <a:sysClr val="windowText" lastClr="000000"/>
              </a:solidFill>
              <a:effectLst/>
              <a:latin typeface="Century Gothic" panose="020B0502020202020204" pitchFamily="34" charset="0"/>
              <a:ea typeface="+mn-ea"/>
              <a:cs typeface="+mn-cs"/>
            </a:rPr>
            <a:t> vérifient que l’évaluation des risques a été réalisée et que les mesures ont été intégrées dans le plan de gestion et qu’elles sont mises en œuvre. </a:t>
          </a:r>
        </a:p>
        <a:p>
          <a:pPr eaLnBrk="1" fontAlgn="auto" latinLnBrk="0" hangingPunct="1"/>
          <a:endParaRPr/>
        </a:p>
        <a:p>
          <a:pPr eaLnBrk="1" fontAlgn="auto" latinLnBrk="0" hangingPunct="1"/>
          <a:r>
            <a:rPr lang="fr-FR" sz="1000" b="0" i="0" baseline="0">
              <a:solidFill>
                <a:sysClr val="windowText" lastClr="000000"/>
              </a:solidFill>
              <a:effectLst/>
              <a:latin typeface="Century Gothic" panose="020B0502020202020204" pitchFamily="34" charset="0"/>
              <a:ea typeface="+mn-ea"/>
              <a:cs typeface="+mn-cs"/>
            </a:rPr>
            <a:t>RainForest Alliance ne divulguent pas les </a:t>
          </a:r>
          <a:r>
            <a:rPr lang="fr-FR" sz="1000" b="1" i="0" baseline="0">
              <a:solidFill>
                <a:sysClr val="windowText" lastClr="000000"/>
              </a:solidFill>
              <a:effectLst/>
              <a:latin typeface="Century Gothic" panose="020B0502020202020204" pitchFamily="34" charset="0"/>
              <a:ea typeface="+mn-ea"/>
              <a:cs typeface="+mn-cs"/>
            </a:rPr>
            <a:t>données</a:t>
          </a:r>
          <a:r>
            <a:rPr lang="fr-FR" sz="1000" b="0" i="0" baseline="0">
              <a:solidFill>
                <a:sysClr val="windowText" lastClr="000000"/>
              </a:solidFill>
              <a:effectLst/>
              <a:latin typeface="Century Gothic" panose="020B0502020202020204" pitchFamily="34" charset="0"/>
              <a:ea typeface="+mn-ea"/>
              <a:cs typeface="+mn-cs"/>
            </a:rPr>
            <a:t> de l’évaluation des risques à des tiers extérieurs. Rainforest Alliance peut cependant utiliser les données de l’outil d’évaluation des risques </a:t>
          </a:r>
          <a:r>
            <a:rPr lang="fr-FR" sz="1000" b="0" i="0" baseline="0">
              <a:solidFill>
                <a:schemeClr val="tx1"/>
              </a:solidFill>
              <a:effectLst/>
              <a:latin typeface="Century Gothic" panose="020B0502020202020204" pitchFamily="34" charset="0"/>
              <a:ea typeface="+mn-ea"/>
              <a:cs typeface="+mn-cs"/>
            </a:rPr>
            <a:t>à un niveau agrégé qui ne permet pas d’identifier les titulaires de certificats, </a:t>
          </a:r>
          <a:r>
            <a:rPr lang="fr-FR" sz="1000" b="0" i="0" baseline="0">
              <a:solidFill>
                <a:sysClr val="windowText" lastClr="000000"/>
              </a:solidFill>
              <a:effectLst/>
              <a:latin typeface="Century Gothic" panose="020B0502020202020204" pitchFamily="34" charset="0"/>
              <a:ea typeface="+mn-ea"/>
              <a:cs typeface="+mn-cs"/>
            </a:rPr>
            <a:t>à des fins d’apprentissage, d’adaptation et d’amélioration de l’outil, par ex : recommander des mesures supplémentaires à mettre en œuvre.</a:t>
          </a:r>
        </a:p>
        <a:p>
          <a:pPr fontAlgn="base"/>
          <a:endParaRPr/>
        </a:p>
        <a:p>
          <a:pPr fontAlgn="base"/>
          <a:endParaRPr/>
        </a:p>
        <a:p>
          <a:pPr fontAlgn="base"/>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33</xdr:col>
      <xdr:colOff>6350</xdr:colOff>
      <xdr:row>6</xdr:row>
      <xdr:rowOff>177800</xdr:rowOff>
    </xdr:to>
    <xdr:sp macro="" textlink="">
      <xdr:nvSpPr>
        <xdr:cNvPr id="2" name="Group Box 37" hidden="1">
          <a:extLst>
            <a:ext uri="{63B3BB69-23CF-44E3-9099-C40C66FF867C}">
              <a14:compatExt xmlns:a14="http://schemas.microsoft.com/office/drawing/2010/main" spid="_x0000_s2085"/>
            </a:ext>
            <a:ext uri="{FF2B5EF4-FFF2-40B4-BE49-F238E27FC236}">
              <a16:creationId xmlns:a16="http://schemas.microsoft.com/office/drawing/2014/main" id="{86A76B7C-F267-422E-A333-FC0BE7717821}"/>
            </a:ext>
            <a:ext uri="{147F2762-F138-4A5C-976F-8EAC2B608ADB}">
              <a16:predDERef xmlns:a16="http://schemas.microsoft.com/office/drawing/2014/main" pred="{00000000-0008-0000-0200-000024080000}"/>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3" name="Group Box 42" hidden="1">
          <a:extLst>
            <a:ext uri="{63B3BB69-23CF-44E3-9099-C40C66FF867C}">
              <a14:compatExt xmlns:a14="http://schemas.microsoft.com/office/drawing/2010/main" spid="_x0000_s2090"/>
            </a:ext>
            <a:ext uri="{FF2B5EF4-FFF2-40B4-BE49-F238E27FC236}">
              <a16:creationId xmlns:a16="http://schemas.microsoft.com/office/drawing/2014/main" id="{9D91A364-FAB1-434D-9A86-F0FC87BFCC08}"/>
            </a:ext>
            <a:ext uri="{147F2762-F138-4A5C-976F-8EAC2B608ADB}">
              <a16:predDERef xmlns:a16="http://schemas.microsoft.com/office/drawing/2014/main" pred="{86A76B7C-F267-422E-A333-FC0BE7717821}"/>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4" name="Option Button 51" hidden="1">
          <a:extLst>
            <a:ext uri="{63B3BB69-23CF-44E3-9099-C40C66FF867C}">
              <a14:compatExt xmlns:a14="http://schemas.microsoft.com/office/drawing/2010/main" spid="_x0000_s2099"/>
            </a:ext>
            <a:ext uri="{FF2B5EF4-FFF2-40B4-BE49-F238E27FC236}">
              <a16:creationId xmlns:a16="http://schemas.microsoft.com/office/drawing/2014/main" id="{B215CD7F-1766-4334-8C6F-EE965ED7E7C5}"/>
            </a:ext>
            <a:ext uri="{147F2762-F138-4A5C-976F-8EAC2B608ADB}">
              <a16:predDERef xmlns:a16="http://schemas.microsoft.com/office/drawing/2014/main" pred="{9D91A364-FAB1-434D-9A86-F0FC87BFCC08}"/>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5" name="Option Button 52" hidden="1">
          <a:extLst>
            <a:ext uri="{63B3BB69-23CF-44E3-9099-C40C66FF867C}">
              <a14:compatExt xmlns:a14="http://schemas.microsoft.com/office/drawing/2010/main" spid="_x0000_s2100"/>
            </a:ext>
            <a:ext uri="{FF2B5EF4-FFF2-40B4-BE49-F238E27FC236}">
              <a16:creationId xmlns:a16="http://schemas.microsoft.com/office/drawing/2014/main" id="{E1A2AC2C-0324-44BC-8F7B-D2A02AF6D68B}"/>
            </a:ext>
            <a:ext uri="{147F2762-F138-4A5C-976F-8EAC2B608ADB}">
              <a16:predDERef xmlns:a16="http://schemas.microsoft.com/office/drawing/2014/main" pred="{B215CD7F-1766-4334-8C6F-EE965ED7E7C5}"/>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6" name="Option Button 53" hidden="1">
          <a:extLst>
            <a:ext uri="{63B3BB69-23CF-44E3-9099-C40C66FF867C}">
              <a14:compatExt xmlns:a14="http://schemas.microsoft.com/office/drawing/2010/main" spid="_x0000_s2101"/>
            </a:ext>
            <a:ext uri="{FF2B5EF4-FFF2-40B4-BE49-F238E27FC236}">
              <a16:creationId xmlns:a16="http://schemas.microsoft.com/office/drawing/2014/main" id="{913E1879-6D5D-4427-B79E-AAB04D14D2EF}"/>
            </a:ext>
            <a:ext uri="{147F2762-F138-4A5C-976F-8EAC2B608ADB}">
              <a16:predDERef xmlns:a16="http://schemas.microsoft.com/office/drawing/2014/main" pred="{E1A2AC2C-0324-44BC-8F7B-D2A02AF6D68B}"/>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7" name="Option Button 54" hidden="1">
          <a:extLst>
            <a:ext uri="{63B3BB69-23CF-44E3-9099-C40C66FF867C}">
              <a14:compatExt xmlns:a14="http://schemas.microsoft.com/office/drawing/2010/main" spid="_x0000_s2102"/>
            </a:ext>
            <a:ext uri="{FF2B5EF4-FFF2-40B4-BE49-F238E27FC236}">
              <a16:creationId xmlns:a16="http://schemas.microsoft.com/office/drawing/2014/main" id="{1AD26929-CA2B-4C6A-BB8B-DB840F73B6E3}"/>
            </a:ext>
            <a:ext uri="{147F2762-F138-4A5C-976F-8EAC2B608ADB}">
              <a16:predDERef xmlns:a16="http://schemas.microsoft.com/office/drawing/2014/main" pred="{913E1879-6D5D-4427-B79E-AAB04D14D2EF}"/>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8" name="Option Button 59" hidden="1">
          <a:extLst>
            <a:ext uri="{63B3BB69-23CF-44E3-9099-C40C66FF867C}">
              <a14:compatExt xmlns:a14="http://schemas.microsoft.com/office/drawing/2010/main" spid="_x0000_s2107"/>
            </a:ext>
            <a:ext uri="{FF2B5EF4-FFF2-40B4-BE49-F238E27FC236}">
              <a16:creationId xmlns:a16="http://schemas.microsoft.com/office/drawing/2014/main" id="{BDEE6BE6-DCD0-4362-AD6F-79B35C38856D}"/>
            </a:ext>
            <a:ext uri="{147F2762-F138-4A5C-976F-8EAC2B608ADB}">
              <a16:predDERef xmlns:a16="http://schemas.microsoft.com/office/drawing/2014/main" pred="{1AD26929-CA2B-4C6A-BB8B-DB840F73B6E3}"/>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9" name="Option Button 60" hidden="1">
          <a:extLst>
            <a:ext uri="{63B3BB69-23CF-44E3-9099-C40C66FF867C}">
              <a14:compatExt xmlns:a14="http://schemas.microsoft.com/office/drawing/2010/main" spid="_x0000_s2108"/>
            </a:ext>
            <a:ext uri="{FF2B5EF4-FFF2-40B4-BE49-F238E27FC236}">
              <a16:creationId xmlns:a16="http://schemas.microsoft.com/office/drawing/2014/main" id="{529BA80F-BABA-4871-88FB-F2B1863D6CE2}"/>
            </a:ext>
            <a:ext uri="{147F2762-F138-4A5C-976F-8EAC2B608ADB}">
              <a16:predDERef xmlns:a16="http://schemas.microsoft.com/office/drawing/2014/main" pred="{BDEE6BE6-DCD0-4362-AD6F-79B35C38856D}"/>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0" name="Option Button 61" hidden="1">
          <a:extLst>
            <a:ext uri="{63B3BB69-23CF-44E3-9099-C40C66FF867C}">
              <a14:compatExt xmlns:a14="http://schemas.microsoft.com/office/drawing/2010/main" spid="_x0000_s2109"/>
            </a:ext>
            <a:ext uri="{FF2B5EF4-FFF2-40B4-BE49-F238E27FC236}">
              <a16:creationId xmlns:a16="http://schemas.microsoft.com/office/drawing/2014/main" id="{D86556EC-0FA9-4D77-9B32-8BEFBBA97FB9}"/>
            </a:ext>
            <a:ext uri="{147F2762-F138-4A5C-976F-8EAC2B608ADB}">
              <a16:predDERef xmlns:a16="http://schemas.microsoft.com/office/drawing/2014/main" pred="{529BA80F-BABA-4871-88FB-F2B1863D6CE2}"/>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1" name="Option Button 62" hidden="1">
          <a:extLst>
            <a:ext uri="{63B3BB69-23CF-44E3-9099-C40C66FF867C}">
              <a14:compatExt xmlns:a14="http://schemas.microsoft.com/office/drawing/2010/main" spid="_x0000_s2110"/>
            </a:ext>
            <a:ext uri="{FF2B5EF4-FFF2-40B4-BE49-F238E27FC236}">
              <a16:creationId xmlns:a16="http://schemas.microsoft.com/office/drawing/2014/main" id="{E7BC57DE-9C1B-443C-887D-5A87F04E6EE9}"/>
            </a:ext>
            <a:ext uri="{147F2762-F138-4A5C-976F-8EAC2B608ADB}">
              <a16:predDERef xmlns:a16="http://schemas.microsoft.com/office/drawing/2014/main" pred="{D86556EC-0FA9-4D77-9B32-8BEFBBA97FB9}"/>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12" name="Group Box 37" hidden="1">
          <a:extLst>
            <a:ext uri="{63B3BB69-23CF-44E3-9099-C40C66FF867C}">
              <a14:compatExt xmlns:a14="http://schemas.microsoft.com/office/drawing/2010/main" spid="_x0000_s2085"/>
            </a:ext>
            <a:ext uri="{FF2B5EF4-FFF2-40B4-BE49-F238E27FC236}">
              <a16:creationId xmlns:a16="http://schemas.microsoft.com/office/drawing/2014/main" id="{3C7EB420-0F81-406E-AA6C-DF17E1BD6125}"/>
            </a:ext>
            <a:ext uri="{147F2762-F138-4A5C-976F-8EAC2B608ADB}">
              <a16:predDERef xmlns:a16="http://schemas.microsoft.com/office/drawing/2014/main" pred="{E7BC57DE-9C1B-443C-887D-5A87F04E6EE9}"/>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33</xdr:col>
      <xdr:colOff>6350</xdr:colOff>
      <xdr:row>6</xdr:row>
      <xdr:rowOff>177800</xdr:rowOff>
    </xdr:to>
    <xdr:sp macro="" textlink="">
      <xdr:nvSpPr>
        <xdr:cNvPr id="13" name="Group Box 42" hidden="1">
          <a:extLst>
            <a:ext uri="{63B3BB69-23CF-44E3-9099-C40C66FF867C}">
              <a14:compatExt xmlns:a14="http://schemas.microsoft.com/office/drawing/2010/main" spid="_x0000_s2090"/>
            </a:ext>
            <a:ext uri="{FF2B5EF4-FFF2-40B4-BE49-F238E27FC236}">
              <a16:creationId xmlns:a16="http://schemas.microsoft.com/office/drawing/2014/main" id="{5D510BF0-83DC-4BE8-94C6-AF4E4230F5F5}"/>
            </a:ext>
            <a:ext uri="{147F2762-F138-4A5C-976F-8EAC2B608ADB}">
              <a16:predDERef xmlns:a16="http://schemas.microsoft.com/office/drawing/2014/main" pred="{3C7EB420-0F81-406E-AA6C-DF17E1BD6125}"/>
            </a:ext>
          </a:extLst>
        </xdr:cNvPr>
        <xdr:cNvSpPr/>
      </xdr:nvSpPr>
      <xdr:spPr bwMode="auto">
        <a:xfrm>
          <a:off x="18440400" y="8534400"/>
          <a:ext cx="13420725" cy="38100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4" name="Option Button 51" hidden="1">
          <a:extLst>
            <a:ext uri="{63B3BB69-23CF-44E3-9099-C40C66FF867C}">
              <a14:compatExt xmlns:a14="http://schemas.microsoft.com/office/drawing/2010/main" spid="_x0000_s2099"/>
            </a:ext>
            <a:ext uri="{FF2B5EF4-FFF2-40B4-BE49-F238E27FC236}">
              <a16:creationId xmlns:a16="http://schemas.microsoft.com/office/drawing/2014/main" id="{B8CC3D6E-5290-4418-9FFC-F6EEABDC0382}"/>
            </a:ext>
            <a:ext uri="{147F2762-F138-4A5C-976F-8EAC2B608ADB}">
              <a16:predDERef xmlns:a16="http://schemas.microsoft.com/office/drawing/2014/main" pred="{5D510BF0-83DC-4BE8-94C6-AF4E4230F5F5}"/>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5" name="Option Button 52" hidden="1">
          <a:extLst>
            <a:ext uri="{63B3BB69-23CF-44E3-9099-C40C66FF867C}">
              <a14:compatExt xmlns:a14="http://schemas.microsoft.com/office/drawing/2010/main" spid="_x0000_s2100"/>
            </a:ext>
            <a:ext uri="{FF2B5EF4-FFF2-40B4-BE49-F238E27FC236}">
              <a16:creationId xmlns:a16="http://schemas.microsoft.com/office/drawing/2014/main" id="{EC7DF95E-402A-453E-B26E-D97B1D092968}"/>
            </a:ext>
            <a:ext uri="{147F2762-F138-4A5C-976F-8EAC2B608ADB}">
              <a16:predDERef xmlns:a16="http://schemas.microsoft.com/office/drawing/2014/main" pred="{B8CC3D6E-5290-4418-9FFC-F6EEABDC0382}"/>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6" name="Option Button 53" hidden="1">
          <a:extLst>
            <a:ext uri="{63B3BB69-23CF-44E3-9099-C40C66FF867C}">
              <a14:compatExt xmlns:a14="http://schemas.microsoft.com/office/drawing/2010/main" spid="_x0000_s2101"/>
            </a:ext>
            <a:ext uri="{FF2B5EF4-FFF2-40B4-BE49-F238E27FC236}">
              <a16:creationId xmlns:a16="http://schemas.microsoft.com/office/drawing/2014/main" id="{5DD9AA35-BC46-495B-B656-5A7652A35F36}"/>
            </a:ext>
            <a:ext uri="{147F2762-F138-4A5C-976F-8EAC2B608ADB}">
              <a16:predDERef xmlns:a16="http://schemas.microsoft.com/office/drawing/2014/main" pred="{EC7DF95E-402A-453E-B26E-D97B1D092968}"/>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7" name="Option Button 54" hidden="1">
          <a:extLst>
            <a:ext uri="{63B3BB69-23CF-44E3-9099-C40C66FF867C}">
              <a14:compatExt xmlns:a14="http://schemas.microsoft.com/office/drawing/2010/main" spid="_x0000_s2102"/>
            </a:ext>
            <a:ext uri="{FF2B5EF4-FFF2-40B4-BE49-F238E27FC236}">
              <a16:creationId xmlns:a16="http://schemas.microsoft.com/office/drawing/2014/main" id="{F684A365-7B1E-42A2-8C58-9184BE9A5802}"/>
            </a:ext>
            <a:ext uri="{147F2762-F138-4A5C-976F-8EAC2B608ADB}">
              <a16:predDERef xmlns:a16="http://schemas.microsoft.com/office/drawing/2014/main" pred="{5DD9AA35-BC46-495B-B656-5A7652A35F36}"/>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8" name="Option Button 59" hidden="1">
          <a:extLst>
            <a:ext uri="{63B3BB69-23CF-44E3-9099-C40C66FF867C}">
              <a14:compatExt xmlns:a14="http://schemas.microsoft.com/office/drawing/2010/main" spid="_x0000_s2107"/>
            </a:ext>
            <a:ext uri="{FF2B5EF4-FFF2-40B4-BE49-F238E27FC236}">
              <a16:creationId xmlns:a16="http://schemas.microsoft.com/office/drawing/2014/main" id="{02848A43-B8FB-4337-BF77-968FBE418CCF}"/>
            </a:ext>
            <a:ext uri="{147F2762-F138-4A5C-976F-8EAC2B608ADB}">
              <a16:predDERef xmlns:a16="http://schemas.microsoft.com/office/drawing/2014/main" pred="{F684A365-7B1E-42A2-8C58-9184BE9A5802}"/>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19" name="Option Button 60" hidden="1">
          <a:extLst>
            <a:ext uri="{63B3BB69-23CF-44E3-9099-C40C66FF867C}">
              <a14:compatExt xmlns:a14="http://schemas.microsoft.com/office/drawing/2010/main" spid="_x0000_s2108"/>
            </a:ext>
            <a:ext uri="{FF2B5EF4-FFF2-40B4-BE49-F238E27FC236}">
              <a16:creationId xmlns:a16="http://schemas.microsoft.com/office/drawing/2014/main" id="{67195904-95A1-4411-9F8C-9F43E3D059CA}"/>
            </a:ext>
            <a:ext uri="{147F2762-F138-4A5C-976F-8EAC2B608ADB}">
              <a16:predDERef xmlns:a16="http://schemas.microsoft.com/office/drawing/2014/main" pred="{02848A43-B8FB-4337-BF77-968FBE418CCF}"/>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20" name="Option Button 61" hidden="1">
          <a:extLst>
            <a:ext uri="{63B3BB69-23CF-44E3-9099-C40C66FF867C}">
              <a14:compatExt xmlns:a14="http://schemas.microsoft.com/office/drawing/2010/main" spid="_x0000_s2109"/>
            </a:ext>
            <a:ext uri="{FF2B5EF4-FFF2-40B4-BE49-F238E27FC236}">
              <a16:creationId xmlns:a16="http://schemas.microsoft.com/office/drawing/2014/main" id="{19242683-BA86-4981-98E8-7D2CAFE311FC}"/>
            </a:ext>
            <a:ext uri="{147F2762-F138-4A5C-976F-8EAC2B608ADB}">
              <a16:predDERef xmlns:a16="http://schemas.microsoft.com/office/drawing/2014/main" pred="{67195904-95A1-4411-9F8C-9F43E3D059CA}"/>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0</xdr:colOff>
      <xdr:row>5</xdr:row>
      <xdr:rowOff>0</xdr:rowOff>
    </xdr:from>
    <xdr:to>
      <xdr:col>12</xdr:col>
      <xdr:colOff>438150</xdr:colOff>
      <xdr:row>6</xdr:row>
      <xdr:rowOff>6350</xdr:rowOff>
    </xdr:to>
    <xdr:sp macro="" textlink="">
      <xdr:nvSpPr>
        <xdr:cNvPr id="21" name="Option Button 62" hidden="1">
          <a:extLst>
            <a:ext uri="{63B3BB69-23CF-44E3-9099-C40C66FF867C}">
              <a14:compatExt xmlns:a14="http://schemas.microsoft.com/office/drawing/2010/main" spid="_x0000_s2110"/>
            </a:ext>
            <a:ext uri="{FF2B5EF4-FFF2-40B4-BE49-F238E27FC236}">
              <a16:creationId xmlns:a16="http://schemas.microsoft.com/office/drawing/2014/main" id="{5DCF7D84-F6FD-463B-BEB5-BF2CEBCFA82C}"/>
            </a:ext>
            <a:ext uri="{147F2762-F138-4A5C-976F-8EAC2B608ADB}">
              <a16:predDERef xmlns:a16="http://schemas.microsoft.com/office/drawing/2014/main" pred="{19242683-BA86-4981-98E8-7D2CAFE311FC}"/>
            </a:ext>
          </a:extLst>
        </xdr:cNvPr>
        <xdr:cNvSpPr/>
      </xdr:nvSpPr>
      <xdr:spPr bwMode="auto">
        <a:xfrm>
          <a:off x="18440400" y="8534400"/>
          <a:ext cx="10477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57150</xdr:colOff>
      <xdr:row>9</xdr:row>
      <xdr:rowOff>28575</xdr:rowOff>
    </xdr:from>
    <xdr:to>
      <xdr:col>12</xdr:col>
      <xdr:colOff>19050</xdr:colOff>
      <xdr:row>11</xdr:row>
      <xdr:rowOff>28575</xdr:rowOff>
    </xdr:to>
    <xdr:sp macro="" textlink="">
      <xdr:nvSpPr>
        <xdr:cNvPr id="10241" name="Group Box 1" hidden="1">
          <a:extLst>
            <a:ext uri="{63B3BB69-23CF-44E3-9099-C40C66FF867C}">
              <a14:compatExt xmlns:a14="http://schemas.microsoft.com/office/drawing/2010/main" spid="_x0000_s10241"/>
            </a:ext>
            <a:ext uri="{FF2B5EF4-FFF2-40B4-BE49-F238E27FC236}">
              <a16:creationId xmlns:a16="http://schemas.microsoft.com/office/drawing/2014/main" id="{3B1F81D5-52A9-477B-8B5F-636083B8CCDD}"/>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8</xdr:row>
      <xdr:rowOff>0</xdr:rowOff>
    </xdr:from>
    <xdr:to>
      <xdr:col>8</xdr:col>
      <xdr:colOff>2609850</xdr:colOff>
      <xdr:row>8</xdr:row>
      <xdr:rowOff>0</xdr:rowOff>
    </xdr:to>
    <xdr:sp macro="" textlink="">
      <xdr:nvSpPr>
        <xdr:cNvPr id="10242" name="Option Button 2" hidden="1">
          <a:extLst>
            <a:ext uri="{63B3BB69-23CF-44E3-9099-C40C66FF867C}">
              <a14:compatExt xmlns:a14="http://schemas.microsoft.com/office/drawing/2010/main" spid="_x0000_s10242"/>
            </a:ext>
            <a:ext uri="{FF2B5EF4-FFF2-40B4-BE49-F238E27FC236}">
              <a16:creationId xmlns:a16="http://schemas.microsoft.com/office/drawing/2014/main" id="{572AF643-F6B3-4ECC-A30F-7EF8884C73F8}"/>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8</xdr:row>
      <xdr:rowOff>0</xdr:rowOff>
    </xdr:from>
    <xdr:to>
      <xdr:col>9</xdr:col>
      <xdr:colOff>2667000</xdr:colOff>
      <xdr:row>8</xdr:row>
      <xdr:rowOff>0</xdr:rowOff>
    </xdr:to>
    <xdr:sp macro="" textlink="">
      <xdr:nvSpPr>
        <xdr:cNvPr id="10243" name="Option Button 3" hidden="1">
          <a:extLst>
            <a:ext uri="{63B3BB69-23CF-44E3-9099-C40C66FF867C}">
              <a14:compatExt xmlns:a14="http://schemas.microsoft.com/office/drawing/2010/main" spid="_x0000_s10243"/>
            </a:ext>
            <a:ext uri="{FF2B5EF4-FFF2-40B4-BE49-F238E27FC236}">
              <a16:creationId xmlns:a16="http://schemas.microsoft.com/office/drawing/2014/main" id="{D05C6233-C386-43BE-A1F8-AD6EAB1CFFC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8</xdr:row>
      <xdr:rowOff>0</xdr:rowOff>
    </xdr:from>
    <xdr:to>
      <xdr:col>10</xdr:col>
      <xdr:colOff>2609850</xdr:colOff>
      <xdr:row>8</xdr:row>
      <xdr:rowOff>0</xdr:rowOff>
    </xdr:to>
    <xdr:sp macro="" textlink="">
      <xdr:nvSpPr>
        <xdr:cNvPr id="10244" name="Option Button 4" hidden="1">
          <a:extLst>
            <a:ext uri="{63B3BB69-23CF-44E3-9099-C40C66FF867C}">
              <a14:compatExt xmlns:a14="http://schemas.microsoft.com/office/drawing/2010/main" spid="_x0000_s10244"/>
            </a:ext>
            <a:ext uri="{FF2B5EF4-FFF2-40B4-BE49-F238E27FC236}">
              <a16:creationId xmlns:a16="http://schemas.microsoft.com/office/drawing/2014/main" id="{BDC580CF-3A28-4CA2-8987-22AECECB466B}"/>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8</xdr:row>
      <xdr:rowOff>0</xdr:rowOff>
    </xdr:from>
    <xdr:to>
      <xdr:col>11</xdr:col>
      <xdr:colOff>2686050</xdr:colOff>
      <xdr:row>8</xdr:row>
      <xdr:rowOff>0</xdr:rowOff>
    </xdr:to>
    <xdr:sp macro="" textlink="">
      <xdr:nvSpPr>
        <xdr:cNvPr id="10245" name="Option Button 5" hidden="1">
          <a:extLst>
            <a:ext uri="{63B3BB69-23CF-44E3-9099-C40C66FF867C}">
              <a14:compatExt xmlns:a14="http://schemas.microsoft.com/office/drawing/2010/main" spid="_x0000_s10245"/>
            </a:ext>
            <a:ext uri="{FF2B5EF4-FFF2-40B4-BE49-F238E27FC236}">
              <a16:creationId xmlns:a16="http://schemas.microsoft.com/office/drawing/2014/main" id="{4F2F5FCF-4C60-4A02-BADE-BEB3BC0EA55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12</xdr:row>
      <xdr:rowOff>0</xdr:rowOff>
    </xdr:from>
    <xdr:to>
      <xdr:col>12</xdr:col>
      <xdr:colOff>19050</xdr:colOff>
      <xdr:row>14</xdr:row>
      <xdr:rowOff>0</xdr:rowOff>
    </xdr:to>
    <xdr:sp macro="" textlink="">
      <xdr:nvSpPr>
        <xdr:cNvPr id="10246" name="Group Box 6" hidden="1">
          <a:extLst>
            <a:ext uri="{63B3BB69-23CF-44E3-9099-C40C66FF867C}">
              <a14:compatExt xmlns:a14="http://schemas.microsoft.com/office/drawing/2010/main" spid="_x0000_s10246"/>
            </a:ext>
            <a:ext uri="{FF2B5EF4-FFF2-40B4-BE49-F238E27FC236}">
              <a16:creationId xmlns:a16="http://schemas.microsoft.com/office/drawing/2014/main" id="{9086D6C4-5ED6-44B5-9A28-63D513FF42CD}"/>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57150</xdr:colOff>
      <xdr:row>12</xdr:row>
      <xdr:rowOff>0</xdr:rowOff>
    </xdr:from>
    <xdr:to>
      <xdr:col>12</xdr:col>
      <xdr:colOff>19050</xdr:colOff>
      <xdr:row>14</xdr:row>
      <xdr:rowOff>0</xdr:rowOff>
    </xdr:to>
    <xdr:sp macro="" textlink="">
      <xdr:nvSpPr>
        <xdr:cNvPr id="10247" name="Group Box 7" hidden="1">
          <a:extLst>
            <a:ext uri="{63B3BB69-23CF-44E3-9099-C40C66FF867C}">
              <a14:compatExt xmlns:a14="http://schemas.microsoft.com/office/drawing/2010/main" spid="_x0000_s10247"/>
            </a:ext>
            <a:ext uri="{FF2B5EF4-FFF2-40B4-BE49-F238E27FC236}">
              <a16:creationId xmlns:a16="http://schemas.microsoft.com/office/drawing/2014/main" id="{CBAE9903-95C9-4600-A689-5CD702A01356}"/>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12</xdr:row>
      <xdr:rowOff>0</xdr:rowOff>
    </xdr:from>
    <xdr:to>
      <xdr:col>8</xdr:col>
      <xdr:colOff>2609850</xdr:colOff>
      <xdr:row>13</xdr:row>
      <xdr:rowOff>19050</xdr:rowOff>
    </xdr:to>
    <xdr:sp macro="" textlink="">
      <xdr:nvSpPr>
        <xdr:cNvPr id="10248" name="Option Button 8" hidden="1">
          <a:extLst>
            <a:ext uri="{63B3BB69-23CF-44E3-9099-C40C66FF867C}">
              <a14:compatExt xmlns:a14="http://schemas.microsoft.com/office/drawing/2010/main" spid="_x0000_s10248"/>
            </a:ext>
            <a:ext uri="{FF2B5EF4-FFF2-40B4-BE49-F238E27FC236}">
              <a16:creationId xmlns:a16="http://schemas.microsoft.com/office/drawing/2014/main" id="{0BB9B81B-E7F8-4747-8A97-B9EC181F344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12</xdr:row>
      <xdr:rowOff>0</xdr:rowOff>
    </xdr:from>
    <xdr:to>
      <xdr:col>9</xdr:col>
      <xdr:colOff>2667000</xdr:colOff>
      <xdr:row>13</xdr:row>
      <xdr:rowOff>19050</xdr:rowOff>
    </xdr:to>
    <xdr:sp macro="" textlink="">
      <xdr:nvSpPr>
        <xdr:cNvPr id="10249" name="Option Button 9" hidden="1">
          <a:extLst>
            <a:ext uri="{63B3BB69-23CF-44E3-9099-C40C66FF867C}">
              <a14:compatExt xmlns:a14="http://schemas.microsoft.com/office/drawing/2010/main" spid="_x0000_s10249"/>
            </a:ext>
            <a:ext uri="{FF2B5EF4-FFF2-40B4-BE49-F238E27FC236}">
              <a16:creationId xmlns:a16="http://schemas.microsoft.com/office/drawing/2014/main" id="{5A881404-17E1-46E7-9B7D-BFED560751B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12</xdr:row>
      <xdr:rowOff>0</xdr:rowOff>
    </xdr:from>
    <xdr:to>
      <xdr:col>10</xdr:col>
      <xdr:colOff>2609850</xdr:colOff>
      <xdr:row>13</xdr:row>
      <xdr:rowOff>19050</xdr:rowOff>
    </xdr:to>
    <xdr:sp macro="" textlink="">
      <xdr:nvSpPr>
        <xdr:cNvPr id="10250" name="Option Button 10" hidden="1">
          <a:extLst>
            <a:ext uri="{63B3BB69-23CF-44E3-9099-C40C66FF867C}">
              <a14:compatExt xmlns:a14="http://schemas.microsoft.com/office/drawing/2010/main" spid="_x0000_s10250"/>
            </a:ext>
            <a:ext uri="{FF2B5EF4-FFF2-40B4-BE49-F238E27FC236}">
              <a16:creationId xmlns:a16="http://schemas.microsoft.com/office/drawing/2014/main" id="{076FE8BC-C102-4237-8DB6-1F64D58CD41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12</xdr:row>
      <xdr:rowOff>0</xdr:rowOff>
    </xdr:from>
    <xdr:to>
      <xdr:col>11</xdr:col>
      <xdr:colOff>2686050</xdr:colOff>
      <xdr:row>13</xdr:row>
      <xdr:rowOff>19050</xdr:rowOff>
    </xdr:to>
    <xdr:sp macro="" textlink="">
      <xdr:nvSpPr>
        <xdr:cNvPr id="10251" name="Option Button 11" hidden="1">
          <a:extLst>
            <a:ext uri="{63B3BB69-23CF-44E3-9099-C40C66FF867C}">
              <a14:compatExt xmlns:a14="http://schemas.microsoft.com/office/drawing/2010/main" spid="_x0000_s10251"/>
            </a:ext>
            <a:ext uri="{FF2B5EF4-FFF2-40B4-BE49-F238E27FC236}">
              <a16:creationId xmlns:a16="http://schemas.microsoft.com/office/drawing/2014/main" id="{98258075-F204-4C7F-A063-BA7ECB71AC8C}"/>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1562100</xdr:colOff>
      <xdr:row>12</xdr:row>
      <xdr:rowOff>0</xdr:rowOff>
    </xdr:from>
    <xdr:to>
      <xdr:col>8</xdr:col>
      <xdr:colOff>2609850</xdr:colOff>
      <xdr:row>13</xdr:row>
      <xdr:rowOff>19050</xdr:rowOff>
    </xdr:to>
    <xdr:sp macro="" textlink="">
      <xdr:nvSpPr>
        <xdr:cNvPr id="10252" name="Option Button 12" hidden="1">
          <a:extLst>
            <a:ext uri="{63B3BB69-23CF-44E3-9099-C40C66FF867C}">
              <a14:compatExt xmlns:a14="http://schemas.microsoft.com/office/drawing/2010/main" spid="_x0000_s10252"/>
            </a:ext>
            <a:ext uri="{FF2B5EF4-FFF2-40B4-BE49-F238E27FC236}">
              <a16:creationId xmlns:a16="http://schemas.microsoft.com/office/drawing/2014/main" id="{3A1F91D5-FEC2-4582-9850-21C7C8289F0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12</xdr:row>
      <xdr:rowOff>0</xdr:rowOff>
    </xdr:from>
    <xdr:to>
      <xdr:col>9</xdr:col>
      <xdr:colOff>2667000</xdr:colOff>
      <xdr:row>13</xdr:row>
      <xdr:rowOff>19050</xdr:rowOff>
    </xdr:to>
    <xdr:sp macro="" textlink="">
      <xdr:nvSpPr>
        <xdr:cNvPr id="10253" name="Option Button 13" hidden="1">
          <a:extLst>
            <a:ext uri="{63B3BB69-23CF-44E3-9099-C40C66FF867C}">
              <a14:compatExt xmlns:a14="http://schemas.microsoft.com/office/drawing/2010/main" spid="_x0000_s10253"/>
            </a:ext>
            <a:ext uri="{FF2B5EF4-FFF2-40B4-BE49-F238E27FC236}">
              <a16:creationId xmlns:a16="http://schemas.microsoft.com/office/drawing/2014/main" id="{734ED024-E2C1-4A88-B914-94ADAF2D2A44}"/>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12</xdr:row>
      <xdr:rowOff>0</xdr:rowOff>
    </xdr:from>
    <xdr:to>
      <xdr:col>10</xdr:col>
      <xdr:colOff>2609850</xdr:colOff>
      <xdr:row>13</xdr:row>
      <xdr:rowOff>19050</xdr:rowOff>
    </xdr:to>
    <xdr:sp macro="" textlink="">
      <xdr:nvSpPr>
        <xdr:cNvPr id="10254" name="Option Button 14" hidden="1">
          <a:extLst>
            <a:ext uri="{63B3BB69-23CF-44E3-9099-C40C66FF867C}">
              <a14:compatExt xmlns:a14="http://schemas.microsoft.com/office/drawing/2010/main" spid="_x0000_s10254"/>
            </a:ext>
            <a:ext uri="{FF2B5EF4-FFF2-40B4-BE49-F238E27FC236}">
              <a16:creationId xmlns:a16="http://schemas.microsoft.com/office/drawing/2014/main" id="{B9BC7A4B-6D53-44A6-AB48-56459ABD8ED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12</xdr:row>
      <xdr:rowOff>0</xdr:rowOff>
    </xdr:from>
    <xdr:to>
      <xdr:col>11</xdr:col>
      <xdr:colOff>2686050</xdr:colOff>
      <xdr:row>13</xdr:row>
      <xdr:rowOff>19050</xdr:rowOff>
    </xdr:to>
    <xdr:sp macro="" textlink="">
      <xdr:nvSpPr>
        <xdr:cNvPr id="10255" name="Option Button 15" hidden="1">
          <a:extLst>
            <a:ext uri="{63B3BB69-23CF-44E3-9099-C40C66FF867C}">
              <a14:compatExt xmlns:a14="http://schemas.microsoft.com/office/drawing/2010/main" spid="_x0000_s10255"/>
            </a:ext>
            <a:ext uri="{FF2B5EF4-FFF2-40B4-BE49-F238E27FC236}">
              <a16:creationId xmlns:a16="http://schemas.microsoft.com/office/drawing/2014/main" id="{D71DC188-5B47-4421-BE4F-064F6C467D27}"/>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14</xdr:row>
      <xdr:rowOff>0</xdr:rowOff>
    </xdr:from>
    <xdr:to>
      <xdr:col>12</xdr:col>
      <xdr:colOff>19050</xdr:colOff>
      <xdr:row>16</xdr:row>
      <xdr:rowOff>0</xdr:rowOff>
    </xdr:to>
    <xdr:sp macro="" textlink="">
      <xdr:nvSpPr>
        <xdr:cNvPr id="10256" name="Group Box 16" hidden="1">
          <a:extLst>
            <a:ext uri="{63B3BB69-23CF-44E3-9099-C40C66FF867C}">
              <a14:compatExt xmlns:a14="http://schemas.microsoft.com/office/drawing/2010/main" spid="_x0000_s10256"/>
            </a:ext>
            <a:ext uri="{FF2B5EF4-FFF2-40B4-BE49-F238E27FC236}">
              <a16:creationId xmlns:a16="http://schemas.microsoft.com/office/drawing/2014/main" id="{7C9A492A-5F19-41C7-986A-A632A6DA65AC}"/>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14</xdr:row>
      <xdr:rowOff>0</xdr:rowOff>
    </xdr:from>
    <xdr:to>
      <xdr:col>8</xdr:col>
      <xdr:colOff>2609850</xdr:colOff>
      <xdr:row>15</xdr:row>
      <xdr:rowOff>19050</xdr:rowOff>
    </xdr:to>
    <xdr:sp macro="" textlink="">
      <xdr:nvSpPr>
        <xdr:cNvPr id="10257" name="Option Button 17" hidden="1">
          <a:extLst>
            <a:ext uri="{63B3BB69-23CF-44E3-9099-C40C66FF867C}">
              <a14:compatExt xmlns:a14="http://schemas.microsoft.com/office/drawing/2010/main" spid="_x0000_s10257"/>
            </a:ext>
            <a:ext uri="{FF2B5EF4-FFF2-40B4-BE49-F238E27FC236}">
              <a16:creationId xmlns:a16="http://schemas.microsoft.com/office/drawing/2014/main" id="{6FC81041-632B-4D44-A691-22310AA9EBB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14</xdr:row>
      <xdr:rowOff>0</xdr:rowOff>
    </xdr:from>
    <xdr:to>
      <xdr:col>9</xdr:col>
      <xdr:colOff>2667000</xdr:colOff>
      <xdr:row>15</xdr:row>
      <xdr:rowOff>19050</xdr:rowOff>
    </xdr:to>
    <xdr:sp macro="" textlink="">
      <xdr:nvSpPr>
        <xdr:cNvPr id="10258" name="Option Button 18" hidden="1">
          <a:extLst>
            <a:ext uri="{63B3BB69-23CF-44E3-9099-C40C66FF867C}">
              <a14:compatExt xmlns:a14="http://schemas.microsoft.com/office/drawing/2010/main" spid="_x0000_s10258"/>
            </a:ext>
            <a:ext uri="{FF2B5EF4-FFF2-40B4-BE49-F238E27FC236}">
              <a16:creationId xmlns:a16="http://schemas.microsoft.com/office/drawing/2014/main" id="{DEAF7F15-6457-4D04-BD7D-27478B14538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14</xdr:row>
      <xdr:rowOff>0</xdr:rowOff>
    </xdr:from>
    <xdr:to>
      <xdr:col>10</xdr:col>
      <xdr:colOff>2609850</xdr:colOff>
      <xdr:row>15</xdr:row>
      <xdr:rowOff>19050</xdr:rowOff>
    </xdr:to>
    <xdr:sp macro="" textlink="">
      <xdr:nvSpPr>
        <xdr:cNvPr id="10259" name="Option Button 19" hidden="1">
          <a:extLst>
            <a:ext uri="{63B3BB69-23CF-44E3-9099-C40C66FF867C}">
              <a14:compatExt xmlns:a14="http://schemas.microsoft.com/office/drawing/2010/main" spid="_x0000_s10259"/>
            </a:ext>
            <a:ext uri="{FF2B5EF4-FFF2-40B4-BE49-F238E27FC236}">
              <a16:creationId xmlns:a16="http://schemas.microsoft.com/office/drawing/2014/main" id="{70195AAD-9A37-4DC3-BF70-8EDB4926FDB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14</xdr:row>
      <xdr:rowOff>0</xdr:rowOff>
    </xdr:from>
    <xdr:to>
      <xdr:col>11</xdr:col>
      <xdr:colOff>2686050</xdr:colOff>
      <xdr:row>15</xdr:row>
      <xdr:rowOff>19050</xdr:rowOff>
    </xdr:to>
    <xdr:sp macro="" textlink="">
      <xdr:nvSpPr>
        <xdr:cNvPr id="10260" name="Option Button 20" hidden="1">
          <a:extLst>
            <a:ext uri="{63B3BB69-23CF-44E3-9099-C40C66FF867C}">
              <a14:compatExt xmlns:a14="http://schemas.microsoft.com/office/drawing/2010/main" spid="_x0000_s10260"/>
            </a:ext>
            <a:ext uri="{FF2B5EF4-FFF2-40B4-BE49-F238E27FC236}">
              <a16:creationId xmlns:a16="http://schemas.microsoft.com/office/drawing/2014/main" id="{23E53A7D-9C6A-4ABA-99FF-0A3133457077}"/>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17</xdr:row>
      <xdr:rowOff>28575</xdr:rowOff>
    </xdr:from>
    <xdr:to>
      <xdr:col>12</xdr:col>
      <xdr:colOff>19050</xdr:colOff>
      <xdr:row>19</xdr:row>
      <xdr:rowOff>28575</xdr:rowOff>
    </xdr:to>
    <xdr:sp macro="" textlink="">
      <xdr:nvSpPr>
        <xdr:cNvPr id="10261" name="Group Box 21" hidden="1">
          <a:extLst>
            <a:ext uri="{63B3BB69-23CF-44E3-9099-C40C66FF867C}">
              <a14:compatExt xmlns:a14="http://schemas.microsoft.com/office/drawing/2010/main" spid="_x0000_s10261"/>
            </a:ext>
            <a:ext uri="{FF2B5EF4-FFF2-40B4-BE49-F238E27FC236}">
              <a16:creationId xmlns:a16="http://schemas.microsoft.com/office/drawing/2014/main" id="{EF44DA85-334A-4185-9A4F-64649E733629}"/>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17</xdr:row>
      <xdr:rowOff>104775</xdr:rowOff>
    </xdr:from>
    <xdr:to>
      <xdr:col>8</xdr:col>
      <xdr:colOff>2609850</xdr:colOff>
      <xdr:row>18</xdr:row>
      <xdr:rowOff>123825</xdr:rowOff>
    </xdr:to>
    <xdr:sp macro="" textlink="">
      <xdr:nvSpPr>
        <xdr:cNvPr id="10262" name="Option Button 22" hidden="1">
          <a:extLst>
            <a:ext uri="{63B3BB69-23CF-44E3-9099-C40C66FF867C}">
              <a14:compatExt xmlns:a14="http://schemas.microsoft.com/office/drawing/2010/main" spid="_x0000_s10262"/>
            </a:ext>
            <a:ext uri="{FF2B5EF4-FFF2-40B4-BE49-F238E27FC236}">
              <a16:creationId xmlns:a16="http://schemas.microsoft.com/office/drawing/2014/main" id="{B451F844-2113-4FE1-8DDF-F0699261F4D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17</xdr:row>
      <xdr:rowOff>104775</xdr:rowOff>
    </xdr:from>
    <xdr:to>
      <xdr:col>9</xdr:col>
      <xdr:colOff>2667000</xdr:colOff>
      <xdr:row>18</xdr:row>
      <xdr:rowOff>123825</xdr:rowOff>
    </xdr:to>
    <xdr:sp macro="" textlink="">
      <xdr:nvSpPr>
        <xdr:cNvPr id="10263" name="Option Button 23" hidden="1">
          <a:extLst>
            <a:ext uri="{63B3BB69-23CF-44E3-9099-C40C66FF867C}">
              <a14:compatExt xmlns:a14="http://schemas.microsoft.com/office/drawing/2010/main" spid="_x0000_s10263"/>
            </a:ext>
            <a:ext uri="{FF2B5EF4-FFF2-40B4-BE49-F238E27FC236}">
              <a16:creationId xmlns:a16="http://schemas.microsoft.com/office/drawing/2014/main" id="{12B0894B-E12E-41F6-BD91-E0DAB866234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17</xdr:row>
      <xdr:rowOff>104775</xdr:rowOff>
    </xdr:from>
    <xdr:to>
      <xdr:col>10</xdr:col>
      <xdr:colOff>2609850</xdr:colOff>
      <xdr:row>18</xdr:row>
      <xdr:rowOff>123825</xdr:rowOff>
    </xdr:to>
    <xdr:sp macro="" textlink="">
      <xdr:nvSpPr>
        <xdr:cNvPr id="10264" name="Option Button 24" hidden="1">
          <a:extLst>
            <a:ext uri="{63B3BB69-23CF-44E3-9099-C40C66FF867C}">
              <a14:compatExt xmlns:a14="http://schemas.microsoft.com/office/drawing/2010/main" spid="_x0000_s10264"/>
            </a:ext>
            <a:ext uri="{FF2B5EF4-FFF2-40B4-BE49-F238E27FC236}">
              <a16:creationId xmlns:a16="http://schemas.microsoft.com/office/drawing/2014/main" id="{5224CA33-73CC-46F6-B396-DBD8C5C19BA8}"/>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17</xdr:row>
      <xdr:rowOff>104775</xdr:rowOff>
    </xdr:from>
    <xdr:to>
      <xdr:col>11</xdr:col>
      <xdr:colOff>2686050</xdr:colOff>
      <xdr:row>18</xdr:row>
      <xdr:rowOff>123825</xdr:rowOff>
    </xdr:to>
    <xdr:sp macro="" textlink="">
      <xdr:nvSpPr>
        <xdr:cNvPr id="10265" name="Option Button 25" hidden="1">
          <a:extLst>
            <a:ext uri="{63B3BB69-23CF-44E3-9099-C40C66FF867C}">
              <a14:compatExt xmlns:a14="http://schemas.microsoft.com/office/drawing/2010/main" spid="_x0000_s10265"/>
            </a:ext>
            <a:ext uri="{FF2B5EF4-FFF2-40B4-BE49-F238E27FC236}">
              <a16:creationId xmlns:a16="http://schemas.microsoft.com/office/drawing/2014/main" id="{E8569144-511A-4166-826D-FD667B871D2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23</xdr:row>
      <xdr:rowOff>0</xdr:rowOff>
    </xdr:from>
    <xdr:to>
      <xdr:col>12</xdr:col>
      <xdr:colOff>19050</xdr:colOff>
      <xdr:row>25</xdr:row>
      <xdr:rowOff>47625</xdr:rowOff>
    </xdr:to>
    <xdr:sp macro="" textlink="">
      <xdr:nvSpPr>
        <xdr:cNvPr id="10266" name="Group Box 26" hidden="1">
          <a:extLst>
            <a:ext uri="{63B3BB69-23CF-44E3-9099-C40C66FF867C}">
              <a14:compatExt xmlns:a14="http://schemas.microsoft.com/office/drawing/2010/main" spid="_x0000_s10266"/>
            </a:ext>
            <a:ext uri="{FF2B5EF4-FFF2-40B4-BE49-F238E27FC236}">
              <a16:creationId xmlns:a16="http://schemas.microsoft.com/office/drawing/2014/main" id="{99896EAA-5F7B-4804-9F90-DEA5BD5E5B8B}"/>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23</xdr:row>
      <xdr:rowOff>0</xdr:rowOff>
    </xdr:from>
    <xdr:to>
      <xdr:col>8</xdr:col>
      <xdr:colOff>2609850</xdr:colOff>
      <xdr:row>24</xdr:row>
      <xdr:rowOff>19050</xdr:rowOff>
    </xdr:to>
    <xdr:sp macro="" textlink="">
      <xdr:nvSpPr>
        <xdr:cNvPr id="10267" name="Option Button 27" hidden="1">
          <a:extLst>
            <a:ext uri="{63B3BB69-23CF-44E3-9099-C40C66FF867C}">
              <a14:compatExt xmlns:a14="http://schemas.microsoft.com/office/drawing/2010/main" spid="_x0000_s10267"/>
            </a:ext>
            <a:ext uri="{FF2B5EF4-FFF2-40B4-BE49-F238E27FC236}">
              <a16:creationId xmlns:a16="http://schemas.microsoft.com/office/drawing/2014/main" id="{EDCB45C5-C6E4-4DEC-B2C3-14A5A89A3B2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23</xdr:row>
      <xdr:rowOff>0</xdr:rowOff>
    </xdr:from>
    <xdr:to>
      <xdr:col>9</xdr:col>
      <xdr:colOff>2667000</xdr:colOff>
      <xdr:row>24</xdr:row>
      <xdr:rowOff>19050</xdr:rowOff>
    </xdr:to>
    <xdr:sp macro="" textlink="">
      <xdr:nvSpPr>
        <xdr:cNvPr id="10268" name="Option Button 28" hidden="1">
          <a:extLst>
            <a:ext uri="{63B3BB69-23CF-44E3-9099-C40C66FF867C}">
              <a14:compatExt xmlns:a14="http://schemas.microsoft.com/office/drawing/2010/main" spid="_x0000_s10268"/>
            </a:ext>
            <a:ext uri="{FF2B5EF4-FFF2-40B4-BE49-F238E27FC236}">
              <a16:creationId xmlns:a16="http://schemas.microsoft.com/office/drawing/2014/main" id="{186D20D9-A4A7-4AB3-AA8D-F155F54D1C6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23</xdr:row>
      <xdr:rowOff>0</xdr:rowOff>
    </xdr:from>
    <xdr:to>
      <xdr:col>10</xdr:col>
      <xdr:colOff>2609850</xdr:colOff>
      <xdr:row>24</xdr:row>
      <xdr:rowOff>19050</xdr:rowOff>
    </xdr:to>
    <xdr:sp macro="" textlink="">
      <xdr:nvSpPr>
        <xdr:cNvPr id="10269" name="Option Button 29" hidden="1">
          <a:extLst>
            <a:ext uri="{63B3BB69-23CF-44E3-9099-C40C66FF867C}">
              <a14:compatExt xmlns:a14="http://schemas.microsoft.com/office/drawing/2010/main" spid="_x0000_s10269"/>
            </a:ext>
            <a:ext uri="{FF2B5EF4-FFF2-40B4-BE49-F238E27FC236}">
              <a16:creationId xmlns:a16="http://schemas.microsoft.com/office/drawing/2014/main" id="{88716E24-52DD-4956-B3D0-9537DE8609C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23</xdr:row>
      <xdr:rowOff>0</xdr:rowOff>
    </xdr:from>
    <xdr:to>
      <xdr:col>11</xdr:col>
      <xdr:colOff>2686050</xdr:colOff>
      <xdr:row>24</xdr:row>
      <xdr:rowOff>19050</xdr:rowOff>
    </xdr:to>
    <xdr:sp macro="" textlink="">
      <xdr:nvSpPr>
        <xdr:cNvPr id="10270" name="Option Button 30" hidden="1">
          <a:extLst>
            <a:ext uri="{63B3BB69-23CF-44E3-9099-C40C66FF867C}">
              <a14:compatExt xmlns:a14="http://schemas.microsoft.com/office/drawing/2010/main" spid="_x0000_s10270"/>
            </a:ext>
            <a:ext uri="{FF2B5EF4-FFF2-40B4-BE49-F238E27FC236}">
              <a16:creationId xmlns:a16="http://schemas.microsoft.com/office/drawing/2014/main" id="{8CDFE338-84C6-4A3C-9548-5082C440560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31</xdr:row>
      <xdr:rowOff>28575</xdr:rowOff>
    </xdr:from>
    <xdr:to>
      <xdr:col>12</xdr:col>
      <xdr:colOff>19050</xdr:colOff>
      <xdr:row>33</xdr:row>
      <xdr:rowOff>28575</xdr:rowOff>
    </xdr:to>
    <xdr:sp macro="" textlink="">
      <xdr:nvSpPr>
        <xdr:cNvPr id="10271" name="Group Box 31" hidden="1">
          <a:extLst>
            <a:ext uri="{63B3BB69-23CF-44E3-9099-C40C66FF867C}">
              <a14:compatExt xmlns:a14="http://schemas.microsoft.com/office/drawing/2010/main" spid="_x0000_s10271"/>
            </a:ext>
            <a:ext uri="{FF2B5EF4-FFF2-40B4-BE49-F238E27FC236}">
              <a16:creationId xmlns:a16="http://schemas.microsoft.com/office/drawing/2014/main" id="{A60237A0-C45C-4205-8685-1BF2321CA723}"/>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31</xdr:row>
      <xdr:rowOff>104775</xdr:rowOff>
    </xdr:from>
    <xdr:to>
      <xdr:col>8</xdr:col>
      <xdr:colOff>2609850</xdr:colOff>
      <xdr:row>32</xdr:row>
      <xdr:rowOff>123825</xdr:rowOff>
    </xdr:to>
    <xdr:sp macro="" textlink="">
      <xdr:nvSpPr>
        <xdr:cNvPr id="10272" name="Option Button 32" hidden="1">
          <a:extLst>
            <a:ext uri="{63B3BB69-23CF-44E3-9099-C40C66FF867C}">
              <a14:compatExt xmlns:a14="http://schemas.microsoft.com/office/drawing/2010/main" spid="_x0000_s10272"/>
            </a:ext>
            <a:ext uri="{FF2B5EF4-FFF2-40B4-BE49-F238E27FC236}">
              <a16:creationId xmlns:a16="http://schemas.microsoft.com/office/drawing/2014/main" id="{308A4E2A-B3CD-42D8-A771-96EC5CE9063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31</xdr:row>
      <xdr:rowOff>104775</xdr:rowOff>
    </xdr:from>
    <xdr:to>
      <xdr:col>9</xdr:col>
      <xdr:colOff>2667000</xdr:colOff>
      <xdr:row>32</xdr:row>
      <xdr:rowOff>123825</xdr:rowOff>
    </xdr:to>
    <xdr:sp macro="" textlink="">
      <xdr:nvSpPr>
        <xdr:cNvPr id="10273" name="Option Button 33" hidden="1">
          <a:extLst>
            <a:ext uri="{63B3BB69-23CF-44E3-9099-C40C66FF867C}">
              <a14:compatExt xmlns:a14="http://schemas.microsoft.com/office/drawing/2010/main" spid="_x0000_s10273"/>
            </a:ext>
            <a:ext uri="{FF2B5EF4-FFF2-40B4-BE49-F238E27FC236}">
              <a16:creationId xmlns:a16="http://schemas.microsoft.com/office/drawing/2014/main" id="{C7771018-26F8-424D-B529-A91E6C57CDF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31</xdr:row>
      <xdr:rowOff>104775</xdr:rowOff>
    </xdr:from>
    <xdr:to>
      <xdr:col>10</xdr:col>
      <xdr:colOff>2609850</xdr:colOff>
      <xdr:row>32</xdr:row>
      <xdr:rowOff>123825</xdr:rowOff>
    </xdr:to>
    <xdr:sp macro="" textlink="">
      <xdr:nvSpPr>
        <xdr:cNvPr id="10274" name="Option Button 34" hidden="1">
          <a:extLst>
            <a:ext uri="{63B3BB69-23CF-44E3-9099-C40C66FF867C}">
              <a14:compatExt xmlns:a14="http://schemas.microsoft.com/office/drawing/2010/main" spid="_x0000_s10274"/>
            </a:ext>
            <a:ext uri="{FF2B5EF4-FFF2-40B4-BE49-F238E27FC236}">
              <a16:creationId xmlns:a16="http://schemas.microsoft.com/office/drawing/2014/main" id="{EEF01310-582B-468D-A364-96D400B3A66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31</xdr:row>
      <xdr:rowOff>104775</xdr:rowOff>
    </xdr:from>
    <xdr:to>
      <xdr:col>11</xdr:col>
      <xdr:colOff>2686050</xdr:colOff>
      <xdr:row>32</xdr:row>
      <xdr:rowOff>123825</xdr:rowOff>
    </xdr:to>
    <xdr:sp macro="" textlink="">
      <xdr:nvSpPr>
        <xdr:cNvPr id="10275" name="Option Button 35" hidden="1">
          <a:extLst>
            <a:ext uri="{63B3BB69-23CF-44E3-9099-C40C66FF867C}">
              <a14:compatExt xmlns:a14="http://schemas.microsoft.com/office/drawing/2010/main" spid="_x0000_s10275"/>
            </a:ext>
            <a:ext uri="{FF2B5EF4-FFF2-40B4-BE49-F238E27FC236}">
              <a16:creationId xmlns:a16="http://schemas.microsoft.com/office/drawing/2014/main" id="{FD0F5156-478F-4086-ACC2-B9F61059256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37</xdr:row>
      <xdr:rowOff>28575</xdr:rowOff>
    </xdr:from>
    <xdr:to>
      <xdr:col>12</xdr:col>
      <xdr:colOff>19050</xdr:colOff>
      <xdr:row>39</xdr:row>
      <xdr:rowOff>28575</xdr:rowOff>
    </xdr:to>
    <xdr:sp macro="" textlink="">
      <xdr:nvSpPr>
        <xdr:cNvPr id="10276" name="Group Box 36" hidden="1">
          <a:extLst>
            <a:ext uri="{63B3BB69-23CF-44E3-9099-C40C66FF867C}">
              <a14:compatExt xmlns:a14="http://schemas.microsoft.com/office/drawing/2010/main" spid="_x0000_s10276"/>
            </a:ext>
            <a:ext uri="{FF2B5EF4-FFF2-40B4-BE49-F238E27FC236}">
              <a16:creationId xmlns:a16="http://schemas.microsoft.com/office/drawing/2014/main" id="{863FAFFE-6749-4EBD-9664-E242E379725F}"/>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37</xdr:row>
      <xdr:rowOff>104775</xdr:rowOff>
    </xdr:from>
    <xdr:to>
      <xdr:col>8</xdr:col>
      <xdr:colOff>2609850</xdr:colOff>
      <xdr:row>38</xdr:row>
      <xdr:rowOff>123825</xdr:rowOff>
    </xdr:to>
    <xdr:sp macro="" textlink="">
      <xdr:nvSpPr>
        <xdr:cNvPr id="10277" name="Option Button 37" hidden="1">
          <a:extLst>
            <a:ext uri="{63B3BB69-23CF-44E3-9099-C40C66FF867C}">
              <a14:compatExt xmlns:a14="http://schemas.microsoft.com/office/drawing/2010/main" spid="_x0000_s10277"/>
            </a:ext>
            <a:ext uri="{FF2B5EF4-FFF2-40B4-BE49-F238E27FC236}">
              <a16:creationId xmlns:a16="http://schemas.microsoft.com/office/drawing/2014/main" id="{8D59162D-90C2-44D8-A4D0-330E239CAFB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37</xdr:row>
      <xdr:rowOff>104775</xdr:rowOff>
    </xdr:from>
    <xdr:to>
      <xdr:col>9</xdr:col>
      <xdr:colOff>2667000</xdr:colOff>
      <xdr:row>38</xdr:row>
      <xdr:rowOff>123825</xdr:rowOff>
    </xdr:to>
    <xdr:sp macro="" textlink="">
      <xdr:nvSpPr>
        <xdr:cNvPr id="10278" name="Option Button 38" hidden="1">
          <a:extLst>
            <a:ext uri="{63B3BB69-23CF-44E3-9099-C40C66FF867C}">
              <a14:compatExt xmlns:a14="http://schemas.microsoft.com/office/drawing/2010/main" spid="_x0000_s10278"/>
            </a:ext>
            <a:ext uri="{FF2B5EF4-FFF2-40B4-BE49-F238E27FC236}">
              <a16:creationId xmlns:a16="http://schemas.microsoft.com/office/drawing/2014/main" id="{BB61EE88-F46A-469C-9C94-B86797B28427}"/>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37</xdr:row>
      <xdr:rowOff>104775</xdr:rowOff>
    </xdr:from>
    <xdr:to>
      <xdr:col>10</xdr:col>
      <xdr:colOff>2609850</xdr:colOff>
      <xdr:row>38</xdr:row>
      <xdr:rowOff>123825</xdr:rowOff>
    </xdr:to>
    <xdr:sp macro="" textlink="">
      <xdr:nvSpPr>
        <xdr:cNvPr id="10279" name="Option Button 39" hidden="1">
          <a:extLst>
            <a:ext uri="{63B3BB69-23CF-44E3-9099-C40C66FF867C}">
              <a14:compatExt xmlns:a14="http://schemas.microsoft.com/office/drawing/2010/main" spid="_x0000_s10279"/>
            </a:ext>
            <a:ext uri="{FF2B5EF4-FFF2-40B4-BE49-F238E27FC236}">
              <a16:creationId xmlns:a16="http://schemas.microsoft.com/office/drawing/2014/main" id="{45DD9B1F-B63E-438D-9B4D-450DB7D1EA2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37</xdr:row>
      <xdr:rowOff>104775</xdr:rowOff>
    </xdr:from>
    <xdr:to>
      <xdr:col>11</xdr:col>
      <xdr:colOff>2686050</xdr:colOff>
      <xdr:row>38</xdr:row>
      <xdr:rowOff>123825</xdr:rowOff>
    </xdr:to>
    <xdr:sp macro="" textlink="">
      <xdr:nvSpPr>
        <xdr:cNvPr id="10280" name="Option Button 40" hidden="1">
          <a:extLst>
            <a:ext uri="{63B3BB69-23CF-44E3-9099-C40C66FF867C}">
              <a14:compatExt xmlns:a14="http://schemas.microsoft.com/office/drawing/2010/main" spid="_x0000_s10280"/>
            </a:ext>
            <a:ext uri="{FF2B5EF4-FFF2-40B4-BE49-F238E27FC236}">
              <a16:creationId xmlns:a16="http://schemas.microsoft.com/office/drawing/2014/main" id="{4B5B68DE-CDAC-4CE2-9C95-E2774EE09E2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42</xdr:row>
      <xdr:rowOff>28575</xdr:rowOff>
    </xdr:from>
    <xdr:to>
      <xdr:col>12</xdr:col>
      <xdr:colOff>19050</xdr:colOff>
      <xdr:row>44</xdr:row>
      <xdr:rowOff>28575</xdr:rowOff>
    </xdr:to>
    <xdr:sp macro="" textlink="">
      <xdr:nvSpPr>
        <xdr:cNvPr id="10281" name="Group Box 41" hidden="1">
          <a:extLst>
            <a:ext uri="{63B3BB69-23CF-44E3-9099-C40C66FF867C}">
              <a14:compatExt xmlns:a14="http://schemas.microsoft.com/office/drawing/2010/main" spid="_x0000_s10281"/>
            </a:ext>
            <a:ext uri="{FF2B5EF4-FFF2-40B4-BE49-F238E27FC236}">
              <a16:creationId xmlns:a16="http://schemas.microsoft.com/office/drawing/2014/main" id="{2CCE49A7-105B-4B43-AA65-1324825D8464}"/>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42</xdr:row>
      <xdr:rowOff>104775</xdr:rowOff>
    </xdr:from>
    <xdr:to>
      <xdr:col>8</xdr:col>
      <xdr:colOff>2609850</xdr:colOff>
      <xdr:row>43</xdr:row>
      <xdr:rowOff>123825</xdr:rowOff>
    </xdr:to>
    <xdr:sp macro="" textlink="">
      <xdr:nvSpPr>
        <xdr:cNvPr id="10282" name="Option Button 42" hidden="1">
          <a:extLst>
            <a:ext uri="{63B3BB69-23CF-44E3-9099-C40C66FF867C}">
              <a14:compatExt xmlns:a14="http://schemas.microsoft.com/office/drawing/2010/main" spid="_x0000_s10282"/>
            </a:ext>
            <a:ext uri="{FF2B5EF4-FFF2-40B4-BE49-F238E27FC236}">
              <a16:creationId xmlns:a16="http://schemas.microsoft.com/office/drawing/2014/main" id="{692A9443-5063-493C-9B1C-547B7C59C2A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42</xdr:row>
      <xdr:rowOff>104775</xdr:rowOff>
    </xdr:from>
    <xdr:to>
      <xdr:col>9</xdr:col>
      <xdr:colOff>2667000</xdr:colOff>
      <xdr:row>43</xdr:row>
      <xdr:rowOff>123825</xdr:rowOff>
    </xdr:to>
    <xdr:sp macro="" textlink="">
      <xdr:nvSpPr>
        <xdr:cNvPr id="10283" name="Option Button 43" hidden="1">
          <a:extLst>
            <a:ext uri="{63B3BB69-23CF-44E3-9099-C40C66FF867C}">
              <a14:compatExt xmlns:a14="http://schemas.microsoft.com/office/drawing/2010/main" spid="_x0000_s10283"/>
            </a:ext>
            <a:ext uri="{FF2B5EF4-FFF2-40B4-BE49-F238E27FC236}">
              <a16:creationId xmlns:a16="http://schemas.microsoft.com/office/drawing/2014/main" id="{D3141B8A-6726-4BE1-83AA-904F58F3541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42</xdr:row>
      <xdr:rowOff>104775</xdr:rowOff>
    </xdr:from>
    <xdr:to>
      <xdr:col>10</xdr:col>
      <xdr:colOff>2609850</xdr:colOff>
      <xdr:row>43</xdr:row>
      <xdr:rowOff>123825</xdr:rowOff>
    </xdr:to>
    <xdr:sp macro="" textlink="">
      <xdr:nvSpPr>
        <xdr:cNvPr id="10284" name="Option Button 44" hidden="1">
          <a:extLst>
            <a:ext uri="{63B3BB69-23CF-44E3-9099-C40C66FF867C}">
              <a14:compatExt xmlns:a14="http://schemas.microsoft.com/office/drawing/2010/main" spid="_x0000_s10284"/>
            </a:ext>
            <a:ext uri="{FF2B5EF4-FFF2-40B4-BE49-F238E27FC236}">
              <a16:creationId xmlns:a16="http://schemas.microsoft.com/office/drawing/2014/main" id="{1121C33E-E2AC-4FC1-858D-07262E67B14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42</xdr:row>
      <xdr:rowOff>104775</xdr:rowOff>
    </xdr:from>
    <xdr:to>
      <xdr:col>11</xdr:col>
      <xdr:colOff>2686050</xdr:colOff>
      <xdr:row>43</xdr:row>
      <xdr:rowOff>123825</xdr:rowOff>
    </xdr:to>
    <xdr:sp macro="" textlink="">
      <xdr:nvSpPr>
        <xdr:cNvPr id="10285" name="Option Button 45" hidden="1">
          <a:extLst>
            <a:ext uri="{63B3BB69-23CF-44E3-9099-C40C66FF867C}">
              <a14:compatExt xmlns:a14="http://schemas.microsoft.com/office/drawing/2010/main" spid="_x0000_s10285"/>
            </a:ext>
            <a:ext uri="{FF2B5EF4-FFF2-40B4-BE49-F238E27FC236}">
              <a16:creationId xmlns:a16="http://schemas.microsoft.com/office/drawing/2014/main" id="{21DE81FA-A9D4-45F1-982F-44169EA6797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56</xdr:row>
      <xdr:rowOff>28575</xdr:rowOff>
    </xdr:from>
    <xdr:to>
      <xdr:col>12</xdr:col>
      <xdr:colOff>19050</xdr:colOff>
      <xdr:row>58</xdr:row>
      <xdr:rowOff>28575</xdr:rowOff>
    </xdr:to>
    <xdr:sp macro="" textlink="">
      <xdr:nvSpPr>
        <xdr:cNvPr id="10286" name="Group Box 46" hidden="1">
          <a:extLst>
            <a:ext uri="{63B3BB69-23CF-44E3-9099-C40C66FF867C}">
              <a14:compatExt xmlns:a14="http://schemas.microsoft.com/office/drawing/2010/main" spid="_x0000_s10286"/>
            </a:ext>
            <a:ext uri="{FF2B5EF4-FFF2-40B4-BE49-F238E27FC236}">
              <a16:creationId xmlns:a16="http://schemas.microsoft.com/office/drawing/2014/main" id="{C9016EEA-9B16-446F-AFB8-6F6FA24841AB}"/>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56</xdr:row>
      <xdr:rowOff>104775</xdr:rowOff>
    </xdr:from>
    <xdr:to>
      <xdr:col>8</xdr:col>
      <xdr:colOff>2609850</xdr:colOff>
      <xdr:row>57</xdr:row>
      <xdr:rowOff>123825</xdr:rowOff>
    </xdr:to>
    <xdr:sp macro="" textlink="">
      <xdr:nvSpPr>
        <xdr:cNvPr id="10287" name="Option Button 47" hidden="1">
          <a:extLst>
            <a:ext uri="{63B3BB69-23CF-44E3-9099-C40C66FF867C}">
              <a14:compatExt xmlns:a14="http://schemas.microsoft.com/office/drawing/2010/main" spid="_x0000_s10287"/>
            </a:ext>
            <a:ext uri="{FF2B5EF4-FFF2-40B4-BE49-F238E27FC236}">
              <a16:creationId xmlns:a16="http://schemas.microsoft.com/office/drawing/2014/main" id="{04F762D3-A83A-4D78-A5A7-C46B4529931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56</xdr:row>
      <xdr:rowOff>104775</xdr:rowOff>
    </xdr:from>
    <xdr:to>
      <xdr:col>9</xdr:col>
      <xdr:colOff>2667000</xdr:colOff>
      <xdr:row>57</xdr:row>
      <xdr:rowOff>123825</xdr:rowOff>
    </xdr:to>
    <xdr:sp macro="" textlink="">
      <xdr:nvSpPr>
        <xdr:cNvPr id="10288" name="Option Button 48" hidden="1">
          <a:extLst>
            <a:ext uri="{63B3BB69-23CF-44E3-9099-C40C66FF867C}">
              <a14:compatExt xmlns:a14="http://schemas.microsoft.com/office/drawing/2010/main" spid="_x0000_s10288"/>
            </a:ext>
            <a:ext uri="{FF2B5EF4-FFF2-40B4-BE49-F238E27FC236}">
              <a16:creationId xmlns:a16="http://schemas.microsoft.com/office/drawing/2014/main" id="{9120C08E-769C-477D-89A4-0361FA92AF6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56</xdr:row>
      <xdr:rowOff>104775</xdr:rowOff>
    </xdr:from>
    <xdr:to>
      <xdr:col>10</xdr:col>
      <xdr:colOff>2609850</xdr:colOff>
      <xdr:row>57</xdr:row>
      <xdr:rowOff>123825</xdr:rowOff>
    </xdr:to>
    <xdr:sp macro="" textlink="">
      <xdr:nvSpPr>
        <xdr:cNvPr id="10289" name="Option Button 49" hidden="1">
          <a:extLst>
            <a:ext uri="{63B3BB69-23CF-44E3-9099-C40C66FF867C}">
              <a14:compatExt xmlns:a14="http://schemas.microsoft.com/office/drawing/2010/main" spid="_x0000_s10289"/>
            </a:ext>
            <a:ext uri="{FF2B5EF4-FFF2-40B4-BE49-F238E27FC236}">
              <a16:creationId xmlns:a16="http://schemas.microsoft.com/office/drawing/2014/main" id="{ED6AE13C-D677-4713-BA07-FEA2DBD5F00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56</xdr:row>
      <xdr:rowOff>104775</xdr:rowOff>
    </xdr:from>
    <xdr:to>
      <xdr:col>11</xdr:col>
      <xdr:colOff>2686050</xdr:colOff>
      <xdr:row>57</xdr:row>
      <xdr:rowOff>123825</xdr:rowOff>
    </xdr:to>
    <xdr:sp macro="" textlink="">
      <xdr:nvSpPr>
        <xdr:cNvPr id="10290" name="Option Button 50" hidden="1">
          <a:extLst>
            <a:ext uri="{63B3BB69-23CF-44E3-9099-C40C66FF867C}">
              <a14:compatExt xmlns:a14="http://schemas.microsoft.com/office/drawing/2010/main" spid="_x0000_s10290"/>
            </a:ext>
            <a:ext uri="{FF2B5EF4-FFF2-40B4-BE49-F238E27FC236}">
              <a16:creationId xmlns:a16="http://schemas.microsoft.com/office/drawing/2014/main" id="{DA2785C3-A535-44CC-B16D-A829BD555074}"/>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60</xdr:row>
      <xdr:rowOff>28575</xdr:rowOff>
    </xdr:from>
    <xdr:to>
      <xdr:col>12</xdr:col>
      <xdr:colOff>19050</xdr:colOff>
      <xdr:row>62</xdr:row>
      <xdr:rowOff>28575</xdr:rowOff>
    </xdr:to>
    <xdr:sp macro="" textlink="">
      <xdr:nvSpPr>
        <xdr:cNvPr id="10291" name="Group Box 51" hidden="1">
          <a:extLst>
            <a:ext uri="{63B3BB69-23CF-44E3-9099-C40C66FF867C}">
              <a14:compatExt xmlns:a14="http://schemas.microsoft.com/office/drawing/2010/main" spid="_x0000_s10291"/>
            </a:ext>
            <a:ext uri="{FF2B5EF4-FFF2-40B4-BE49-F238E27FC236}">
              <a16:creationId xmlns:a16="http://schemas.microsoft.com/office/drawing/2014/main" id="{1FCC570E-D061-4093-94AA-0E3221AE9295}"/>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60</xdr:row>
      <xdr:rowOff>104775</xdr:rowOff>
    </xdr:from>
    <xdr:to>
      <xdr:col>8</xdr:col>
      <xdr:colOff>2609850</xdr:colOff>
      <xdr:row>61</xdr:row>
      <xdr:rowOff>123825</xdr:rowOff>
    </xdr:to>
    <xdr:sp macro="" textlink="">
      <xdr:nvSpPr>
        <xdr:cNvPr id="10292" name="Option Button 52" hidden="1">
          <a:extLst>
            <a:ext uri="{63B3BB69-23CF-44E3-9099-C40C66FF867C}">
              <a14:compatExt xmlns:a14="http://schemas.microsoft.com/office/drawing/2010/main" spid="_x0000_s10292"/>
            </a:ext>
            <a:ext uri="{FF2B5EF4-FFF2-40B4-BE49-F238E27FC236}">
              <a16:creationId xmlns:a16="http://schemas.microsoft.com/office/drawing/2014/main" id="{915FCACA-A9D7-4C84-8803-306B2D037E3A}"/>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60</xdr:row>
      <xdr:rowOff>104775</xdr:rowOff>
    </xdr:from>
    <xdr:to>
      <xdr:col>9</xdr:col>
      <xdr:colOff>2667000</xdr:colOff>
      <xdr:row>61</xdr:row>
      <xdr:rowOff>123825</xdr:rowOff>
    </xdr:to>
    <xdr:sp macro="" textlink="">
      <xdr:nvSpPr>
        <xdr:cNvPr id="10293" name="Option Button 53" hidden="1">
          <a:extLst>
            <a:ext uri="{63B3BB69-23CF-44E3-9099-C40C66FF867C}">
              <a14:compatExt xmlns:a14="http://schemas.microsoft.com/office/drawing/2010/main" spid="_x0000_s10293"/>
            </a:ext>
            <a:ext uri="{FF2B5EF4-FFF2-40B4-BE49-F238E27FC236}">
              <a16:creationId xmlns:a16="http://schemas.microsoft.com/office/drawing/2014/main" id="{49B2B4C2-F13C-467F-BEDD-ECF0E09BB9DC}"/>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60</xdr:row>
      <xdr:rowOff>104775</xdr:rowOff>
    </xdr:from>
    <xdr:to>
      <xdr:col>10</xdr:col>
      <xdr:colOff>2609850</xdr:colOff>
      <xdr:row>61</xdr:row>
      <xdr:rowOff>123825</xdr:rowOff>
    </xdr:to>
    <xdr:sp macro="" textlink="">
      <xdr:nvSpPr>
        <xdr:cNvPr id="10294" name="Option Button 54" hidden="1">
          <a:extLst>
            <a:ext uri="{63B3BB69-23CF-44E3-9099-C40C66FF867C}">
              <a14:compatExt xmlns:a14="http://schemas.microsoft.com/office/drawing/2010/main" spid="_x0000_s10294"/>
            </a:ext>
            <a:ext uri="{FF2B5EF4-FFF2-40B4-BE49-F238E27FC236}">
              <a16:creationId xmlns:a16="http://schemas.microsoft.com/office/drawing/2014/main" id="{05A569C7-5252-4AAF-B103-F10F8B0C07A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60</xdr:row>
      <xdr:rowOff>104775</xdr:rowOff>
    </xdr:from>
    <xdr:to>
      <xdr:col>11</xdr:col>
      <xdr:colOff>2686050</xdr:colOff>
      <xdr:row>61</xdr:row>
      <xdr:rowOff>123825</xdr:rowOff>
    </xdr:to>
    <xdr:sp macro="" textlink="">
      <xdr:nvSpPr>
        <xdr:cNvPr id="10295" name="Option Button 55" hidden="1">
          <a:extLst>
            <a:ext uri="{63B3BB69-23CF-44E3-9099-C40C66FF867C}">
              <a14:compatExt xmlns:a14="http://schemas.microsoft.com/office/drawing/2010/main" spid="_x0000_s10295"/>
            </a:ext>
            <a:ext uri="{FF2B5EF4-FFF2-40B4-BE49-F238E27FC236}">
              <a16:creationId xmlns:a16="http://schemas.microsoft.com/office/drawing/2014/main" id="{7C5C0497-B666-44A0-915F-7CB02A4B4F68}"/>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63</xdr:row>
      <xdr:rowOff>28575</xdr:rowOff>
    </xdr:from>
    <xdr:to>
      <xdr:col>12</xdr:col>
      <xdr:colOff>19050</xdr:colOff>
      <xdr:row>65</xdr:row>
      <xdr:rowOff>38100</xdr:rowOff>
    </xdr:to>
    <xdr:sp macro="" textlink="">
      <xdr:nvSpPr>
        <xdr:cNvPr id="10296" name="Group Box 56" hidden="1">
          <a:extLst>
            <a:ext uri="{63B3BB69-23CF-44E3-9099-C40C66FF867C}">
              <a14:compatExt xmlns:a14="http://schemas.microsoft.com/office/drawing/2010/main" spid="_x0000_s10296"/>
            </a:ext>
            <a:ext uri="{FF2B5EF4-FFF2-40B4-BE49-F238E27FC236}">
              <a16:creationId xmlns:a16="http://schemas.microsoft.com/office/drawing/2014/main" id="{000CE7C3-DE43-4008-B91F-33410573B3F5}"/>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63</xdr:row>
      <xdr:rowOff>104775</xdr:rowOff>
    </xdr:from>
    <xdr:to>
      <xdr:col>8</xdr:col>
      <xdr:colOff>2609850</xdr:colOff>
      <xdr:row>64</xdr:row>
      <xdr:rowOff>123825</xdr:rowOff>
    </xdr:to>
    <xdr:sp macro="" textlink="">
      <xdr:nvSpPr>
        <xdr:cNvPr id="10297" name="Option Button 57" hidden="1">
          <a:extLst>
            <a:ext uri="{63B3BB69-23CF-44E3-9099-C40C66FF867C}">
              <a14:compatExt xmlns:a14="http://schemas.microsoft.com/office/drawing/2010/main" spid="_x0000_s10297"/>
            </a:ext>
            <a:ext uri="{FF2B5EF4-FFF2-40B4-BE49-F238E27FC236}">
              <a16:creationId xmlns:a16="http://schemas.microsoft.com/office/drawing/2014/main" id="{128B5E11-21E5-485F-92FD-11064CE4743F}"/>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63</xdr:row>
      <xdr:rowOff>104775</xdr:rowOff>
    </xdr:from>
    <xdr:to>
      <xdr:col>9</xdr:col>
      <xdr:colOff>2667000</xdr:colOff>
      <xdr:row>64</xdr:row>
      <xdr:rowOff>123825</xdr:rowOff>
    </xdr:to>
    <xdr:sp macro="" textlink="">
      <xdr:nvSpPr>
        <xdr:cNvPr id="10298" name="Option Button 58" hidden="1">
          <a:extLst>
            <a:ext uri="{63B3BB69-23CF-44E3-9099-C40C66FF867C}">
              <a14:compatExt xmlns:a14="http://schemas.microsoft.com/office/drawing/2010/main" spid="_x0000_s10298"/>
            </a:ext>
            <a:ext uri="{FF2B5EF4-FFF2-40B4-BE49-F238E27FC236}">
              <a16:creationId xmlns:a16="http://schemas.microsoft.com/office/drawing/2014/main" id="{08A95273-8FF7-4AB4-A00A-CE0ABAAD46A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63</xdr:row>
      <xdr:rowOff>104775</xdr:rowOff>
    </xdr:from>
    <xdr:to>
      <xdr:col>10</xdr:col>
      <xdr:colOff>2609850</xdr:colOff>
      <xdr:row>64</xdr:row>
      <xdr:rowOff>123825</xdr:rowOff>
    </xdr:to>
    <xdr:sp macro="" textlink="">
      <xdr:nvSpPr>
        <xdr:cNvPr id="10299" name="Option Button 59" hidden="1">
          <a:extLst>
            <a:ext uri="{63B3BB69-23CF-44E3-9099-C40C66FF867C}">
              <a14:compatExt xmlns:a14="http://schemas.microsoft.com/office/drawing/2010/main" spid="_x0000_s10299"/>
            </a:ext>
            <a:ext uri="{FF2B5EF4-FFF2-40B4-BE49-F238E27FC236}">
              <a16:creationId xmlns:a16="http://schemas.microsoft.com/office/drawing/2014/main" id="{B79EE8D5-4664-4D80-83AE-FED5BCA1BB1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63</xdr:row>
      <xdr:rowOff>104775</xdr:rowOff>
    </xdr:from>
    <xdr:to>
      <xdr:col>11</xdr:col>
      <xdr:colOff>2686050</xdr:colOff>
      <xdr:row>64</xdr:row>
      <xdr:rowOff>123825</xdr:rowOff>
    </xdr:to>
    <xdr:sp macro="" textlink="">
      <xdr:nvSpPr>
        <xdr:cNvPr id="10300" name="Option Button 60" hidden="1">
          <a:extLst>
            <a:ext uri="{63B3BB69-23CF-44E3-9099-C40C66FF867C}">
              <a14:compatExt xmlns:a14="http://schemas.microsoft.com/office/drawing/2010/main" spid="_x0000_s10300"/>
            </a:ext>
            <a:ext uri="{FF2B5EF4-FFF2-40B4-BE49-F238E27FC236}">
              <a16:creationId xmlns:a16="http://schemas.microsoft.com/office/drawing/2014/main" id="{21DFA540-0CD3-4088-BF9E-CBBDF63FE82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8</xdr:col>
      <xdr:colOff>57150</xdr:colOff>
      <xdr:row>15</xdr:row>
      <xdr:rowOff>28575</xdr:rowOff>
    </xdr:from>
    <xdr:to>
      <xdr:col>12</xdr:col>
      <xdr:colOff>19050</xdr:colOff>
      <xdr:row>17</xdr:row>
      <xdr:rowOff>38100</xdr:rowOff>
    </xdr:to>
    <xdr:sp macro="" textlink="">
      <xdr:nvSpPr>
        <xdr:cNvPr id="10301" name="Group Box 61" hidden="1">
          <a:extLst>
            <a:ext uri="{63B3BB69-23CF-44E3-9099-C40C66FF867C}">
              <a14:compatExt xmlns:a14="http://schemas.microsoft.com/office/drawing/2010/main" spid="_x0000_s10301"/>
            </a:ext>
            <a:ext uri="{FF2B5EF4-FFF2-40B4-BE49-F238E27FC236}">
              <a16:creationId xmlns:a16="http://schemas.microsoft.com/office/drawing/2014/main" id="{8A1358AF-39F1-46FD-A660-9664B5A7F5DD}"/>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8</xdr:col>
      <xdr:colOff>1562100</xdr:colOff>
      <xdr:row>15</xdr:row>
      <xdr:rowOff>104775</xdr:rowOff>
    </xdr:from>
    <xdr:to>
      <xdr:col>8</xdr:col>
      <xdr:colOff>2609850</xdr:colOff>
      <xdr:row>16</xdr:row>
      <xdr:rowOff>123825</xdr:rowOff>
    </xdr:to>
    <xdr:sp macro="" textlink="">
      <xdr:nvSpPr>
        <xdr:cNvPr id="10302" name="Option Button 62" hidden="1">
          <a:extLst>
            <a:ext uri="{63B3BB69-23CF-44E3-9099-C40C66FF867C}">
              <a14:compatExt xmlns:a14="http://schemas.microsoft.com/office/drawing/2010/main" spid="_x0000_s10302"/>
            </a:ext>
            <a:ext uri="{FF2B5EF4-FFF2-40B4-BE49-F238E27FC236}">
              <a16:creationId xmlns:a16="http://schemas.microsoft.com/office/drawing/2014/main" id="{087DED41-80BB-4F50-B231-E4FD750F60B9}"/>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9</xdr:col>
      <xdr:colOff>1619250</xdr:colOff>
      <xdr:row>15</xdr:row>
      <xdr:rowOff>104775</xdr:rowOff>
    </xdr:from>
    <xdr:to>
      <xdr:col>9</xdr:col>
      <xdr:colOff>2667000</xdr:colOff>
      <xdr:row>16</xdr:row>
      <xdr:rowOff>123825</xdr:rowOff>
    </xdr:to>
    <xdr:sp macro="" textlink="">
      <xdr:nvSpPr>
        <xdr:cNvPr id="10303" name="Option Button 63" hidden="1">
          <a:extLst>
            <a:ext uri="{63B3BB69-23CF-44E3-9099-C40C66FF867C}">
              <a14:compatExt xmlns:a14="http://schemas.microsoft.com/office/drawing/2010/main" spid="_x0000_s10303"/>
            </a:ext>
            <a:ext uri="{FF2B5EF4-FFF2-40B4-BE49-F238E27FC236}">
              <a16:creationId xmlns:a16="http://schemas.microsoft.com/office/drawing/2014/main" id="{27141253-24B8-41A1-9C44-B8BF8ADE103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1562100</xdr:colOff>
      <xdr:row>15</xdr:row>
      <xdr:rowOff>104775</xdr:rowOff>
    </xdr:from>
    <xdr:to>
      <xdr:col>10</xdr:col>
      <xdr:colOff>2609850</xdr:colOff>
      <xdr:row>16</xdr:row>
      <xdr:rowOff>123825</xdr:rowOff>
    </xdr:to>
    <xdr:sp macro="" textlink="">
      <xdr:nvSpPr>
        <xdr:cNvPr id="10304" name="Option Button 64" hidden="1">
          <a:extLst>
            <a:ext uri="{63B3BB69-23CF-44E3-9099-C40C66FF867C}">
              <a14:compatExt xmlns:a14="http://schemas.microsoft.com/office/drawing/2010/main" spid="_x0000_s10304"/>
            </a:ext>
            <a:ext uri="{FF2B5EF4-FFF2-40B4-BE49-F238E27FC236}">
              <a16:creationId xmlns:a16="http://schemas.microsoft.com/office/drawing/2014/main" id="{01BBA67C-721C-4FD4-A31A-A0BAD837755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11</xdr:col>
      <xdr:colOff>1638300</xdr:colOff>
      <xdr:row>15</xdr:row>
      <xdr:rowOff>104775</xdr:rowOff>
    </xdr:from>
    <xdr:to>
      <xdr:col>11</xdr:col>
      <xdr:colOff>2686050</xdr:colOff>
      <xdr:row>16</xdr:row>
      <xdr:rowOff>123825</xdr:rowOff>
    </xdr:to>
    <xdr:sp macro="" textlink="">
      <xdr:nvSpPr>
        <xdr:cNvPr id="10305" name="Option Button 65" hidden="1">
          <a:extLst>
            <a:ext uri="{63B3BB69-23CF-44E3-9099-C40C66FF867C}">
              <a14:compatExt xmlns:a14="http://schemas.microsoft.com/office/drawing/2010/main" spid="_x0000_s10305"/>
            </a:ext>
            <a:ext uri="{FF2B5EF4-FFF2-40B4-BE49-F238E27FC236}">
              <a16:creationId xmlns:a16="http://schemas.microsoft.com/office/drawing/2014/main" id="{3FB3CC98-E027-4178-B855-37EA58FC2123}"/>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8</xdr:col>
      <xdr:colOff>57150</xdr:colOff>
      <xdr:row>44</xdr:row>
      <xdr:rowOff>28575</xdr:rowOff>
    </xdr:from>
    <xdr:ext cx="13420725" cy="381000"/>
    <xdr:sp macro="" textlink="">
      <xdr:nvSpPr>
        <xdr:cNvPr id="10306" name="Group Box 66" hidden="1">
          <a:extLst>
            <a:ext uri="{63B3BB69-23CF-44E3-9099-C40C66FF867C}">
              <a14:compatExt xmlns:a14="http://schemas.microsoft.com/office/drawing/2010/main" spid="_x0000_s10306"/>
            </a:ext>
            <a:ext uri="{FF2B5EF4-FFF2-40B4-BE49-F238E27FC236}">
              <a16:creationId xmlns:a16="http://schemas.microsoft.com/office/drawing/2014/main" id="{931BA8D5-BE32-4D21-BB37-4702F8B390C4}"/>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8</xdr:col>
      <xdr:colOff>1562100</xdr:colOff>
      <xdr:row>44</xdr:row>
      <xdr:rowOff>104775</xdr:rowOff>
    </xdr:from>
    <xdr:ext cx="1047750" cy="209550"/>
    <xdr:sp macro="" textlink="">
      <xdr:nvSpPr>
        <xdr:cNvPr id="10307" name="Option Button 67" hidden="1">
          <a:extLst>
            <a:ext uri="{63B3BB69-23CF-44E3-9099-C40C66FF867C}">
              <a14:compatExt xmlns:a14="http://schemas.microsoft.com/office/drawing/2010/main" spid="_x0000_s10307"/>
            </a:ext>
            <a:ext uri="{FF2B5EF4-FFF2-40B4-BE49-F238E27FC236}">
              <a16:creationId xmlns:a16="http://schemas.microsoft.com/office/drawing/2014/main" id="{10730A81-A136-488B-B8C9-076B8BB6AF96}"/>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9</xdr:col>
      <xdr:colOff>1619250</xdr:colOff>
      <xdr:row>44</xdr:row>
      <xdr:rowOff>104775</xdr:rowOff>
    </xdr:from>
    <xdr:ext cx="1047750" cy="209550"/>
    <xdr:sp macro="" textlink="">
      <xdr:nvSpPr>
        <xdr:cNvPr id="10308" name="Option Button 68" hidden="1">
          <a:extLst>
            <a:ext uri="{63B3BB69-23CF-44E3-9099-C40C66FF867C}">
              <a14:compatExt xmlns:a14="http://schemas.microsoft.com/office/drawing/2010/main" spid="_x0000_s10308"/>
            </a:ext>
            <a:ext uri="{FF2B5EF4-FFF2-40B4-BE49-F238E27FC236}">
              <a16:creationId xmlns:a16="http://schemas.microsoft.com/office/drawing/2014/main" id="{B743537B-CD79-478D-BFC9-B8D94D36990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1562100</xdr:colOff>
      <xdr:row>44</xdr:row>
      <xdr:rowOff>104775</xdr:rowOff>
    </xdr:from>
    <xdr:ext cx="1047750" cy="209550"/>
    <xdr:sp macro="" textlink="">
      <xdr:nvSpPr>
        <xdr:cNvPr id="10309" name="Option Button 69" hidden="1">
          <a:extLst>
            <a:ext uri="{63B3BB69-23CF-44E3-9099-C40C66FF867C}">
              <a14:compatExt xmlns:a14="http://schemas.microsoft.com/office/drawing/2010/main" spid="_x0000_s10309"/>
            </a:ext>
            <a:ext uri="{FF2B5EF4-FFF2-40B4-BE49-F238E27FC236}">
              <a16:creationId xmlns:a16="http://schemas.microsoft.com/office/drawing/2014/main" id="{7FABD81D-8401-4DD6-BC35-5C26C7CF0F81}"/>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11</xdr:col>
      <xdr:colOff>1638300</xdr:colOff>
      <xdr:row>44</xdr:row>
      <xdr:rowOff>104775</xdr:rowOff>
    </xdr:from>
    <xdr:ext cx="1047750" cy="209550"/>
    <xdr:sp macro="" textlink="">
      <xdr:nvSpPr>
        <xdr:cNvPr id="10310" name="Option Button 70" hidden="1">
          <a:extLst>
            <a:ext uri="{63B3BB69-23CF-44E3-9099-C40C66FF867C}">
              <a14:compatExt xmlns:a14="http://schemas.microsoft.com/office/drawing/2010/main" spid="_x0000_s10310"/>
            </a:ext>
            <a:ext uri="{FF2B5EF4-FFF2-40B4-BE49-F238E27FC236}">
              <a16:creationId xmlns:a16="http://schemas.microsoft.com/office/drawing/2014/main" id="{9AD7AB13-0CEE-40B3-A2D2-BE5429E82B44}"/>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10</xdr:col>
      <xdr:colOff>0</xdr:colOff>
      <xdr:row>9</xdr:row>
      <xdr:rowOff>0</xdr:rowOff>
    </xdr:from>
    <xdr:to>
      <xdr:col>32</xdr:col>
      <xdr:colOff>6350</xdr:colOff>
      <xdr:row>9</xdr:row>
      <xdr:rowOff>381000</xdr:rowOff>
    </xdr:to>
    <xdr:sp macro="" textlink="">
      <xdr:nvSpPr>
        <xdr:cNvPr id="2068" name="Group Box 20" hidden="1">
          <a:extLst>
            <a:ext uri="{63B3BB69-23CF-44E3-9099-C40C66FF867C}">
              <a14:compatExt xmlns:a14="http://schemas.microsoft.com/office/drawing/2010/main"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78" name="Option Button 30" hidden="1">
          <a:extLst>
            <a:ext uri="{63B3BB69-23CF-44E3-9099-C40C66FF867C}">
              <a14:compatExt xmlns:a14="http://schemas.microsoft.com/office/drawing/2010/main" spid="_x0000_s2078"/>
            </a:ext>
            <a:ext uri="{FF2B5EF4-FFF2-40B4-BE49-F238E27FC236}">
              <a16:creationId xmlns:a16="http://schemas.microsoft.com/office/drawing/2014/main" id="{00000000-0008-0000-0200-00001E080000}"/>
            </a:ext>
            <a:ext uri="{147F2762-F138-4A5C-976F-8EAC2B608ADB}">
              <a16:predDERef xmlns:a16="http://schemas.microsoft.com/office/drawing/2014/main" pred="{00000000-0008-0000-0200-00001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0" name="Option Button 32" hidden="1">
          <a:extLst>
            <a:ext uri="{63B3BB69-23CF-44E3-9099-C40C66FF867C}">
              <a14:compatExt xmlns:a14="http://schemas.microsoft.com/office/drawing/2010/main" spid="_x0000_s2080"/>
            </a:ext>
            <a:ext uri="{FF2B5EF4-FFF2-40B4-BE49-F238E27FC236}">
              <a16:creationId xmlns:a16="http://schemas.microsoft.com/office/drawing/2014/main" id="{00000000-0008-0000-0200-000020080000}"/>
            </a:ext>
            <a:ext uri="{147F2762-F138-4A5C-976F-8EAC2B608ADB}">
              <a16:predDERef xmlns:a16="http://schemas.microsoft.com/office/drawing/2014/main" pred="{00000000-0008-0000-0200-00001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2" name="Option Button 34" hidden="1">
          <a:extLst>
            <a:ext uri="{63B3BB69-23CF-44E3-9099-C40C66FF867C}">
              <a14:compatExt xmlns:a14="http://schemas.microsoft.com/office/drawing/2010/main" spid="_x0000_s2082"/>
            </a:ext>
            <a:ext uri="{FF2B5EF4-FFF2-40B4-BE49-F238E27FC236}">
              <a16:creationId xmlns:a16="http://schemas.microsoft.com/office/drawing/2014/main" id="{00000000-0008-0000-0200-000022080000}"/>
            </a:ext>
            <a:ext uri="{147F2762-F138-4A5C-976F-8EAC2B608ADB}">
              <a16:predDERef xmlns:a16="http://schemas.microsoft.com/office/drawing/2014/main" pred="{00000000-0008-0000-0200-00002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xdr:row>
      <xdr:rowOff>0</xdr:rowOff>
    </xdr:from>
    <xdr:to>
      <xdr:col>11</xdr:col>
      <xdr:colOff>438150</xdr:colOff>
      <xdr:row>9</xdr:row>
      <xdr:rowOff>209550</xdr:rowOff>
    </xdr:to>
    <xdr:sp macro="" textlink="">
      <xdr:nvSpPr>
        <xdr:cNvPr id="2084" name="Option Button 36" hidden="1">
          <a:extLst>
            <a:ext uri="{63B3BB69-23CF-44E3-9099-C40C66FF867C}">
              <a14:compatExt xmlns:a14="http://schemas.microsoft.com/office/drawing/2010/main" spid="_x0000_s2084"/>
            </a:ext>
            <a:ext uri="{FF2B5EF4-FFF2-40B4-BE49-F238E27FC236}">
              <a16:creationId xmlns:a16="http://schemas.microsoft.com/office/drawing/2014/main" id="{00000000-0008-0000-0200-000024080000}"/>
            </a:ext>
            <a:ext uri="{147F2762-F138-4A5C-976F-8EAC2B608ADB}">
              <a16:predDERef xmlns:a16="http://schemas.microsoft.com/office/drawing/2014/main" pred="{00000000-0008-0000-0200-000022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32</xdr:col>
      <xdr:colOff>6350</xdr:colOff>
      <xdr:row>24</xdr:row>
      <xdr:rowOff>63500</xdr:rowOff>
    </xdr:to>
    <xdr:sp macro="" textlink="">
      <xdr:nvSpPr>
        <xdr:cNvPr id="2085" name="Group Box 37" hidden="1">
          <a:extLst>
            <a:ext uri="{63B3BB69-23CF-44E3-9099-C40C66FF867C}">
              <a14:compatExt xmlns:a14="http://schemas.microsoft.com/office/drawing/2010/main" spid="_x0000_s2085"/>
            </a:ext>
            <a:ext uri="{FF2B5EF4-FFF2-40B4-BE49-F238E27FC236}">
              <a16:creationId xmlns:a16="http://schemas.microsoft.com/office/drawing/2014/main" id="{00000000-0008-0000-0200-000025080000}"/>
            </a:ext>
            <a:ext uri="{147F2762-F138-4A5C-976F-8EAC2B608ADB}">
              <a16:predDERef xmlns:a16="http://schemas.microsoft.com/office/drawing/2014/main" pred="{00000000-0008-0000-0200-000024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23</xdr:row>
      <xdr:rowOff>0</xdr:rowOff>
    </xdr:from>
    <xdr:to>
      <xdr:col>32</xdr:col>
      <xdr:colOff>6350</xdr:colOff>
      <xdr:row>24</xdr:row>
      <xdr:rowOff>63500</xdr:rowOff>
    </xdr:to>
    <xdr:sp macro="" textlink="">
      <xdr:nvSpPr>
        <xdr:cNvPr id="2090" name="Group Box 42" hidden="1">
          <a:extLst>
            <a:ext uri="{63B3BB69-23CF-44E3-9099-C40C66FF867C}">
              <a14:compatExt xmlns:a14="http://schemas.microsoft.com/office/drawing/2010/main" spid="_x0000_s2090"/>
            </a:ext>
            <a:ext uri="{FF2B5EF4-FFF2-40B4-BE49-F238E27FC236}">
              <a16:creationId xmlns:a16="http://schemas.microsoft.com/office/drawing/2014/main" id="{00000000-0008-0000-0200-00002A080000}"/>
            </a:ext>
            <a:ext uri="{147F2762-F138-4A5C-976F-8EAC2B608ADB}">
              <a16:predDERef xmlns:a16="http://schemas.microsoft.com/office/drawing/2014/main" pred="{00000000-0008-0000-0200-000025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099" name="Option Button 51" hidden="1">
          <a:extLst>
            <a:ext uri="{63B3BB69-23CF-44E3-9099-C40C66FF867C}">
              <a14:compatExt xmlns:a14="http://schemas.microsoft.com/office/drawing/2010/main" spid="_x0000_s2099"/>
            </a:ext>
            <a:ext uri="{FF2B5EF4-FFF2-40B4-BE49-F238E27FC236}">
              <a16:creationId xmlns:a16="http://schemas.microsoft.com/office/drawing/2014/main" id="{00000000-0008-0000-0200-000033080000}"/>
            </a:ext>
            <a:ext uri="{147F2762-F138-4A5C-976F-8EAC2B608ADB}">
              <a16:predDERef xmlns:a16="http://schemas.microsoft.com/office/drawing/2014/main" pred="{00000000-0008-0000-0200-00002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0" name="Option Button 52" hidden="1">
          <a:extLst>
            <a:ext uri="{63B3BB69-23CF-44E3-9099-C40C66FF867C}">
              <a14:compatExt xmlns:a14="http://schemas.microsoft.com/office/drawing/2010/main" spid="_x0000_s2100"/>
            </a:ext>
            <a:ext uri="{FF2B5EF4-FFF2-40B4-BE49-F238E27FC236}">
              <a16:creationId xmlns:a16="http://schemas.microsoft.com/office/drawing/2014/main" id="{00000000-0008-0000-0200-000034080000}"/>
            </a:ext>
            <a:ext uri="{147F2762-F138-4A5C-976F-8EAC2B608ADB}">
              <a16:predDERef xmlns:a16="http://schemas.microsoft.com/office/drawing/2014/main" pred="{00000000-0008-0000-0200-000033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1" name="Option Button 53" hidden="1">
          <a:extLst>
            <a:ext uri="{63B3BB69-23CF-44E3-9099-C40C66FF867C}">
              <a14:compatExt xmlns:a14="http://schemas.microsoft.com/office/drawing/2010/main" spid="_x0000_s2101"/>
            </a:ext>
            <a:ext uri="{FF2B5EF4-FFF2-40B4-BE49-F238E27FC236}">
              <a16:creationId xmlns:a16="http://schemas.microsoft.com/office/drawing/2014/main" id="{00000000-0008-0000-0200-000035080000}"/>
            </a:ext>
            <a:ext uri="{147F2762-F138-4A5C-976F-8EAC2B608ADB}">
              <a16:predDERef xmlns:a16="http://schemas.microsoft.com/office/drawing/2014/main" pred="{00000000-0008-0000-0200-00003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2" name="Option Button 54" hidden="1">
          <a:extLst>
            <a:ext uri="{63B3BB69-23CF-44E3-9099-C40C66FF867C}">
              <a14:compatExt xmlns:a14="http://schemas.microsoft.com/office/drawing/2010/main" spid="_x0000_s2102"/>
            </a:ext>
            <a:ext uri="{FF2B5EF4-FFF2-40B4-BE49-F238E27FC236}">
              <a16:creationId xmlns:a16="http://schemas.microsoft.com/office/drawing/2014/main" id="{00000000-0008-0000-0200-000036080000}"/>
            </a:ext>
            <a:ext uri="{147F2762-F138-4A5C-976F-8EAC2B608ADB}">
              <a16:predDERef xmlns:a16="http://schemas.microsoft.com/office/drawing/2014/main" pred="{00000000-0008-0000-0200-00003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7" name="Option Button 59" hidden="1">
          <a:extLst>
            <a:ext uri="{63B3BB69-23CF-44E3-9099-C40C66FF867C}">
              <a14:compatExt xmlns:a14="http://schemas.microsoft.com/office/drawing/2010/main" spid="_x0000_s2107"/>
            </a:ext>
            <a:ext uri="{FF2B5EF4-FFF2-40B4-BE49-F238E27FC236}">
              <a16:creationId xmlns:a16="http://schemas.microsoft.com/office/drawing/2014/main" id="{00000000-0008-0000-0200-00003B080000}"/>
            </a:ext>
            <a:ext uri="{147F2762-F138-4A5C-976F-8EAC2B608ADB}">
              <a16:predDERef xmlns:a16="http://schemas.microsoft.com/office/drawing/2014/main" pred="{00000000-0008-0000-0200-000036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8" name="Option Button 60" hidden="1">
          <a:extLst>
            <a:ext uri="{63B3BB69-23CF-44E3-9099-C40C66FF867C}">
              <a14:compatExt xmlns:a14="http://schemas.microsoft.com/office/drawing/2010/main" spid="_x0000_s2108"/>
            </a:ext>
            <a:ext uri="{FF2B5EF4-FFF2-40B4-BE49-F238E27FC236}">
              <a16:creationId xmlns:a16="http://schemas.microsoft.com/office/drawing/2014/main" id="{00000000-0008-0000-0200-00003C080000}"/>
            </a:ext>
            <a:ext uri="{147F2762-F138-4A5C-976F-8EAC2B608ADB}">
              <a16:predDERef xmlns:a16="http://schemas.microsoft.com/office/drawing/2014/main" pred="{00000000-0008-0000-0200-00003B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09" name="Option Button 61" hidden="1">
          <a:extLst>
            <a:ext uri="{63B3BB69-23CF-44E3-9099-C40C66FF867C}">
              <a14:compatExt xmlns:a14="http://schemas.microsoft.com/office/drawing/2010/main" spid="_x0000_s2109"/>
            </a:ext>
            <a:ext uri="{FF2B5EF4-FFF2-40B4-BE49-F238E27FC236}">
              <a16:creationId xmlns:a16="http://schemas.microsoft.com/office/drawing/2014/main" id="{00000000-0008-0000-0200-00003D080000}"/>
            </a:ext>
            <a:ext uri="{147F2762-F138-4A5C-976F-8EAC2B608ADB}">
              <a16:predDERef xmlns:a16="http://schemas.microsoft.com/office/drawing/2014/main" pred="{00000000-0008-0000-0200-00003C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23</xdr:row>
      <xdr:rowOff>0</xdr:rowOff>
    </xdr:from>
    <xdr:to>
      <xdr:col>11</xdr:col>
      <xdr:colOff>438150</xdr:colOff>
      <xdr:row>23</xdr:row>
      <xdr:rowOff>209550</xdr:rowOff>
    </xdr:to>
    <xdr:sp macro="" textlink="">
      <xdr:nvSpPr>
        <xdr:cNvPr id="2110" name="Option Button 62" hidden="1">
          <a:extLst>
            <a:ext uri="{63B3BB69-23CF-44E3-9099-C40C66FF867C}">
              <a14:compatExt xmlns:a14="http://schemas.microsoft.com/office/drawing/2010/main" spid="_x0000_s2110"/>
            </a:ext>
            <a:ext uri="{FF2B5EF4-FFF2-40B4-BE49-F238E27FC236}">
              <a16:creationId xmlns:a16="http://schemas.microsoft.com/office/drawing/2014/main" id="{00000000-0008-0000-0200-00003E080000}"/>
            </a:ext>
            <a:ext uri="{147F2762-F138-4A5C-976F-8EAC2B608ADB}">
              <a16:predDERef xmlns:a16="http://schemas.microsoft.com/office/drawing/2014/main" pred="{00000000-0008-0000-0200-00003D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32</xdr:col>
      <xdr:colOff>6350</xdr:colOff>
      <xdr:row>28</xdr:row>
      <xdr:rowOff>381000</xdr:rowOff>
    </xdr:to>
    <xdr:sp macro="" textlink="">
      <xdr:nvSpPr>
        <xdr:cNvPr id="2111" name="Group Box 63" hidden="1">
          <a:extLst>
            <a:ext uri="{63B3BB69-23CF-44E3-9099-C40C66FF867C}">
              <a14:compatExt xmlns:a14="http://schemas.microsoft.com/office/drawing/2010/main" spid="_x0000_s2111"/>
            </a:ext>
            <a:ext uri="{FF2B5EF4-FFF2-40B4-BE49-F238E27FC236}">
              <a16:creationId xmlns:a16="http://schemas.microsoft.com/office/drawing/2014/main" id="{00000000-0008-0000-0200-00003F080000}"/>
            </a:ext>
            <a:ext uri="{147F2762-F138-4A5C-976F-8EAC2B608ADB}">
              <a16:predDERef xmlns:a16="http://schemas.microsoft.com/office/drawing/2014/main" pred="{00000000-0008-0000-0200-00003E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2" name="Option Button 64" hidden="1">
          <a:extLst>
            <a:ext uri="{63B3BB69-23CF-44E3-9099-C40C66FF867C}">
              <a14:compatExt xmlns:a14="http://schemas.microsoft.com/office/drawing/2010/main" spid="_x0000_s2112"/>
            </a:ext>
            <a:ext uri="{FF2B5EF4-FFF2-40B4-BE49-F238E27FC236}">
              <a16:creationId xmlns:a16="http://schemas.microsoft.com/office/drawing/2014/main" id="{00000000-0008-0000-0200-000040080000}"/>
            </a:ext>
            <a:ext uri="{147F2762-F138-4A5C-976F-8EAC2B608ADB}">
              <a16:predDERef xmlns:a16="http://schemas.microsoft.com/office/drawing/2014/main" pred="{00000000-0008-0000-0200-00003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3" name="Option Button 65" hidden="1">
          <a:extLst>
            <a:ext uri="{63B3BB69-23CF-44E3-9099-C40C66FF867C}">
              <a14:compatExt xmlns:a14="http://schemas.microsoft.com/office/drawing/2010/main" spid="_x0000_s2113"/>
            </a:ext>
            <a:ext uri="{FF2B5EF4-FFF2-40B4-BE49-F238E27FC236}">
              <a16:creationId xmlns:a16="http://schemas.microsoft.com/office/drawing/2014/main" id="{00000000-0008-0000-0200-000041080000}"/>
            </a:ext>
            <a:ext uri="{147F2762-F138-4A5C-976F-8EAC2B608ADB}">
              <a16:predDERef xmlns:a16="http://schemas.microsoft.com/office/drawing/2014/main" pred="{00000000-0008-0000-0200-00004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4" name="Option Button 66" hidden="1">
          <a:extLst>
            <a:ext uri="{63B3BB69-23CF-44E3-9099-C40C66FF867C}">
              <a14:compatExt xmlns:a14="http://schemas.microsoft.com/office/drawing/2010/main" spid="_x0000_s2114"/>
            </a:ext>
            <a:ext uri="{FF2B5EF4-FFF2-40B4-BE49-F238E27FC236}">
              <a16:creationId xmlns:a16="http://schemas.microsoft.com/office/drawing/2014/main" id="{00000000-0008-0000-0200-000042080000}"/>
            </a:ext>
            <a:ext uri="{147F2762-F138-4A5C-976F-8EAC2B608ADB}">
              <a16:predDERef xmlns:a16="http://schemas.microsoft.com/office/drawing/2014/main" pred="{00000000-0008-0000-0200-000041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0</xdr:rowOff>
    </xdr:from>
    <xdr:to>
      <xdr:col>11</xdr:col>
      <xdr:colOff>438150</xdr:colOff>
      <xdr:row>28</xdr:row>
      <xdr:rowOff>209550</xdr:rowOff>
    </xdr:to>
    <xdr:sp macro="" textlink="">
      <xdr:nvSpPr>
        <xdr:cNvPr id="2115" name="Option Button 67" hidden="1">
          <a:extLst>
            <a:ext uri="{63B3BB69-23CF-44E3-9099-C40C66FF867C}">
              <a14:compatExt xmlns:a14="http://schemas.microsoft.com/office/drawing/2010/main" spid="_x0000_s2115"/>
            </a:ext>
            <a:ext uri="{FF2B5EF4-FFF2-40B4-BE49-F238E27FC236}">
              <a16:creationId xmlns:a16="http://schemas.microsoft.com/office/drawing/2014/main" id="{00000000-0008-0000-0200-000043080000}"/>
            </a:ext>
            <a:ext uri="{147F2762-F138-4A5C-976F-8EAC2B608ADB}">
              <a16:predDERef xmlns:a16="http://schemas.microsoft.com/office/drawing/2014/main" pred="{00000000-0008-0000-0200-000042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32</xdr:col>
      <xdr:colOff>6350</xdr:colOff>
      <xdr:row>45</xdr:row>
      <xdr:rowOff>64861</xdr:rowOff>
    </xdr:to>
    <xdr:sp macro="" textlink="">
      <xdr:nvSpPr>
        <xdr:cNvPr id="2116" name="Group Box 68" hidden="1">
          <a:extLst>
            <a:ext uri="{63B3BB69-23CF-44E3-9099-C40C66FF867C}">
              <a14:compatExt xmlns:a14="http://schemas.microsoft.com/office/drawing/2010/main" spid="_x0000_s2116"/>
            </a:ext>
            <a:ext uri="{FF2B5EF4-FFF2-40B4-BE49-F238E27FC236}">
              <a16:creationId xmlns:a16="http://schemas.microsoft.com/office/drawing/2014/main" id="{00000000-0008-0000-0200-000044080000}"/>
            </a:ext>
            <a:ext uri="{147F2762-F138-4A5C-976F-8EAC2B608ADB}">
              <a16:predDERef xmlns:a16="http://schemas.microsoft.com/office/drawing/2014/main" pred="{00000000-0008-0000-0200-000043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7" name="Option Button 69" hidden="1">
          <a:extLst>
            <a:ext uri="{63B3BB69-23CF-44E3-9099-C40C66FF867C}">
              <a14:compatExt xmlns:a14="http://schemas.microsoft.com/office/drawing/2010/main" spid="_x0000_s2117"/>
            </a:ext>
            <a:ext uri="{FF2B5EF4-FFF2-40B4-BE49-F238E27FC236}">
              <a16:creationId xmlns:a16="http://schemas.microsoft.com/office/drawing/2014/main" id="{00000000-0008-0000-0200-000045080000}"/>
            </a:ext>
            <a:ext uri="{147F2762-F138-4A5C-976F-8EAC2B608ADB}">
              <a16:predDERef xmlns:a16="http://schemas.microsoft.com/office/drawing/2014/main" pred="{00000000-0008-0000-0200-00004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8" name="Option Button 70" hidden="1">
          <a:extLst>
            <a:ext uri="{63B3BB69-23CF-44E3-9099-C40C66FF867C}">
              <a14:compatExt xmlns:a14="http://schemas.microsoft.com/office/drawing/2010/main" spid="_x0000_s2118"/>
            </a:ext>
            <a:ext uri="{FF2B5EF4-FFF2-40B4-BE49-F238E27FC236}">
              <a16:creationId xmlns:a16="http://schemas.microsoft.com/office/drawing/2014/main" id="{00000000-0008-0000-0200-000046080000}"/>
            </a:ext>
            <a:ext uri="{147F2762-F138-4A5C-976F-8EAC2B608ADB}">
              <a16:predDERef xmlns:a16="http://schemas.microsoft.com/office/drawing/2014/main" pred="{00000000-0008-0000-0200-00004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19" name="Option Button 71" hidden="1">
          <a:extLst>
            <a:ext uri="{63B3BB69-23CF-44E3-9099-C40C66FF867C}">
              <a14:compatExt xmlns:a14="http://schemas.microsoft.com/office/drawing/2010/main" spid="_x0000_s2119"/>
            </a:ext>
            <a:ext uri="{FF2B5EF4-FFF2-40B4-BE49-F238E27FC236}">
              <a16:creationId xmlns:a16="http://schemas.microsoft.com/office/drawing/2014/main" id="{00000000-0008-0000-0200-000047080000}"/>
            </a:ext>
            <a:ext uri="{147F2762-F138-4A5C-976F-8EAC2B608ADB}">
              <a16:predDERef xmlns:a16="http://schemas.microsoft.com/office/drawing/2014/main" pred="{00000000-0008-0000-0200-000046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44</xdr:row>
      <xdr:rowOff>0</xdr:rowOff>
    </xdr:from>
    <xdr:to>
      <xdr:col>11</xdr:col>
      <xdr:colOff>438150</xdr:colOff>
      <xdr:row>44</xdr:row>
      <xdr:rowOff>209550</xdr:rowOff>
    </xdr:to>
    <xdr:sp macro="" textlink="">
      <xdr:nvSpPr>
        <xdr:cNvPr id="2120" name="Option Button 72" hidden="1">
          <a:extLst>
            <a:ext uri="{63B3BB69-23CF-44E3-9099-C40C66FF867C}">
              <a14:compatExt xmlns:a14="http://schemas.microsoft.com/office/drawing/2010/main" spid="_x0000_s2120"/>
            </a:ext>
            <a:ext uri="{FF2B5EF4-FFF2-40B4-BE49-F238E27FC236}">
              <a16:creationId xmlns:a16="http://schemas.microsoft.com/office/drawing/2014/main" id="{00000000-0008-0000-0200-000048080000}"/>
            </a:ext>
            <a:ext uri="{147F2762-F138-4A5C-976F-8EAC2B608ADB}">
              <a16:predDERef xmlns:a16="http://schemas.microsoft.com/office/drawing/2014/main" pred="{00000000-0008-0000-0200-000047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32</xdr:col>
      <xdr:colOff>6350</xdr:colOff>
      <xdr:row>52</xdr:row>
      <xdr:rowOff>425450</xdr:rowOff>
    </xdr:to>
    <xdr:sp macro="" textlink="">
      <xdr:nvSpPr>
        <xdr:cNvPr id="31" name="Group Box 73" hidden="1">
          <a:extLst>
            <a:ext uri="{63B3BB69-23CF-44E3-9099-C40C66FF867C}">
              <a14:compatExt xmlns:a14="http://schemas.microsoft.com/office/drawing/2010/main" spid="_x0000_s2121"/>
            </a:ext>
            <a:ext uri="{FF2B5EF4-FFF2-40B4-BE49-F238E27FC236}">
              <a16:creationId xmlns:a16="http://schemas.microsoft.com/office/drawing/2014/main" id="{00000000-0008-0000-0200-000049080000}"/>
            </a:ext>
            <a:ext uri="{147F2762-F138-4A5C-976F-8EAC2B608ADB}">
              <a16:predDERef xmlns:a16="http://schemas.microsoft.com/office/drawing/2014/main" pred="{00000000-0008-0000-0200-000048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30" name="Option Button 74" hidden="1">
          <a:extLst>
            <a:ext uri="{63B3BB69-23CF-44E3-9099-C40C66FF867C}">
              <a14:compatExt xmlns:a14="http://schemas.microsoft.com/office/drawing/2010/main" spid="_x0000_s2122"/>
            </a:ext>
            <a:ext uri="{FF2B5EF4-FFF2-40B4-BE49-F238E27FC236}">
              <a16:creationId xmlns:a16="http://schemas.microsoft.com/office/drawing/2014/main" id="{00000000-0008-0000-0200-00004A080000}"/>
            </a:ext>
            <a:ext uri="{147F2762-F138-4A5C-976F-8EAC2B608ADB}">
              <a16:predDERef xmlns:a16="http://schemas.microsoft.com/office/drawing/2014/main" pred="{00000000-0008-0000-0200-000049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9" name="Option Button 75" hidden="1">
          <a:extLst>
            <a:ext uri="{63B3BB69-23CF-44E3-9099-C40C66FF867C}">
              <a14:compatExt xmlns:a14="http://schemas.microsoft.com/office/drawing/2010/main" spid="_x0000_s2123"/>
            </a:ext>
            <a:ext uri="{FF2B5EF4-FFF2-40B4-BE49-F238E27FC236}">
              <a16:creationId xmlns:a16="http://schemas.microsoft.com/office/drawing/2014/main" id="{00000000-0008-0000-0200-00004B080000}"/>
            </a:ext>
            <a:ext uri="{147F2762-F138-4A5C-976F-8EAC2B608ADB}">
              <a16:predDERef xmlns:a16="http://schemas.microsoft.com/office/drawing/2014/main" pred="{00000000-0008-0000-0200-00004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8" name="Option Button 76" hidden="1">
          <a:extLst>
            <a:ext uri="{63B3BB69-23CF-44E3-9099-C40C66FF867C}">
              <a14:compatExt xmlns:a14="http://schemas.microsoft.com/office/drawing/2010/main" spid="_x0000_s2124"/>
            </a:ext>
            <a:ext uri="{FF2B5EF4-FFF2-40B4-BE49-F238E27FC236}">
              <a16:creationId xmlns:a16="http://schemas.microsoft.com/office/drawing/2014/main" id="{00000000-0008-0000-0200-00004C080000}"/>
            </a:ext>
            <a:ext uri="{147F2762-F138-4A5C-976F-8EAC2B608ADB}">
              <a16:predDERef xmlns:a16="http://schemas.microsoft.com/office/drawing/2014/main" pred="{00000000-0008-0000-0200-00004B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52</xdr:row>
      <xdr:rowOff>0</xdr:rowOff>
    </xdr:from>
    <xdr:to>
      <xdr:col>11</xdr:col>
      <xdr:colOff>438150</xdr:colOff>
      <xdr:row>52</xdr:row>
      <xdr:rowOff>209550</xdr:rowOff>
    </xdr:to>
    <xdr:sp macro="" textlink="">
      <xdr:nvSpPr>
        <xdr:cNvPr id="27" name="Option Button 77" hidden="1">
          <a:extLst>
            <a:ext uri="{63B3BB69-23CF-44E3-9099-C40C66FF867C}">
              <a14:compatExt xmlns:a14="http://schemas.microsoft.com/office/drawing/2010/main" spid="_x0000_s2125"/>
            </a:ext>
            <a:ext uri="{FF2B5EF4-FFF2-40B4-BE49-F238E27FC236}">
              <a16:creationId xmlns:a16="http://schemas.microsoft.com/office/drawing/2014/main" id="{00000000-0008-0000-0200-00004D080000}"/>
            </a:ext>
            <a:ext uri="{147F2762-F138-4A5C-976F-8EAC2B608ADB}">
              <a16:predDERef xmlns:a16="http://schemas.microsoft.com/office/drawing/2014/main" pred="{00000000-0008-0000-0200-00004C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32</xdr:col>
      <xdr:colOff>6350</xdr:colOff>
      <xdr:row>53</xdr:row>
      <xdr:rowOff>377825</xdr:rowOff>
    </xdr:to>
    <xdr:sp macro="" textlink="">
      <xdr:nvSpPr>
        <xdr:cNvPr id="26" name="Group Box 78" hidden="1">
          <a:extLst>
            <a:ext uri="{63B3BB69-23CF-44E3-9099-C40C66FF867C}">
              <a14:compatExt xmlns:a14="http://schemas.microsoft.com/office/drawing/2010/main" spid="_x0000_s2126"/>
            </a:ext>
            <a:ext uri="{FF2B5EF4-FFF2-40B4-BE49-F238E27FC236}">
              <a16:creationId xmlns:a16="http://schemas.microsoft.com/office/drawing/2014/main" id="{00000000-0008-0000-0200-00004E080000}"/>
            </a:ext>
            <a:ext uri="{147F2762-F138-4A5C-976F-8EAC2B608ADB}">
              <a16:predDERef xmlns:a16="http://schemas.microsoft.com/office/drawing/2014/main" pred="{00000000-0008-0000-0200-00004D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5" name="Option Button 79" hidden="1">
          <a:extLst>
            <a:ext uri="{63B3BB69-23CF-44E3-9099-C40C66FF867C}">
              <a14:compatExt xmlns:a14="http://schemas.microsoft.com/office/drawing/2010/main" spid="_x0000_s2127"/>
            </a:ext>
            <a:ext uri="{FF2B5EF4-FFF2-40B4-BE49-F238E27FC236}">
              <a16:creationId xmlns:a16="http://schemas.microsoft.com/office/drawing/2014/main" id="{00000000-0008-0000-0200-00004F080000}"/>
            </a:ext>
            <a:ext uri="{147F2762-F138-4A5C-976F-8EAC2B608ADB}">
              <a16:predDERef xmlns:a16="http://schemas.microsoft.com/office/drawing/2014/main" pred="{00000000-0008-0000-0200-00004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4" name="Option Button 80" hidden="1">
          <a:extLst>
            <a:ext uri="{63B3BB69-23CF-44E3-9099-C40C66FF867C}">
              <a14:compatExt xmlns:a14="http://schemas.microsoft.com/office/drawing/2010/main" spid="_x0000_s2128"/>
            </a:ext>
            <a:ext uri="{FF2B5EF4-FFF2-40B4-BE49-F238E27FC236}">
              <a16:creationId xmlns:a16="http://schemas.microsoft.com/office/drawing/2014/main" id="{00000000-0008-0000-0200-000050080000}"/>
            </a:ext>
            <a:ext uri="{147F2762-F138-4A5C-976F-8EAC2B608ADB}">
              <a16:predDERef xmlns:a16="http://schemas.microsoft.com/office/drawing/2014/main" pred="{00000000-0008-0000-0200-00004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3" name="Option Button 81" hidden="1">
          <a:extLst>
            <a:ext uri="{63B3BB69-23CF-44E3-9099-C40C66FF867C}">
              <a14:compatExt xmlns:a14="http://schemas.microsoft.com/office/drawing/2010/main" spid="_x0000_s2129"/>
            </a:ext>
            <a:ext uri="{FF2B5EF4-FFF2-40B4-BE49-F238E27FC236}">
              <a16:creationId xmlns:a16="http://schemas.microsoft.com/office/drawing/2014/main" id="{00000000-0008-0000-0200-000051080000}"/>
            </a:ext>
            <a:ext uri="{147F2762-F138-4A5C-976F-8EAC2B608ADB}">
              <a16:predDERef xmlns:a16="http://schemas.microsoft.com/office/drawing/2014/main" pred="{00000000-0008-0000-0200-00005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53</xdr:row>
      <xdr:rowOff>0</xdr:rowOff>
    </xdr:from>
    <xdr:to>
      <xdr:col>11</xdr:col>
      <xdr:colOff>438150</xdr:colOff>
      <xdr:row>53</xdr:row>
      <xdr:rowOff>206375</xdr:rowOff>
    </xdr:to>
    <xdr:sp macro="" textlink="">
      <xdr:nvSpPr>
        <xdr:cNvPr id="22" name="Option Button 82" hidden="1">
          <a:extLst>
            <a:ext uri="{63B3BB69-23CF-44E3-9099-C40C66FF867C}">
              <a14:compatExt xmlns:a14="http://schemas.microsoft.com/office/drawing/2010/main" spid="_x0000_s2130"/>
            </a:ext>
            <a:ext uri="{FF2B5EF4-FFF2-40B4-BE49-F238E27FC236}">
              <a16:creationId xmlns:a16="http://schemas.microsoft.com/office/drawing/2014/main" id="{00000000-0008-0000-0200-000052080000}"/>
            </a:ext>
            <a:ext uri="{147F2762-F138-4A5C-976F-8EAC2B608ADB}">
              <a16:predDERef xmlns:a16="http://schemas.microsoft.com/office/drawing/2014/main" pred="{00000000-0008-0000-0200-000051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28575</xdr:rowOff>
    </xdr:from>
    <xdr:to>
      <xdr:col>32</xdr:col>
      <xdr:colOff>6350</xdr:colOff>
      <xdr:row>54</xdr:row>
      <xdr:rowOff>406400</xdr:rowOff>
    </xdr:to>
    <xdr:sp macro="" textlink="">
      <xdr:nvSpPr>
        <xdr:cNvPr id="21" name="Group Box 83" hidden="1">
          <a:extLst>
            <a:ext uri="{63B3BB69-23CF-44E3-9099-C40C66FF867C}">
              <a14:compatExt xmlns:a14="http://schemas.microsoft.com/office/drawing/2010/main" spid="_x0000_s2131"/>
            </a:ext>
            <a:ext uri="{FF2B5EF4-FFF2-40B4-BE49-F238E27FC236}">
              <a16:creationId xmlns:a16="http://schemas.microsoft.com/office/drawing/2014/main" id="{00000000-0008-0000-0200-000053080000}"/>
            </a:ext>
            <a:ext uri="{147F2762-F138-4A5C-976F-8EAC2B608ADB}">
              <a16:predDERef xmlns:a16="http://schemas.microsoft.com/office/drawing/2014/main" pred="{00000000-0008-0000-0200-000052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20" name="Option Button 84" hidden="1">
          <a:extLst>
            <a:ext uri="{63B3BB69-23CF-44E3-9099-C40C66FF867C}">
              <a14:compatExt xmlns:a14="http://schemas.microsoft.com/office/drawing/2010/main" spid="_x0000_s2132"/>
            </a:ext>
            <a:ext uri="{FF2B5EF4-FFF2-40B4-BE49-F238E27FC236}">
              <a16:creationId xmlns:a16="http://schemas.microsoft.com/office/drawing/2014/main" id="{00000000-0008-0000-0200-000054080000}"/>
            </a:ext>
            <a:ext uri="{147F2762-F138-4A5C-976F-8EAC2B608ADB}">
              <a16:predDERef xmlns:a16="http://schemas.microsoft.com/office/drawing/2014/main" pred="{00000000-0008-0000-0200-000053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9" name="Option Button 85" hidden="1">
          <a:extLst>
            <a:ext uri="{63B3BB69-23CF-44E3-9099-C40C66FF867C}">
              <a14:compatExt xmlns:a14="http://schemas.microsoft.com/office/drawing/2010/main" spid="_x0000_s2133"/>
            </a:ext>
            <a:ext uri="{FF2B5EF4-FFF2-40B4-BE49-F238E27FC236}">
              <a16:creationId xmlns:a16="http://schemas.microsoft.com/office/drawing/2014/main" id="{00000000-0008-0000-0200-000055080000}"/>
            </a:ext>
            <a:ext uri="{147F2762-F138-4A5C-976F-8EAC2B608ADB}">
              <a16:predDERef xmlns:a16="http://schemas.microsoft.com/office/drawing/2014/main" pred="{00000000-0008-0000-0200-00005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8" name="Option Button 86" hidden="1">
          <a:extLst>
            <a:ext uri="{63B3BB69-23CF-44E3-9099-C40C66FF867C}">
              <a14:compatExt xmlns:a14="http://schemas.microsoft.com/office/drawing/2010/main" spid="_x0000_s2134"/>
            </a:ext>
            <a:ext uri="{FF2B5EF4-FFF2-40B4-BE49-F238E27FC236}">
              <a16:creationId xmlns:a16="http://schemas.microsoft.com/office/drawing/2014/main" id="{00000000-0008-0000-0200-000056080000}"/>
            </a:ext>
            <a:ext uri="{147F2762-F138-4A5C-976F-8EAC2B608ADB}">
              <a16:predDERef xmlns:a16="http://schemas.microsoft.com/office/drawing/2014/main" pred="{00000000-0008-0000-0200-00005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54</xdr:row>
      <xdr:rowOff>104775</xdr:rowOff>
    </xdr:from>
    <xdr:to>
      <xdr:col>11</xdr:col>
      <xdr:colOff>438150</xdr:colOff>
      <xdr:row>54</xdr:row>
      <xdr:rowOff>311150</xdr:rowOff>
    </xdr:to>
    <xdr:sp macro="" textlink="">
      <xdr:nvSpPr>
        <xdr:cNvPr id="17" name="Option Button 87" hidden="1">
          <a:extLst>
            <a:ext uri="{63B3BB69-23CF-44E3-9099-C40C66FF867C}">
              <a14:compatExt xmlns:a14="http://schemas.microsoft.com/office/drawing/2010/main" spid="_x0000_s2135"/>
            </a:ext>
            <a:ext uri="{FF2B5EF4-FFF2-40B4-BE49-F238E27FC236}">
              <a16:creationId xmlns:a16="http://schemas.microsoft.com/office/drawing/2014/main" id="{00000000-0008-0000-0200-000057080000}"/>
            </a:ext>
            <a:ext uri="{147F2762-F138-4A5C-976F-8EAC2B608ADB}">
              <a16:predDERef xmlns:a16="http://schemas.microsoft.com/office/drawing/2014/main" pred="{00000000-0008-0000-0200-000056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28575</xdr:rowOff>
    </xdr:from>
    <xdr:to>
      <xdr:col>32</xdr:col>
      <xdr:colOff>6350</xdr:colOff>
      <xdr:row>59</xdr:row>
      <xdr:rowOff>406400</xdr:rowOff>
    </xdr:to>
    <xdr:sp macro="" textlink="">
      <xdr:nvSpPr>
        <xdr:cNvPr id="16" name="Group Box 88" hidden="1">
          <a:extLst>
            <a:ext uri="{63B3BB69-23CF-44E3-9099-C40C66FF867C}">
              <a14:compatExt xmlns:a14="http://schemas.microsoft.com/office/drawing/2010/main" spid="_x0000_s2136"/>
            </a:ext>
            <a:ext uri="{FF2B5EF4-FFF2-40B4-BE49-F238E27FC236}">
              <a16:creationId xmlns:a16="http://schemas.microsoft.com/office/drawing/2014/main" id="{00000000-0008-0000-0200-000058080000}"/>
            </a:ext>
            <a:ext uri="{147F2762-F138-4A5C-976F-8EAC2B608ADB}">
              <a16:predDERef xmlns:a16="http://schemas.microsoft.com/office/drawing/2014/main" pred="{00000000-0008-0000-0200-000057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5" name="Option Button 89" hidden="1">
          <a:extLst>
            <a:ext uri="{63B3BB69-23CF-44E3-9099-C40C66FF867C}">
              <a14:compatExt xmlns:a14="http://schemas.microsoft.com/office/drawing/2010/main" spid="_x0000_s2137"/>
            </a:ext>
            <a:ext uri="{FF2B5EF4-FFF2-40B4-BE49-F238E27FC236}">
              <a16:creationId xmlns:a16="http://schemas.microsoft.com/office/drawing/2014/main" id="{00000000-0008-0000-0200-000059080000}"/>
            </a:ext>
            <a:ext uri="{147F2762-F138-4A5C-976F-8EAC2B608ADB}">
              <a16:predDERef xmlns:a16="http://schemas.microsoft.com/office/drawing/2014/main" pred="{00000000-0008-0000-0200-000058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4" name="Option Button 90" hidden="1">
          <a:extLst>
            <a:ext uri="{63B3BB69-23CF-44E3-9099-C40C66FF867C}">
              <a14:compatExt xmlns:a14="http://schemas.microsoft.com/office/drawing/2010/main" spid="_x0000_s2138"/>
            </a:ext>
            <a:ext uri="{FF2B5EF4-FFF2-40B4-BE49-F238E27FC236}">
              <a16:creationId xmlns:a16="http://schemas.microsoft.com/office/drawing/2014/main" id="{00000000-0008-0000-0200-00005A080000}"/>
            </a:ext>
            <a:ext uri="{147F2762-F138-4A5C-976F-8EAC2B608ADB}">
              <a16:predDERef xmlns:a16="http://schemas.microsoft.com/office/drawing/2014/main" pred="{00000000-0008-0000-0200-000059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3" name="Option Button 91" hidden="1">
          <a:extLst>
            <a:ext uri="{63B3BB69-23CF-44E3-9099-C40C66FF867C}">
              <a14:compatExt xmlns:a14="http://schemas.microsoft.com/office/drawing/2010/main" spid="_x0000_s2139"/>
            </a:ext>
            <a:ext uri="{FF2B5EF4-FFF2-40B4-BE49-F238E27FC236}">
              <a16:creationId xmlns:a16="http://schemas.microsoft.com/office/drawing/2014/main" id="{00000000-0008-0000-0200-00005B080000}"/>
            </a:ext>
            <a:ext uri="{147F2762-F138-4A5C-976F-8EAC2B608ADB}">
              <a16:predDERef xmlns:a16="http://schemas.microsoft.com/office/drawing/2014/main" pred="{00000000-0008-0000-0200-00005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59</xdr:row>
      <xdr:rowOff>104775</xdr:rowOff>
    </xdr:from>
    <xdr:to>
      <xdr:col>11</xdr:col>
      <xdr:colOff>438150</xdr:colOff>
      <xdr:row>59</xdr:row>
      <xdr:rowOff>311150</xdr:rowOff>
    </xdr:to>
    <xdr:sp macro="" textlink="">
      <xdr:nvSpPr>
        <xdr:cNvPr id="12" name="Option Button 92" hidden="1">
          <a:extLst>
            <a:ext uri="{63B3BB69-23CF-44E3-9099-C40C66FF867C}">
              <a14:compatExt xmlns:a14="http://schemas.microsoft.com/office/drawing/2010/main" spid="_x0000_s2140"/>
            </a:ext>
            <a:ext uri="{FF2B5EF4-FFF2-40B4-BE49-F238E27FC236}">
              <a16:creationId xmlns:a16="http://schemas.microsoft.com/office/drawing/2014/main" id="{00000000-0008-0000-0200-00005C080000}"/>
            </a:ext>
            <a:ext uri="{147F2762-F138-4A5C-976F-8EAC2B608ADB}">
              <a16:predDERef xmlns:a16="http://schemas.microsoft.com/office/drawing/2014/main" pred="{00000000-0008-0000-0200-00005B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32</xdr:col>
      <xdr:colOff>6350</xdr:colOff>
      <xdr:row>98</xdr:row>
      <xdr:rowOff>64860</xdr:rowOff>
    </xdr:to>
    <xdr:sp macro="" textlink="">
      <xdr:nvSpPr>
        <xdr:cNvPr id="36" name="Group Box 93" hidden="1">
          <a:extLst>
            <a:ext uri="{63B3BB69-23CF-44E3-9099-C40C66FF867C}">
              <a14:compatExt xmlns:a14="http://schemas.microsoft.com/office/drawing/2010/main" spid="_x0000_s2141"/>
            </a:ext>
            <a:ext uri="{FF2B5EF4-FFF2-40B4-BE49-F238E27FC236}">
              <a16:creationId xmlns:a16="http://schemas.microsoft.com/office/drawing/2014/main" id="{00000000-0008-0000-0200-00005D080000}"/>
            </a:ext>
            <a:ext uri="{147F2762-F138-4A5C-976F-8EAC2B608ADB}">
              <a16:predDERef xmlns:a16="http://schemas.microsoft.com/office/drawing/2014/main" pred="{00000000-0008-0000-0200-00005C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5" name="Option Button 94" hidden="1">
          <a:extLst>
            <a:ext uri="{63B3BB69-23CF-44E3-9099-C40C66FF867C}">
              <a14:compatExt xmlns:a14="http://schemas.microsoft.com/office/drawing/2010/main" spid="_x0000_s2142"/>
            </a:ext>
            <a:ext uri="{FF2B5EF4-FFF2-40B4-BE49-F238E27FC236}">
              <a16:creationId xmlns:a16="http://schemas.microsoft.com/office/drawing/2014/main" id="{00000000-0008-0000-0200-00005E080000}"/>
            </a:ext>
            <a:ext uri="{147F2762-F138-4A5C-976F-8EAC2B608ADB}">
              <a16:predDERef xmlns:a16="http://schemas.microsoft.com/office/drawing/2014/main" pred="{00000000-0008-0000-0200-00005D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4" name="Option Button 95" hidden="1">
          <a:extLst>
            <a:ext uri="{63B3BB69-23CF-44E3-9099-C40C66FF867C}">
              <a14:compatExt xmlns:a14="http://schemas.microsoft.com/office/drawing/2010/main" spid="_x0000_s2143"/>
            </a:ext>
            <a:ext uri="{FF2B5EF4-FFF2-40B4-BE49-F238E27FC236}">
              <a16:creationId xmlns:a16="http://schemas.microsoft.com/office/drawing/2014/main" id="{00000000-0008-0000-0200-00005F080000}"/>
            </a:ext>
            <a:ext uri="{147F2762-F138-4A5C-976F-8EAC2B608ADB}">
              <a16:predDERef xmlns:a16="http://schemas.microsoft.com/office/drawing/2014/main" pred="{00000000-0008-0000-0200-00005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3" name="Option Button 96" hidden="1">
          <a:extLst>
            <a:ext uri="{63B3BB69-23CF-44E3-9099-C40C66FF867C}">
              <a14:compatExt xmlns:a14="http://schemas.microsoft.com/office/drawing/2010/main" spid="_x0000_s2144"/>
            </a:ext>
            <a:ext uri="{FF2B5EF4-FFF2-40B4-BE49-F238E27FC236}">
              <a16:creationId xmlns:a16="http://schemas.microsoft.com/office/drawing/2014/main" id="{00000000-0008-0000-0200-000060080000}"/>
            </a:ext>
            <a:ext uri="{147F2762-F138-4A5C-976F-8EAC2B608ADB}">
              <a16:predDERef xmlns:a16="http://schemas.microsoft.com/office/drawing/2014/main" pred="{00000000-0008-0000-0200-00005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97</xdr:row>
      <xdr:rowOff>0</xdr:rowOff>
    </xdr:from>
    <xdr:to>
      <xdr:col>11</xdr:col>
      <xdr:colOff>438150</xdr:colOff>
      <xdr:row>97</xdr:row>
      <xdr:rowOff>209550</xdr:rowOff>
    </xdr:to>
    <xdr:sp macro="" textlink="">
      <xdr:nvSpPr>
        <xdr:cNvPr id="32" name="Option Button 97" hidden="1">
          <a:extLst>
            <a:ext uri="{63B3BB69-23CF-44E3-9099-C40C66FF867C}">
              <a14:compatExt xmlns:a14="http://schemas.microsoft.com/office/drawing/2010/main" spid="_x0000_s2145"/>
            </a:ext>
            <a:ext uri="{FF2B5EF4-FFF2-40B4-BE49-F238E27FC236}">
              <a16:creationId xmlns:a16="http://schemas.microsoft.com/office/drawing/2014/main" id="{00000000-0008-0000-0200-000061080000}"/>
            </a:ext>
            <a:ext uri="{147F2762-F138-4A5C-976F-8EAC2B608ADB}">
              <a16:predDERef xmlns:a16="http://schemas.microsoft.com/office/drawing/2014/main" pred="{00000000-0008-0000-0200-000060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28575</xdr:rowOff>
    </xdr:from>
    <xdr:to>
      <xdr:col>32</xdr:col>
      <xdr:colOff>6350</xdr:colOff>
      <xdr:row>100</xdr:row>
      <xdr:rowOff>406400</xdr:rowOff>
    </xdr:to>
    <xdr:sp macro="" textlink="">
      <xdr:nvSpPr>
        <xdr:cNvPr id="2146" name="Group Box 98" hidden="1">
          <a:extLst>
            <a:ext uri="{63B3BB69-23CF-44E3-9099-C40C66FF867C}">
              <a14:compatExt xmlns:a14="http://schemas.microsoft.com/office/drawing/2010/main" spid="_x0000_s2146"/>
            </a:ext>
            <a:ext uri="{FF2B5EF4-FFF2-40B4-BE49-F238E27FC236}">
              <a16:creationId xmlns:a16="http://schemas.microsoft.com/office/drawing/2014/main" id="{00000000-0008-0000-0200-000062080000}"/>
            </a:ext>
            <a:ext uri="{147F2762-F138-4A5C-976F-8EAC2B608ADB}">
              <a16:predDERef xmlns:a16="http://schemas.microsoft.com/office/drawing/2014/main" pred="{00000000-0008-0000-0200-000061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7" name="Option Button 99" hidden="1">
          <a:extLst>
            <a:ext uri="{63B3BB69-23CF-44E3-9099-C40C66FF867C}">
              <a14:compatExt xmlns:a14="http://schemas.microsoft.com/office/drawing/2010/main" spid="_x0000_s2147"/>
            </a:ext>
            <a:ext uri="{FF2B5EF4-FFF2-40B4-BE49-F238E27FC236}">
              <a16:creationId xmlns:a16="http://schemas.microsoft.com/office/drawing/2014/main" id="{00000000-0008-0000-0200-000063080000}"/>
            </a:ext>
            <a:ext uri="{147F2762-F138-4A5C-976F-8EAC2B608ADB}">
              <a16:predDERef xmlns:a16="http://schemas.microsoft.com/office/drawing/2014/main" pred="{00000000-0008-0000-0200-000062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8" name="Option Button 100" hidden="1">
          <a:extLst>
            <a:ext uri="{63B3BB69-23CF-44E3-9099-C40C66FF867C}">
              <a14:compatExt xmlns:a14="http://schemas.microsoft.com/office/drawing/2010/main" spid="_x0000_s2148"/>
            </a:ext>
            <a:ext uri="{FF2B5EF4-FFF2-40B4-BE49-F238E27FC236}">
              <a16:creationId xmlns:a16="http://schemas.microsoft.com/office/drawing/2014/main" id="{00000000-0008-0000-0200-000064080000}"/>
            </a:ext>
            <a:ext uri="{147F2762-F138-4A5C-976F-8EAC2B608ADB}">
              <a16:predDERef xmlns:a16="http://schemas.microsoft.com/office/drawing/2014/main" pred="{00000000-0008-0000-0200-000063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49" name="Option Button 101" hidden="1">
          <a:extLst>
            <a:ext uri="{63B3BB69-23CF-44E3-9099-C40C66FF867C}">
              <a14:compatExt xmlns:a14="http://schemas.microsoft.com/office/drawing/2010/main" spid="_x0000_s2149"/>
            </a:ext>
            <a:ext uri="{FF2B5EF4-FFF2-40B4-BE49-F238E27FC236}">
              <a16:creationId xmlns:a16="http://schemas.microsoft.com/office/drawing/2014/main" id="{00000000-0008-0000-0200-000065080000}"/>
            </a:ext>
            <a:ext uri="{147F2762-F138-4A5C-976F-8EAC2B608ADB}">
              <a16:predDERef xmlns:a16="http://schemas.microsoft.com/office/drawing/2014/main" pred="{00000000-0008-0000-0200-00006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100</xdr:row>
      <xdr:rowOff>104775</xdr:rowOff>
    </xdr:from>
    <xdr:to>
      <xdr:col>11</xdr:col>
      <xdr:colOff>438150</xdr:colOff>
      <xdr:row>100</xdr:row>
      <xdr:rowOff>311150</xdr:rowOff>
    </xdr:to>
    <xdr:sp macro="" textlink="">
      <xdr:nvSpPr>
        <xdr:cNvPr id="2150" name="Option Button 102" hidden="1">
          <a:extLst>
            <a:ext uri="{63B3BB69-23CF-44E3-9099-C40C66FF867C}">
              <a14:compatExt xmlns:a14="http://schemas.microsoft.com/office/drawing/2010/main" spid="_x0000_s2150"/>
            </a:ext>
            <a:ext uri="{FF2B5EF4-FFF2-40B4-BE49-F238E27FC236}">
              <a16:creationId xmlns:a16="http://schemas.microsoft.com/office/drawing/2014/main" id="{00000000-0008-0000-0200-000066080000}"/>
            </a:ext>
            <a:ext uri="{147F2762-F138-4A5C-976F-8EAC2B608ADB}">
              <a16:predDERef xmlns:a16="http://schemas.microsoft.com/office/drawing/2014/main" pred="{00000000-0008-0000-0200-000065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28575</xdr:rowOff>
    </xdr:from>
    <xdr:to>
      <xdr:col>32</xdr:col>
      <xdr:colOff>6350</xdr:colOff>
      <xdr:row>105</xdr:row>
      <xdr:rowOff>419100</xdr:rowOff>
    </xdr:to>
    <xdr:sp macro="" textlink="">
      <xdr:nvSpPr>
        <xdr:cNvPr id="2151" name="Group Box 103" hidden="1">
          <a:extLst>
            <a:ext uri="{63B3BB69-23CF-44E3-9099-C40C66FF867C}">
              <a14:compatExt xmlns:a14="http://schemas.microsoft.com/office/drawing/2010/main" spid="_x0000_s2151"/>
            </a:ext>
            <a:ext uri="{FF2B5EF4-FFF2-40B4-BE49-F238E27FC236}">
              <a16:creationId xmlns:a16="http://schemas.microsoft.com/office/drawing/2014/main" id="{00000000-0008-0000-0200-000067080000}"/>
            </a:ext>
            <a:ext uri="{147F2762-F138-4A5C-976F-8EAC2B608ADB}">
              <a16:predDERef xmlns:a16="http://schemas.microsoft.com/office/drawing/2014/main" pred="{00000000-0008-0000-0200-000066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2" name="Option Button 104" hidden="1">
          <a:extLst>
            <a:ext uri="{63B3BB69-23CF-44E3-9099-C40C66FF867C}">
              <a14:compatExt xmlns:a14="http://schemas.microsoft.com/office/drawing/2010/main" spid="_x0000_s2152"/>
            </a:ext>
            <a:ext uri="{FF2B5EF4-FFF2-40B4-BE49-F238E27FC236}">
              <a16:creationId xmlns:a16="http://schemas.microsoft.com/office/drawing/2014/main" id="{00000000-0008-0000-0200-000068080000}"/>
            </a:ext>
            <a:ext uri="{147F2762-F138-4A5C-976F-8EAC2B608ADB}">
              <a16:predDERef xmlns:a16="http://schemas.microsoft.com/office/drawing/2014/main" pred="{00000000-0008-0000-0200-000067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3" name="Option Button 105" hidden="1">
          <a:extLst>
            <a:ext uri="{63B3BB69-23CF-44E3-9099-C40C66FF867C}">
              <a14:compatExt xmlns:a14="http://schemas.microsoft.com/office/drawing/2010/main" spid="_x0000_s2153"/>
            </a:ext>
            <a:ext uri="{FF2B5EF4-FFF2-40B4-BE49-F238E27FC236}">
              <a16:creationId xmlns:a16="http://schemas.microsoft.com/office/drawing/2014/main" id="{00000000-0008-0000-0200-000069080000}"/>
            </a:ext>
            <a:ext uri="{147F2762-F138-4A5C-976F-8EAC2B608ADB}">
              <a16:predDERef xmlns:a16="http://schemas.microsoft.com/office/drawing/2014/main" pred="{00000000-0008-0000-0200-000068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4" name="Option Button 106" hidden="1">
          <a:extLst>
            <a:ext uri="{63B3BB69-23CF-44E3-9099-C40C66FF867C}">
              <a14:compatExt xmlns:a14="http://schemas.microsoft.com/office/drawing/2010/main" spid="_x0000_s2154"/>
            </a:ext>
            <a:ext uri="{FF2B5EF4-FFF2-40B4-BE49-F238E27FC236}">
              <a16:creationId xmlns:a16="http://schemas.microsoft.com/office/drawing/2014/main" id="{00000000-0008-0000-0200-00006A080000}"/>
            </a:ext>
            <a:ext uri="{147F2762-F138-4A5C-976F-8EAC2B608ADB}">
              <a16:predDERef xmlns:a16="http://schemas.microsoft.com/office/drawing/2014/main" pred="{00000000-0008-0000-0200-000069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105</xdr:row>
      <xdr:rowOff>104775</xdr:rowOff>
    </xdr:from>
    <xdr:to>
      <xdr:col>11</xdr:col>
      <xdr:colOff>438150</xdr:colOff>
      <xdr:row>105</xdr:row>
      <xdr:rowOff>311150</xdr:rowOff>
    </xdr:to>
    <xdr:sp macro="" textlink="">
      <xdr:nvSpPr>
        <xdr:cNvPr id="2155" name="Option Button 107" hidden="1">
          <a:extLst>
            <a:ext uri="{63B3BB69-23CF-44E3-9099-C40C66FF867C}">
              <a14:compatExt xmlns:a14="http://schemas.microsoft.com/office/drawing/2010/main" spid="_x0000_s2155"/>
            </a:ext>
            <a:ext uri="{FF2B5EF4-FFF2-40B4-BE49-F238E27FC236}">
              <a16:creationId xmlns:a16="http://schemas.microsoft.com/office/drawing/2014/main" id="{00000000-0008-0000-0200-00006B080000}"/>
            </a:ext>
            <a:ext uri="{147F2762-F138-4A5C-976F-8EAC2B608ADB}">
              <a16:predDERef xmlns:a16="http://schemas.microsoft.com/office/drawing/2014/main" pred="{00000000-0008-0000-0200-00006A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28575</xdr:rowOff>
    </xdr:from>
    <xdr:to>
      <xdr:col>32</xdr:col>
      <xdr:colOff>6350</xdr:colOff>
      <xdr:row>28</xdr:row>
      <xdr:rowOff>419100</xdr:rowOff>
    </xdr:to>
    <xdr:sp macro="" textlink="">
      <xdr:nvSpPr>
        <xdr:cNvPr id="2156" name="Group Box 108" hidden="1">
          <a:extLst>
            <a:ext uri="{63B3BB69-23CF-44E3-9099-C40C66FF867C}">
              <a14:compatExt xmlns:a14="http://schemas.microsoft.com/office/drawing/2010/main" spid="_x0000_s2156"/>
            </a:ext>
            <a:ext uri="{FF2B5EF4-FFF2-40B4-BE49-F238E27FC236}">
              <a16:creationId xmlns:a16="http://schemas.microsoft.com/office/drawing/2014/main" id="{00000000-0008-0000-0200-00006C080000}"/>
            </a:ext>
            <a:ext uri="{147F2762-F138-4A5C-976F-8EAC2B608ADB}">
              <a16:predDERef xmlns:a16="http://schemas.microsoft.com/office/drawing/2014/main" pred="{00000000-0008-0000-0200-00006B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7" name="Option Button 109" hidden="1">
          <a:extLst>
            <a:ext uri="{63B3BB69-23CF-44E3-9099-C40C66FF867C}">
              <a14:compatExt xmlns:a14="http://schemas.microsoft.com/office/drawing/2010/main" spid="_x0000_s2157"/>
            </a:ext>
            <a:ext uri="{FF2B5EF4-FFF2-40B4-BE49-F238E27FC236}">
              <a16:creationId xmlns:a16="http://schemas.microsoft.com/office/drawing/2014/main" id="{00000000-0008-0000-0200-00006D080000}"/>
            </a:ext>
            <a:ext uri="{147F2762-F138-4A5C-976F-8EAC2B608ADB}">
              <a16:predDERef xmlns:a16="http://schemas.microsoft.com/office/drawing/2014/main" pred="{00000000-0008-0000-0200-00006C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8" name="Option Button 110" hidden="1">
          <a:extLst>
            <a:ext uri="{63B3BB69-23CF-44E3-9099-C40C66FF867C}">
              <a14:compatExt xmlns:a14="http://schemas.microsoft.com/office/drawing/2010/main" spid="_x0000_s2158"/>
            </a:ext>
            <a:ext uri="{FF2B5EF4-FFF2-40B4-BE49-F238E27FC236}">
              <a16:creationId xmlns:a16="http://schemas.microsoft.com/office/drawing/2014/main" id="{00000000-0008-0000-0200-00006E080000}"/>
            </a:ext>
            <a:ext uri="{147F2762-F138-4A5C-976F-8EAC2B608ADB}">
              <a16:predDERef xmlns:a16="http://schemas.microsoft.com/office/drawing/2014/main" pred="{00000000-0008-0000-0200-00006D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59" name="Option Button 111" hidden="1">
          <a:extLst>
            <a:ext uri="{63B3BB69-23CF-44E3-9099-C40C66FF867C}">
              <a14:compatExt xmlns:a14="http://schemas.microsoft.com/office/drawing/2010/main" spid="_x0000_s2159"/>
            </a:ext>
            <a:ext uri="{FF2B5EF4-FFF2-40B4-BE49-F238E27FC236}">
              <a16:creationId xmlns:a16="http://schemas.microsoft.com/office/drawing/2014/main" id="{00000000-0008-0000-0200-00006F080000}"/>
            </a:ext>
            <a:ext uri="{147F2762-F138-4A5C-976F-8EAC2B608ADB}">
              <a16:predDERef xmlns:a16="http://schemas.microsoft.com/office/drawing/2014/main" pred="{00000000-0008-0000-0200-00006E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twoCellAnchor editAs="oneCell">
    <xdr:from>
      <xdr:col>10</xdr:col>
      <xdr:colOff>0</xdr:colOff>
      <xdr:row>28</xdr:row>
      <xdr:rowOff>104775</xdr:rowOff>
    </xdr:from>
    <xdr:to>
      <xdr:col>11</xdr:col>
      <xdr:colOff>438150</xdr:colOff>
      <xdr:row>28</xdr:row>
      <xdr:rowOff>311150</xdr:rowOff>
    </xdr:to>
    <xdr:sp macro="" textlink="">
      <xdr:nvSpPr>
        <xdr:cNvPr id="2160" name="Option Button 112" hidden="1">
          <a:extLst>
            <a:ext uri="{63B3BB69-23CF-44E3-9099-C40C66FF867C}">
              <a14:compatExt xmlns:a14="http://schemas.microsoft.com/office/drawing/2010/main" spid="_x0000_s2160"/>
            </a:ext>
            <a:ext uri="{FF2B5EF4-FFF2-40B4-BE49-F238E27FC236}">
              <a16:creationId xmlns:a16="http://schemas.microsoft.com/office/drawing/2014/main" id="{00000000-0008-0000-0200-000070080000}"/>
            </a:ext>
            <a:ext uri="{147F2762-F138-4A5C-976F-8EAC2B608ADB}">
              <a16:predDERef xmlns:a16="http://schemas.microsoft.com/office/drawing/2014/main" pred="{00000000-0008-0000-0200-00006F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twoCellAnchor>
  <xdr:oneCellAnchor>
    <xdr:from>
      <xdr:col>10</xdr:col>
      <xdr:colOff>0</xdr:colOff>
      <xdr:row>66</xdr:row>
      <xdr:rowOff>28575</xdr:rowOff>
    </xdr:from>
    <xdr:ext cx="13420725" cy="381000"/>
    <xdr:sp macro="" textlink="">
      <xdr:nvSpPr>
        <xdr:cNvPr id="6" name="Group Box 113" hidden="1">
          <a:extLst>
            <a:ext uri="{63B3BB69-23CF-44E3-9099-C40C66FF867C}">
              <a14:compatExt xmlns:a14="http://schemas.microsoft.com/office/drawing/2010/main" spid="_x0000_s2161"/>
            </a:ext>
            <a:ext uri="{FF2B5EF4-FFF2-40B4-BE49-F238E27FC236}">
              <a16:creationId xmlns:a16="http://schemas.microsoft.com/office/drawing/2014/main" id="{0EC04E8C-0742-45DF-AEE8-B9CFFA650B6E}"/>
            </a:ext>
            <a:ext uri="{147F2762-F138-4A5C-976F-8EAC2B608ADB}">
              <a16:predDERef xmlns:a16="http://schemas.microsoft.com/office/drawing/2014/main" pred="{00000000-0008-0000-0200-000070080000}"/>
            </a:ext>
          </a:extLst>
        </xdr:cNvPr>
        <xdr:cNvSpPr/>
      </xdr:nvSpPr>
      <xdr:spPr bwMode="auto">
        <a:xfrm>
          <a:off x="0" y="0"/>
          <a:ext cx="0" cy="0"/>
        </a:xfrm>
        <a:prstGeom prst="rect">
          <a:avLst/>
        </a:prstGeom>
        <a:noFill/>
        <a:ln w="9525">
          <a:miter lim="800000"/>
          <a:headEnd/>
          <a:tailEnd/>
        </a:ln>
        <a:extLst>
          <a:ext uri="{909E8E84-426E-40DD-AFC4-6F175D3DCCD1}">
            <a14:hiddenFill xmlns:a14="http://schemas.microsoft.com/office/drawing/2010/main">
              <a:noFill/>
            </a14:hiddenFill>
          </a:ext>
        </a:extLst>
      </xdr:spPr>
      <xdr:txBody>
        <a:bodyPr vertOverflow="clip" wrap="none" lIns="27432" tIns="18288" rIns="0" bIns="0" anchor="t" upright="1"/>
        <a:lstStyle/>
        <a:p>
          <a:pPr algn="l" rtl="0">
            <a:defRPr sz="1000"/>
          </a:pPr>
          <a:r>
            <a:rPr lang="en-NL" sz="800" b="0" i="0" u="none" strike="noStrike" baseline="0">
              <a:solidFill>
                <a:srgbClr val="000000"/>
              </a:solidFill>
              <a:latin typeface="Tahoma"/>
              <a:ea typeface="Tahoma"/>
              <a:cs typeface="Tahoma"/>
            </a:rPr>
            <a:t>Selection</a:t>
          </a:r>
        </a:p>
      </xdr:txBody>
    </xdr:sp>
    <xdr:clientData/>
  </xdr:oneCellAnchor>
  <xdr:oneCellAnchor>
    <xdr:from>
      <xdr:col>10</xdr:col>
      <xdr:colOff>0</xdr:colOff>
      <xdr:row>66</xdr:row>
      <xdr:rowOff>104775</xdr:rowOff>
    </xdr:from>
    <xdr:ext cx="1047750" cy="209550"/>
    <xdr:sp macro="" textlink="">
      <xdr:nvSpPr>
        <xdr:cNvPr id="5" name="Option Button 114" hidden="1">
          <a:extLst>
            <a:ext uri="{63B3BB69-23CF-44E3-9099-C40C66FF867C}">
              <a14:compatExt xmlns:a14="http://schemas.microsoft.com/office/drawing/2010/main" spid="_x0000_s2162"/>
            </a:ext>
            <a:ext uri="{FF2B5EF4-FFF2-40B4-BE49-F238E27FC236}">
              <a16:creationId xmlns:a16="http://schemas.microsoft.com/office/drawing/2014/main" id="{6BEEA6EE-EE17-49DE-B00B-4140082A04F2}"/>
            </a:ext>
            <a:ext uri="{147F2762-F138-4A5C-976F-8EAC2B608ADB}">
              <a16:predDERef xmlns:a16="http://schemas.microsoft.com/office/drawing/2014/main" pred="{0EC04E8C-0742-45DF-AEE8-B9CFFA650B6E}"/>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4" name="Option Button 115" hidden="1">
          <a:extLst>
            <a:ext uri="{63B3BB69-23CF-44E3-9099-C40C66FF867C}">
              <a14:compatExt xmlns:a14="http://schemas.microsoft.com/office/drawing/2010/main" spid="_x0000_s2163"/>
            </a:ext>
            <a:ext uri="{FF2B5EF4-FFF2-40B4-BE49-F238E27FC236}">
              <a16:creationId xmlns:a16="http://schemas.microsoft.com/office/drawing/2014/main" id="{DB4AF23A-8998-434E-8A98-9CB60D43BE55}"/>
            </a:ext>
            <a:ext uri="{147F2762-F138-4A5C-976F-8EAC2B608ADB}">
              <a16:predDERef xmlns:a16="http://schemas.microsoft.com/office/drawing/2014/main" pred="{6BEEA6EE-EE17-49DE-B00B-4140082A04F2}"/>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3" name="Option Button 116" hidden="1">
          <a:extLst>
            <a:ext uri="{63B3BB69-23CF-44E3-9099-C40C66FF867C}">
              <a14:compatExt xmlns:a14="http://schemas.microsoft.com/office/drawing/2010/main" spid="_x0000_s2164"/>
            </a:ext>
            <a:ext uri="{FF2B5EF4-FFF2-40B4-BE49-F238E27FC236}">
              <a16:creationId xmlns:a16="http://schemas.microsoft.com/office/drawing/2014/main" id="{9F0E6BF7-5720-46A7-85DC-68AC8A503455}"/>
            </a:ext>
            <a:ext uri="{147F2762-F138-4A5C-976F-8EAC2B608ADB}">
              <a16:predDERef xmlns:a16="http://schemas.microsoft.com/office/drawing/2014/main" pred="{DB4AF23A-8998-434E-8A98-9CB60D43BE5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oneCellAnchor>
    <xdr:from>
      <xdr:col>10</xdr:col>
      <xdr:colOff>0</xdr:colOff>
      <xdr:row>66</xdr:row>
      <xdr:rowOff>104775</xdr:rowOff>
    </xdr:from>
    <xdr:ext cx="1047750" cy="209550"/>
    <xdr:sp macro="" textlink="">
      <xdr:nvSpPr>
        <xdr:cNvPr id="2" name="Option Button 117" hidden="1">
          <a:extLst>
            <a:ext uri="{63B3BB69-23CF-44E3-9099-C40C66FF867C}">
              <a14:compatExt xmlns:a14="http://schemas.microsoft.com/office/drawing/2010/main" spid="_x0000_s2165"/>
            </a:ext>
            <a:ext uri="{FF2B5EF4-FFF2-40B4-BE49-F238E27FC236}">
              <a16:creationId xmlns:a16="http://schemas.microsoft.com/office/drawing/2014/main" id="{55FC68DD-EA04-4969-AAF8-5B107CB98014}"/>
            </a:ext>
            <a:ext uri="{147F2762-F138-4A5C-976F-8EAC2B608ADB}">
              <a16:predDERef xmlns:a16="http://schemas.microsoft.com/office/drawing/2014/main" pred="{9F0E6BF7-5720-46A7-85DC-68AC8A503455}"/>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NL" sz="800" b="0" i="0" u="none" strike="noStrike" baseline="0">
              <a:solidFill>
                <a:srgbClr val="000000"/>
              </a:solidFill>
              <a:latin typeface="Segoe UI"/>
              <a:cs typeface="Segoe UI"/>
            </a:rPr>
            <a:t>Option Button 30</a:t>
          </a:r>
        </a:p>
      </xdr:txBody>
    </xdr:sp>
    <xdr:clientData/>
  </xdr:oneCellAnchor>
</xdr:wsDr>
</file>

<file path=xl/persons/person.xml><?xml version="1.0" encoding="utf-8"?>
<personList xmlns="http://schemas.microsoft.com/office/spreadsheetml/2018/threadedcomments" xmlns:x="http://schemas.openxmlformats.org/spreadsheetml/2006/main">
  <person displayName="Henriette Walz" id="{66B29046-409F-4C98-8CDF-7249A55BDB22}" userId="S::hwalz@ra.org::8b4f88d3-5841-4a00-8970-4df567d980f6" providerId="AD"/>
  <person displayName="Kunera Moore" id="{18A24C2E-2584-43CD-B719-4841DF78E602}" userId="S::KMoore@ra.org::83dad768-c949-43d2-a23f-86d40e449d0e" providerId="AD"/>
  <person displayName="Rens Rutten" id="{D70C7BD0-8688-4390-B031-28CEEC54110D}" userId="S::rrutten@ra.org::8c5740b9-fb75-405c-b053-5b74d6783a17" providerId="AD"/>
  <person displayName="Martin Noponen" id="{26CE0772-FC01-4A4D-9C5A-7D020A48EEF3}" userId="S::mnoponen@ra.org::40d57d67-7e7e-46d6-a63b-d2a8af0cd633" providerId="AD"/>
  <person displayName="Meike Engelhard" id="{C8B2BD1E-4883-4CFE-9F0D-37F6F9D42830}" userId="S::mengelhard@ra.org::e2485ffe-5f14-40c0-a5ff-997b1ec734a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24" dT="2020-04-08T07:54:46.74" personId="{66B29046-409F-4C98-8CDF-7249A55BDB22}" id="{D77DCAB9-A0FF-4DCB-AA30-8E42EAEBFD83}">
    <text xml:space="preserve">I think we should ask this for everyone - because it is likely that there are areas of natural ecosystems / natural vegetation cover that are not connected; to me this is one of the priorities where a lot could be gained, also looking at the question of Anneke "What are the priorities for groups". So I would delete the "other variable" here
</text>
  </threadedComment>
  <threadedComment ref="F126" dT="2020-04-08T07:57:04.61" personId="{66B29046-409F-4C98-8CDF-7249A55BDB22}" id="{B1906721-8D61-4664-8B67-8D8FA813BAF1}">
    <text xml:space="preserve">To me this is part of the overall plan to comply with 4.2.3; i.e. those natural ecosystems/vegetation that doesn't contain local species should move towards those and can then be counted as "natural vegetation".
But I am wondering now, whether we shouldn't make this question then more broad, and leading to all management actions to reach 4.2.3; for example, we could ask "Do you expect to have percentages of natural vegetation that are close to 10/15%"; and then we coudl give examples like "identify areas that you could restore" etc. But it would be a bit double with the 4.2.4 - But I am now wondering whether this wouldn't be the cleaner option. Rens, happy to talk about this if you want!
</text>
  </threadedComment>
</ThreadedComments>
</file>

<file path=xl/threadedComments/threadedComment2.xml><?xml version="1.0" encoding="utf-8"?>
<ThreadedComments xmlns="http://schemas.microsoft.com/office/spreadsheetml/2018/threadedcomments" xmlns:x="http://schemas.openxmlformats.org/spreadsheetml/2006/main">
  <threadedComment ref="I108" dT="2020-01-08T13:37:47.48" personId="{26CE0772-FC01-4A4D-9C5A-7D020A48EEF3}" id="{20AD0091-992C-4E2A-9B8F-2790C5B54A87}">
    <text xml:space="preserve">All for now. But once the CC risk/impact screening has been automated and included only countries that fall into med or high risk categories need to fulfil these criteria
</text>
  </threadedComment>
</ThreadedComments>
</file>

<file path=xl/threadedComments/threadedComment3.xml><?xml version="1.0" encoding="utf-8"?>
<ThreadedComments xmlns="http://schemas.microsoft.com/office/spreadsheetml/2018/threadedcomments" xmlns:x="http://schemas.openxmlformats.org/spreadsheetml/2006/main">
  <threadedComment ref="F66" dT="2020-02-19T09:32:20.47" personId="{D70C7BD0-8688-4390-B031-28CEEC54110D}" id="{D86FAB50-634A-4CDC-8C53-5B6E1B17CEE8}">
    <text xml:space="preserve">Questions that need to be verified at the level of the group members should be included in the internal inspection tool, not in this risk assessment
</text>
  </threadedComment>
  <threadedComment ref="I69" dT="2020-01-09T13:45:09.73" personId="{C8B2BD1E-4883-4CFE-9F0D-37F6F9D42830}" id="{5EE8AF6A-808A-4DED-AD6A-D677A866E58F}">
    <text xml:space="preserve">Group management does not have the list of under 18 aged group member workers or uner 18 family of group member workers. This could be potentially done in year 1 with under 18 children of group members.
</text>
  </threadedComment>
  <threadedComment ref="I69" dT="2020-02-17T17:17:15.24" personId="{18A24C2E-2584-43CD-B719-4841DF78E602}" id="{BC2FCEC7-73F3-4DDC-95FD-2C2291DE59AD}" parentId="{5EE8AF6A-808A-4DED-AD6A-D677A866E58F}">
    <text>meike totally agree - have changed</text>
  </threadedComment>
  <threadedComment ref="F70" dT="2020-02-19T09:32:45.55" personId="{D70C7BD0-8688-4390-B031-28CEEC54110D}" id="{6E9FE9EA-A14B-4934-808B-1A9E3C98243A}">
    <text xml:space="preserve">question for internal inspection
</text>
  </threadedComment>
  <threadedComment ref="F92" dT="2020-02-19T09:33:51.97" personId="{D70C7BD0-8688-4390-B031-28CEEC54110D}" id="{DAB26FE6-4FDB-4EB8-B49D-D6C21318F750}">
    <text xml:space="preserve">do we need to specify what is 'significant'?
</text>
  </threadedComment>
  <threadedComment ref="H128" dT="2020-01-08T13:37:47.48" personId="{26CE0772-FC01-4A4D-9C5A-7D020A48EEF3}" id="{FD94C455-077A-4296-B815-6804B40ABE96}">
    <text xml:space="preserve">All for now. But once the CC risk/impact screening has been automated and included only countries that fall into med or high risk categories need to fulfil these criteria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6.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DAEE-1C7B-4F27-8637-CBDAF3D12D31}">
  <sheetPr codeName="Sheet2"/>
  <dimension ref="K1:R19"/>
  <sheetViews>
    <sheetView workbookViewId="0">
      <selection activeCell="K4" sqref="K4"/>
    </sheetView>
  </sheetViews>
  <sheetFormatPr defaultRowHeight="15" x14ac:dyDescent="0.25"/>
  <cols>
    <col min="16" max="17" width="9.140625" style="17"/>
  </cols>
  <sheetData>
    <row r="1" spans="11:18" x14ac:dyDescent="0.25">
      <c r="P1" s="17" t="s">
        <v>0</v>
      </c>
      <c r="Q1" s="17" t="s">
        <v>1</v>
      </c>
    </row>
    <row r="2" spans="11:18" x14ac:dyDescent="0.25">
      <c r="K2" s="1">
        <f>'Group risk assessment L0'!A2</f>
        <v>0</v>
      </c>
      <c r="L2" s="1"/>
      <c r="M2" s="1"/>
      <c r="N2" s="1"/>
      <c r="O2" s="1"/>
      <c r="P2" s="30" t="e">
        <f>'Group risk assessment L0'!#REF!</f>
        <v>#REF!</v>
      </c>
      <c r="Q2" s="17" t="e">
        <f t="shared" ref="Q2:Q12" si="0">IF(P2&gt;0.25, IF(P2&gt;0.5,IF(P2&gt;0.75,3,2),1),0)</f>
        <v>#REF!</v>
      </c>
      <c r="R2" s="35" t="e">
        <f>IF(Q2=1,L$17,IF(Q2=2,L$18,IF(Q2=3,L$19,L$16)))</f>
        <v>#REF!</v>
      </c>
    </row>
    <row r="3" spans="11:18" x14ac:dyDescent="0.25">
      <c r="K3" s="1" t="e">
        <f>#REF!</f>
        <v>#REF!</v>
      </c>
      <c r="L3" s="1"/>
      <c r="M3" s="1"/>
      <c r="N3" s="1"/>
      <c r="O3" s="1"/>
      <c r="P3" s="30" t="e">
        <f>#REF!</f>
        <v>#REF!</v>
      </c>
      <c r="Q3" s="17" t="e">
        <f t="shared" si="0"/>
        <v>#REF!</v>
      </c>
      <c r="R3" s="35" t="e">
        <f t="shared" ref="R3:R12" si="1">IF(Q3=1,L$17,IF(Q3=2,L$18,IF(Q3=3,L$19,L$16)))</f>
        <v>#REF!</v>
      </c>
    </row>
    <row r="4" spans="11:18" x14ac:dyDescent="0.25">
      <c r="K4" s="1" t="e">
        <f>#REF!</f>
        <v>#REF!</v>
      </c>
      <c r="L4" s="1"/>
      <c r="M4" s="1"/>
      <c r="N4" s="1"/>
      <c r="O4" s="1"/>
      <c r="P4" s="30" t="e">
        <f>#REF!</f>
        <v>#REF!</v>
      </c>
      <c r="Q4" s="17" t="e">
        <f t="shared" si="0"/>
        <v>#REF!</v>
      </c>
      <c r="R4" s="35" t="e">
        <f t="shared" si="1"/>
        <v>#REF!</v>
      </c>
    </row>
    <row r="5" spans="11:18" x14ac:dyDescent="0.25">
      <c r="K5" s="1" t="e">
        <f>#REF!</f>
        <v>#REF!</v>
      </c>
      <c r="L5" s="1"/>
      <c r="M5" s="1"/>
      <c r="N5" s="1"/>
      <c r="O5" s="1"/>
      <c r="P5" s="30" t="e">
        <f>#REF!</f>
        <v>#REF!</v>
      </c>
      <c r="Q5" s="17" t="e">
        <f t="shared" si="0"/>
        <v>#REF!</v>
      </c>
      <c r="R5" s="35" t="e">
        <f t="shared" si="1"/>
        <v>#REF!</v>
      </c>
    </row>
    <row r="6" spans="11:18" x14ac:dyDescent="0.25">
      <c r="K6" s="1" t="e">
        <f>#REF!</f>
        <v>#REF!</v>
      </c>
      <c r="L6" s="1"/>
      <c r="M6" s="1"/>
      <c r="N6" s="1"/>
      <c r="O6" s="1"/>
      <c r="P6" s="30" t="e">
        <f>#REF!</f>
        <v>#REF!</v>
      </c>
      <c r="Q6" s="17" t="e">
        <f t="shared" si="0"/>
        <v>#REF!</v>
      </c>
      <c r="R6" s="35" t="e">
        <f t="shared" si="1"/>
        <v>#REF!</v>
      </c>
    </row>
    <row r="7" spans="11:18" x14ac:dyDescent="0.25">
      <c r="K7" s="1" t="e">
        <f>#REF!</f>
        <v>#REF!</v>
      </c>
      <c r="L7" s="1"/>
      <c r="M7" s="1"/>
      <c r="N7" s="1"/>
      <c r="O7" s="1"/>
      <c r="P7" s="30" t="e">
        <f>#REF!</f>
        <v>#REF!</v>
      </c>
      <c r="Q7" s="17" t="e">
        <f t="shared" si="0"/>
        <v>#REF!</v>
      </c>
      <c r="R7" s="35" t="e">
        <f t="shared" si="1"/>
        <v>#REF!</v>
      </c>
    </row>
    <row r="8" spans="11:18" x14ac:dyDescent="0.25">
      <c r="K8" s="1" t="e">
        <f>#REF!</f>
        <v>#REF!</v>
      </c>
      <c r="L8" s="1"/>
      <c r="M8" s="1"/>
      <c r="N8" s="1"/>
      <c r="O8" s="1"/>
      <c r="P8" s="30" t="e">
        <f>#REF!</f>
        <v>#REF!</v>
      </c>
      <c r="Q8" s="17" t="e">
        <f t="shared" si="0"/>
        <v>#REF!</v>
      </c>
      <c r="R8" s="35" t="e">
        <f t="shared" si="1"/>
        <v>#REF!</v>
      </c>
    </row>
    <row r="9" spans="11:18" x14ac:dyDescent="0.25">
      <c r="K9" s="1" t="e">
        <f>#REF!</f>
        <v>#REF!</v>
      </c>
      <c r="L9" s="1"/>
      <c r="M9" s="1"/>
      <c r="N9" s="1"/>
      <c r="O9" s="1"/>
      <c r="P9" s="30" t="e">
        <f>#REF!</f>
        <v>#REF!</v>
      </c>
      <c r="Q9" s="17" t="e">
        <f t="shared" si="0"/>
        <v>#REF!</v>
      </c>
      <c r="R9" s="35" t="e">
        <f t="shared" si="1"/>
        <v>#REF!</v>
      </c>
    </row>
    <row r="10" spans="11:18" x14ac:dyDescent="0.25">
      <c r="K10" s="1" t="e">
        <f>#REF!</f>
        <v>#REF!</v>
      </c>
      <c r="L10" s="1"/>
      <c r="M10" s="1"/>
      <c r="N10" s="1"/>
      <c r="O10" s="1"/>
      <c r="P10" s="30" t="e">
        <f>#REF!</f>
        <v>#REF!</v>
      </c>
      <c r="Q10" s="17" t="e">
        <f t="shared" si="0"/>
        <v>#REF!</v>
      </c>
      <c r="R10" s="35" t="e">
        <f t="shared" si="1"/>
        <v>#REF!</v>
      </c>
    </row>
    <row r="11" spans="11:18" x14ac:dyDescent="0.25">
      <c r="K11" s="1" t="e">
        <f>#REF!</f>
        <v>#REF!</v>
      </c>
      <c r="L11" s="1"/>
      <c r="M11" s="1"/>
      <c r="N11" s="1"/>
      <c r="O11" s="1"/>
      <c r="P11" s="33" t="e">
        <f>#REF!</f>
        <v>#REF!</v>
      </c>
      <c r="Q11" s="34" t="e">
        <f t="shared" si="0"/>
        <v>#REF!</v>
      </c>
      <c r="R11" s="37" t="e">
        <f t="shared" si="1"/>
        <v>#REF!</v>
      </c>
    </row>
    <row r="12" spans="11:18" x14ac:dyDescent="0.25">
      <c r="P12" s="30" t="e">
        <f>AVERAGE(P2:P11)</f>
        <v>#REF!</v>
      </c>
      <c r="Q12" s="17" t="e">
        <f t="shared" si="0"/>
        <v>#REF!</v>
      </c>
      <c r="R12" s="35" t="e">
        <f t="shared" si="1"/>
        <v>#REF!</v>
      </c>
    </row>
    <row r="15" spans="11:18" x14ac:dyDescent="0.25">
      <c r="K15" s="36" t="s">
        <v>1</v>
      </c>
    </row>
    <row r="16" spans="11:18" x14ac:dyDescent="0.25">
      <c r="K16" s="36">
        <v>0</v>
      </c>
      <c r="L16" s="36">
        <v>0</v>
      </c>
    </row>
    <row r="17" spans="11:12" x14ac:dyDescent="0.25">
      <c r="K17" s="36">
        <v>1</v>
      </c>
      <c r="L17" s="35" t="s">
        <v>2</v>
      </c>
    </row>
    <row r="18" spans="11:12" x14ac:dyDescent="0.25">
      <c r="K18" s="36">
        <v>2</v>
      </c>
      <c r="L18" s="35" t="s">
        <v>3</v>
      </c>
    </row>
    <row r="19" spans="11:12" x14ac:dyDescent="0.25">
      <c r="K19" s="36">
        <v>3</v>
      </c>
      <c r="L19" s="35" t="s">
        <v>4</v>
      </c>
    </row>
  </sheetData>
  <conditionalFormatting sqref="R2">
    <cfRule type="cellIs" dxfId="7" priority="5" operator="equal">
      <formula>$L$19</formula>
    </cfRule>
    <cfRule type="cellIs" dxfId="6" priority="9" operator="equal">
      <formula>$L$16</formula>
    </cfRule>
    <cfRule type="cellIs" dxfId="5" priority="12" operator="equal">
      <formula>$L$18</formula>
    </cfRule>
    <cfRule type="cellIs" dxfId="4" priority="13" operator="equal">
      <formula>$L$17</formula>
    </cfRule>
  </conditionalFormatting>
  <conditionalFormatting sqref="R3:R12">
    <cfRule type="cellIs" dxfId="3" priority="1" operator="equal">
      <formula>$L$19</formula>
    </cfRule>
    <cfRule type="cellIs" dxfId="2" priority="2" operator="equal">
      <formula>$L$16</formula>
    </cfRule>
    <cfRule type="cellIs" dxfId="1" priority="3" operator="equal">
      <formula>$L$18</formula>
    </cfRule>
    <cfRule type="cellIs" dxfId="0" priority="4" operator="equal">
      <formula>$L$17</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1CEC-EEE2-4EAF-B699-F943BE27E848}">
  <sheetPr codeName="Sheet3">
    <tabColor rgb="FFFFC000"/>
  </sheetPr>
  <dimension ref="A1:J357"/>
  <sheetViews>
    <sheetView zoomScale="80" zoomScaleNormal="80" workbookViewId="0">
      <pane xSplit="1" ySplit="2" topLeftCell="F6" activePane="bottomRight" state="frozen"/>
      <selection pane="topRight" activeCell="C1" sqref="C1"/>
      <selection pane="bottomLeft" activeCell="A8" sqref="A8"/>
      <selection pane="bottomRight" activeCell="I147" sqref="I147"/>
    </sheetView>
  </sheetViews>
  <sheetFormatPr defaultColWidth="9.140625" defaultRowHeight="12.75" x14ac:dyDescent="0.2"/>
  <cols>
    <col min="1" max="1" width="9.85546875" style="85" customWidth="1"/>
    <col min="2" max="2" width="19.140625" style="189" customWidth="1"/>
    <col min="3" max="3" width="18.42578125" style="200" customWidth="1"/>
    <col min="4" max="4" width="21.5703125" style="194" customWidth="1"/>
    <col min="5" max="5" width="15.42578125" style="92" customWidth="1"/>
    <col min="6" max="6" width="49" style="84" customWidth="1"/>
    <col min="7" max="7" width="11.5703125" style="85" customWidth="1"/>
    <col min="8" max="8" width="15.85546875" style="84" customWidth="1"/>
    <col min="9" max="9" width="129" style="85" customWidth="1"/>
    <col min="10" max="10" width="75.140625" style="85" customWidth="1"/>
    <col min="11" max="16384" width="9.140625" style="85"/>
  </cols>
  <sheetData>
    <row r="1" spans="1:10" ht="45.75" customHeight="1" x14ac:dyDescent="0.2"/>
    <row r="2" spans="1:10" ht="47.25" x14ac:dyDescent="0.2">
      <c r="A2" s="86" t="s">
        <v>5</v>
      </c>
      <c r="B2" s="202" t="s">
        <v>6</v>
      </c>
      <c r="C2" s="195" t="s">
        <v>7</v>
      </c>
      <c r="D2" s="190" t="s">
        <v>8</v>
      </c>
      <c r="E2" s="91" t="s">
        <v>9</v>
      </c>
      <c r="F2" s="249" t="s">
        <v>10</v>
      </c>
      <c r="G2" s="86" t="s">
        <v>11</v>
      </c>
      <c r="H2" s="252" t="s">
        <v>12</v>
      </c>
      <c r="I2" s="87" t="s">
        <v>13</v>
      </c>
      <c r="J2" s="201" t="s">
        <v>14</v>
      </c>
    </row>
    <row r="3" spans="1:10" s="66" customFormat="1" ht="20.25" customHeight="1" x14ac:dyDescent="0.25">
      <c r="A3" s="165"/>
      <c r="B3" s="188" t="s">
        <v>15</v>
      </c>
      <c r="C3" s="196"/>
      <c r="D3" s="191"/>
      <c r="E3" s="167"/>
      <c r="F3" s="250"/>
      <c r="G3" s="165"/>
      <c r="H3" s="250"/>
      <c r="I3" s="165"/>
      <c r="J3" s="72"/>
    </row>
    <row r="4" spans="1:10" s="68" customFormat="1" ht="34.5" customHeight="1" x14ac:dyDescent="0.25">
      <c r="A4" s="347">
        <v>1</v>
      </c>
      <c r="B4" s="297"/>
      <c r="C4" s="198" t="s">
        <v>16</v>
      </c>
      <c r="D4" s="193"/>
      <c r="E4" s="182" t="s">
        <v>17</v>
      </c>
      <c r="F4" s="352" t="s">
        <v>18</v>
      </c>
      <c r="G4" s="66" t="s">
        <v>19</v>
      </c>
      <c r="H4" s="314" t="s">
        <v>20</v>
      </c>
      <c r="I4" s="238" t="s">
        <v>21</v>
      </c>
      <c r="J4" s="66"/>
    </row>
    <row r="5" spans="1:10" ht="48" customHeight="1" x14ac:dyDescent="0.2">
      <c r="A5" s="348"/>
      <c r="B5" s="297"/>
      <c r="C5" s="198" t="s">
        <v>16</v>
      </c>
      <c r="D5" s="193"/>
      <c r="E5" s="182" t="s">
        <v>17</v>
      </c>
      <c r="F5" s="353"/>
      <c r="G5" s="69" t="s">
        <v>22</v>
      </c>
      <c r="H5" s="137" t="s">
        <v>23</v>
      </c>
      <c r="I5" s="69" t="s">
        <v>24</v>
      </c>
      <c r="J5" s="175" t="s">
        <v>25</v>
      </c>
    </row>
    <row r="6" spans="1:10" ht="33.75" customHeight="1" x14ac:dyDescent="0.2">
      <c r="A6" s="348"/>
      <c r="B6" s="297"/>
      <c r="C6" s="198" t="s">
        <v>26</v>
      </c>
      <c r="D6" s="193"/>
      <c r="E6" s="182" t="s">
        <v>17</v>
      </c>
      <c r="F6" s="352" t="s">
        <v>27</v>
      </c>
      <c r="G6" s="66" t="s">
        <v>19</v>
      </c>
      <c r="H6" s="314" t="s">
        <v>20</v>
      </c>
      <c r="I6" s="238" t="s">
        <v>21</v>
      </c>
      <c r="J6" s="175"/>
    </row>
    <row r="7" spans="1:10" ht="52.5" customHeight="1" x14ac:dyDescent="0.2">
      <c r="A7" s="349"/>
      <c r="B7" s="297"/>
      <c r="C7" s="198" t="s">
        <v>26</v>
      </c>
      <c r="D7" s="193"/>
      <c r="E7" s="182" t="s">
        <v>17</v>
      </c>
      <c r="F7" s="353"/>
      <c r="G7" s="69" t="s">
        <v>22</v>
      </c>
      <c r="H7" s="137" t="s">
        <v>23</v>
      </c>
      <c r="I7" s="69" t="s">
        <v>28</v>
      </c>
      <c r="J7" s="175" t="s">
        <v>29</v>
      </c>
    </row>
    <row r="8" spans="1:10" s="66" customFormat="1" ht="84.75" customHeight="1" x14ac:dyDescent="0.25">
      <c r="A8" s="366">
        <v>2</v>
      </c>
      <c r="B8" s="376" t="s">
        <v>30</v>
      </c>
      <c r="C8" s="47" t="s">
        <v>16</v>
      </c>
      <c r="D8" s="192"/>
      <c r="E8" s="312" t="s">
        <v>31</v>
      </c>
      <c r="F8" s="356" t="s">
        <v>32</v>
      </c>
      <c r="G8" s="312" t="s">
        <v>33</v>
      </c>
      <c r="H8" s="313" t="s">
        <v>20</v>
      </c>
      <c r="I8" s="169" t="s">
        <v>34</v>
      </c>
      <c r="J8" s="312"/>
    </row>
    <row r="9" spans="1:10" s="66" customFormat="1" ht="66.75" customHeight="1" x14ac:dyDescent="0.25">
      <c r="A9" s="374"/>
      <c r="B9" s="377"/>
      <c r="C9" s="47" t="s">
        <v>16</v>
      </c>
      <c r="D9" s="192"/>
      <c r="E9" s="312" t="s">
        <v>31</v>
      </c>
      <c r="F9" s="357"/>
      <c r="G9" s="312" t="s">
        <v>19</v>
      </c>
      <c r="H9" s="313" t="s">
        <v>20</v>
      </c>
      <c r="I9" s="83" t="s">
        <v>35</v>
      </c>
      <c r="J9" s="312"/>
    </row>
    <row r="10" spans="1:10" s="66" customFormat="1" ht="86.25" customHeight="1" x14ac:dyDescent="0.25">
      <c r="A10" s="374"/>
      <c r="B10" s="377"/>
      <c r="C10" s="47" t="s">
        <v>26</v>
      </c>
      <c r="D10" s="192"/>
      <c r="E10" s="312" t="s">
        <v>36</v>
      </c>
      <c r="F10" s="392" t="s">
        <v>37</v>
      </c>
      <c r="G10" s="312" t="s">
        <v>33</v>
      </c>
      <c r="H10" s="313" t="s">
        <v>23</v>
      </c>
      <c r="I10" s="83" t="s">
        <v>38</v>
      </c>
      <c r="J10" s="312"/>
    </row>
    <row r="11" spans="1:10" s="66" customFormat="1" ht="67.5" customHeight="1" x14ac:dyDescent="0.25">
      <c r="A11" s="367"/>
      <c r="B11" s="377"/>
      <c r="C11" s="49" t="s">
        <v>26</v>
      </c>
      <c r="D11" s="128"/>
      <c r="E11" s="312" t="s">
        <v>36</v>
      </c>
      <c r="F11" s="393"/>
      <c r="G11" s="296" t="s">
        <v>39</v>
      </c>
      <c r="H11" s="253" t="s">
        <v>23</v>
      </c>
      <c r="I11" s="83" t="s">
        <v>40</v>
      </c>
      <c r="J11" s="312"/>
    </row>
    <row r="12" spans="1:10" s="66" customFormat="1" ht="93.75" customHeight="1" x14ac:dyDescent="0.25">
      <c r="A12" s="366">
        <v>3</v>
      </c>
      <c r="B12" s="377"/>
      <c r="C12" s="47" t="s">
        <v>16</v>
      </c>
      <c r="D12" s="192"/>
      <c r="E12" s="312" t="s">
        <v>41</v>
      </c>
      <c r="F12" s="379" t="s">
        <v>42</v>
      </c>
      <c r="G12" s="312" t="s">
        <v>33</v>
      </c>
      <c r="H12" s="313" t="s">
        <v>20</v>
      </c>
      <c r="I12" s="265" t="s">
        <v>43</v>
      </c>
      <c r="J12" s="312" t="s">
        <v>44</v>
      </c>
    </row>
    <row r="13" spans="1:10" s="66" customFormat="1" ht="25.5" customHeight="1" x14ac:dyDescent="0.25">
      <c r="A13" s="367"/>
      <c r="B13" s="377"/>
      <c r="C13" s="47" t="s">
        <v>16</v>
      </c>
      <c r="D13" s="192"/>
      <c r="E13" s="312" t="s">
        <v>41</v>
      </c>
      <c r="F13" s="380"/>
      <c r="G13" s="312" t="s">
        <v>19</v>
      </c>
      <c r="H13" s="313" t="s">
        <v>20</v>
      </c>
      <c r="I13" s="169" t="s">
        <v>21</v>
      </c>
      <c r="J13" s="312"/>
    </row>
    <row r="14" spans="1:10" s="66" customFormat="1" ht="57" customHeight="1" x14ac:dyDescent="0.25">
      <c r="A14" s="366">
        <v>4</v>
      </c>
      <c r="B14" s="377"/>
      <c r="C14" s="47" t="s">
        <v>16</v>
      </c>
      <c r="D14" s="192"/>
      <c r="E14" s="312" t="s">
        <v>45</v>
      </c>
      <c r="F14" s="312" t="s">
        <v>46</v>
      </c>
      <c r="G14" s="312" t="s">
        <v>33</v>
      </c>
      <c r="H14" s="313" t="s">
        <v>20</v>
      </c>
      <c r="I14" s="312" t="s">
        <v>47</v>
      </c>
      <c r="J14" s="312"/>
    </row>
    <row r="15" spans="1:10" s="66" customFormat="1" ht="42" customHeight="1" x14ac:dyDescent="0.25">
      <c r="A15" s="367"/>
      <c r="B15" s="377"/>
      <c r="C15" s="47" t="s">
        <v>16</v>
      </c>
      <c r="D15" s="192"/>
      <c r="E15" s="312" t="s">
        <v>45</v>
      </c>
      <c r="F15" s="312" t="s">
        <v>46</v>
      </c>
      <c r="G15" s="312" t="s">
        <v>19</v>
      </c>
      <c r="H15" s="313" t="s">
        <v>20</v>
      </c>
      <c r="I15" s="312" t="s">
        <v>48</v>
      </c>
      <c r="J15" s="312"/>
    </row>
    <row r="16" spans="1:10" s="66" customFormat="1" ht="42" customHeight="1" x14ac:dyDescent="0.25">
      <c r="A16" s="366">
        <v>5</v>
      </c>
      <c r="B16" s="377"/>
      <c r="C16" s="47" t="s">
        <v>16</v>
      </c>
      <c r="D16" s="192"/>
      <c r="E16" s="312" t="s">
        <v>41</v>
      </c>
      <c r="F16" s="356" t="s">
        <v>49</v>
      </c>
      <c r="G16" s="312" t="s">
        <v>33</v>
      </c>
      <c r="H16" s="313" t="s">
        <v>23</v>
      </c>
      <c r="I16" s="265" t="s">
        <v>50</v>
      </c>
      <c r="J16" s="312" t="s">
        <v>51</v>
      </c>
    </row>
    <row r="17" spans="1:10" s="66" customFormat="1" ht="42" customHeight="1" x14ac:dyDescent="0.25">
      <c r="A17" s="367"/>
      <c r="B17" s="377"/>
      <c r="C17" s="47" t="s">
        <v>16</v>
      </c>
      <c r="D17" s="192"/>
      <c r="E17" s="312" t="s">
        <v>41</v>
      </c>
      <c r="F17" s="357"/>
      <c r="G17" s="312" t="s">
        <v>19</v>
      </c>
      <c r="H17" s="313" t="s">
        <v>23</v>
      </c>
      <c r="I17" s="169" t="s">
        <v>21</v>
      </c>
      <c r="J17" s="312" t="s">
        <v>52</v>
      </c>
    </row>
    <row r="18" spans="1:10" s="66" customFormat="1" ht="42" customHeight="1" x14ac:dyDescent="0.25">
      <c r="A18" s="366">
        <v>6</v>
      </c>
      <c r="B18" s="377"/>
      <c r="C18" s="47" t="s">
        <v>16</v>
      </c>
      <c r="D18" s="192"/>
      <c r="E18" s="312" t="s">
        <v>45</v>
      </c>
      <c r="F18" s="356" t="s">
        <v>53</v>
      </c>
      <c r="G18" s="312" t="s">
        <v>33</v>
      </c>
      <c r="H18" s="313" t="s">
        <v>54</v>
      </c>
      <c r="I18" s="265" t="s">
        <v>55</v>
      </c>
      <c r="J18" s="312" t="s">
        <v>56</v>
      </c>
    </row>
    <row r="19" spans="1:10" s="66" customFormat="1" ht="42" customHeight="1" x14ac:dyDescent="0.25">
      <c r="A19" s="367"/>
      <c r="B19" s="378"/>
      <c r="C19" s="47" t="s">
        <v>16</v>
      </c>
      <c r="D19" s="192"/>
      <c r="E19" s="312" t="s">
        <v>45</v>
      </c>
      <c r="F19" s="357"/>
      <c r="G19" s="312" t="s">
        <v>19</v>
      </c>
      <c r="H19" s="313" t="s">
        <v>23</v>
      </c>
      <c r="I19" s="169" t="s">
        <v>21</v>
      </c>
      <c r="J19" s="312" t="s">
        <v>57</v>
      </c>
    </row>
    <row r="20" spans="1:10" ht="22.5" customHeight="1" x14ac:dyDescent="0.2">
      <c r="A20" s="347">
        <v>7</v>
      </c>
      <c r="B20" s="376" t="s">
        <v>58</v>
      </c>
      <c r="C20" s="47" t="s">
        <v>16</v>
      </c>
      <c r="D20" s="192"/>
      <c r="E20" s="312" t="s">
        <v>59</v>
      </c>
      <c r="F20" s="356" t="s">
        <v>60</v>
      </c>
      <c r="G20" s="312" t="s">
        <v>61</v>
      </c>
      <c r="H20" s="313" t="s">
        <v>23</v>
      </c>
      <c r="I20" s="169" t="s">
        <v>21</v>
      </c>
      <c r="J20" s="312" t="s">
        <v>62</v>
      </c>
    </row>
    <row r="21" spans="1:10" ht="41.25" customHeight="1" x14ac:dyDescent="0.2">
      <c r="A21" s="349"/>
      <c r="B21" s="377"/>
      <c r="C21" s="47" t="s">
        <v>16</v>
      </c>
      <c r="D21" s="192"/>
      <c r="E21" s="312" t="s">
        <v>63</v>
      </c>
      <c r="F21" s="357"/>
      <c r="G21" s="312" t="s">
        <v>64</v>
      </c>
      <c r="H21" s="313" t="s">
        <v>23</v>
      </c>
      <c r="I21" s="83" t="s">
        <v>65</v>
      </c>
      <c r="J21" s="312" t="s">
        <v>66</v>
      </c>
    </row>
    <row r="22" spans="1:10" ht="27.6" customHeight="1" x14ac:dyDescent="0.2">
      <c r="A22" s="347">
        <v>8</v>
      </c>
      <c r="B22" s="377"/>
      <c r="C22" s="47" t="s">
        <v>16</v>
      </c>
      <c r="D22" s="192"/>
      <c r="E22" s="312" t="s">
        <v>67</v>
      </c>
      <c r="F22" s="379" t="s">
        <v>68</v>
      </c>
      <c r="G22" s="312" t="s">
        <v>61</v>
      </c>
      <c r="H22" s="313" t="s">
        <v>23</v>
      </c>
      <c r="I22" s="169" t="s">
        <v>21</v>
      </c>
      <c r="J22" s="312"/>
    </row>
    <row r="23" spans="1:10" ht="38.25" x14ac:dyDescent="0.2">
      <c r="A23" s="349"/>
      <c r="B23" s="377"/>
      <c r="C23" s="47" t="s">
        <v>16</v>
      </c>
      <c r="D23" s="192"/>
      <c r="E23" s="312" t="s">
        <v>67</v>
      </c>
      <c r="F23" s="380"/>
      <c r="G23" s="312" t="s">
        <v>64</v>
      </c>
      <c r="H23" s="313" t="s">
        <v>23</v>
      </c>
      <c r="I23" s="169" t="s">
        <v>69</v>
      </c>
      <c r="J23" s="312"/>
    </row>
    <row r="24" spans="1:10" ht="20.25" customHeight="1" x14ac:dyDescent="0.2">
      <c r="A24" s="347">
        <v>9</v>
      </c>
      <c r="B24" s="377"/>
      <c r="C24" s="47" t="s">
        <v>16</v>
      </c>
      <c r="D24" s="192"/>
      <c r="E24" s="312" t="s">
        <v>70</v>
      </c>
      <c r="F24" s="356" t="s">
        <v>71</v>
      </c>
      <c r="G24" s="312" t="s">
        <v>61</v>
      </c>
      <c r="H24" s="313" t="s">
        <v>23</v>
      </c>
      <c r="I24" s="169" t="s">
        <v>21</v>
      </c>
      <c r="J24" s="312"/>
    </row>
    <row r="25" spans="1:10" ht="63.75" x14ac:dyDescent="0.2">
      <c r="A25" s="349"/>
      <c r="B25" s="378"/>
      <c r="C25" s="47" t="s">
        <v>16</v>
      </c>
      <c r="D25" s="192"/>
      <c r="E25" s="312" t="s">
        <v>70</v>
      </c>
      <c r="F25" s="357"/>
      <c r="G25" s="312" t="s">
        <v>64</v>
      </c>
      <c r="H25" s="313" t="s">
        <v>23</v>
      </c>
      <c r="I25" s="312" t="s">
        <v>72</v>
      </c>
      <c r="J25" s="312"/>
    </row>
    <row r="26" spans="1:10" s="66" customFormat="1" ht="24.95" customHeight="1" x14ac:dyDescent="0.25">
      <c r="A26" s="165"/>
      <c r="B26" s="273" t="s">
        <v>73</v>
      </c>
      <c r="C26" s="196"/>
      <c r="D26" s="191"/>
      <c r="E26" s="166"/>
      <c r="F26" s="165"/>
      <c r="G26" s="165"/>
      <c r="H26" s="250"/>
      <c r="I26" s="165"/>
      <c r="J26" s="72"/>
    </row>
    <row r="27" spans="1:10" s="68" customFormat="1" ht="104.25" customHeight="1" x14ac:dyDescent="0.25">
      <c r="A27" s="366">
        <v>10</v>
      </c>
      <c r="B27" s="368" t="s">
        <v>74</v>
      </c>
      <c r="C27" s="197" t="s">
        <v>16</v>
      </c>
      <c r="D27" s="192" t="s">
        <v>75</v>
      </c>
      <c r="E27" s="182" t="s">
        <v>76</v>
      </c>
      <c r="F27" s="379" t="s">
        <v>77</v>
      </c>
      <c r="G27" s="312" t="s">
        <v>61</v>
      </c>
      <c r="H27" s="313" t="s">
        <v>20</v>
      </c>
      <c r="I27" s="184" t="s">
        <v>78</v>
      </c>
      <c r="J27" s="66" t="s">
        <v>79</v>
      </c>
    </row>
    <row r="28" spans="1:10" s="68" customFormat="1" ht="35.25" customHeight="1" x14ac:dyDescent="0.25">
      <c r="A28" s="374"/>
      <c r="B28" s="370"/>
      <c r="C28" s="197" t="s">
        <v>16</v>
      </c>
      <c r="D28" s="192" t="s">
        <v>75</v>
      </c>
      <c r="E28" s="182" t="s">
        <v>76</v>
      </c>
      <c r="F28" s="380"/>
      <c r="G28" s="312" t="s">
        <v>19</v>
      </c>
      <c r="H28" s="313" t="s">
        <v>20</v>
      </c>
      <c r="I28" s="169" t="s">
        <v>21</v>
      </c>
      <c r="J28" s="66"/>
    </row>
    <row r="29" spans="1:10" s="68" customFormat="1" ht="108" customHeight="1" x14ac:dyDescent="0.25">
      <c r="A29" s="374"/>
      <c r="B29" s="368" t="s">
        <v>74</v>
      </c>
      <c r="C29" s="197" t="s">
        <v>26</v>
      </c>
      <c r="D29" s="192" t="s">
        <v>75</v>
      </c>
      <c r="E29" s="182" t="s">
        <v>76</v>
      </c>
      <c r="F29" s="379" t="s">
        <v>80</v>
      </c>
      <c r="G29" s="312" t="s">
        <v>61</v>
      </c>
      <c r="H29" s="313" t="s">
        <v>20</v>
      </c>
      <c r="I29" s="184" t="s">
        <v>81</v>
      </c>
      <c r="J29" s="66"/>
    </row>
    <row r="30" spans="1:10" s="68" customFormat="1" ht="38.25" customHeight="1" x14ac:dyDescent="0.25">
      <c r="A30" s="367"/>
      <c r="B30" s="370"/>
      <c r="C30" s="197" t="s">
        <v>26</v>
      </c>
      <c r="D30" s="192" t="s">
        <v>75</v>
      </c>
      <c r="E30" s="182" t="s">
        <v>76</v>
      </c>
      <c r="F30" s="380"/>
      <c r="G30" s="312" t="s">
        <v>19</v>
      </c>
      <c r="H30" s="313" t="s">
        <v>23</v>
      </c>
      <c r="I30" s="169" t="s">
        <v>21</v>
      </c>
      <c r="J30" s="66"/>
    </row>
    <row r="31" spans="1:10" s="68" customFormat="1" ht="104.25" customHeight="1" x14ac:dyDescent="0.25">
      <c r="A31" s="366">
        <v>11</v>
      </c>
      <c r="B31" s="368" t="s">
        <v>74</v>
      </c>
      <c r="C31" s="197" t="s">
        <v>16</v>
      </c>
      <c r="D31" s="192" t="s">
        <v>75</v>
      </c>
      <c r="E31" s="182" t="s">
        <v>76</v>
      </c>
      <c r="F31" s="379" t="s">
        <v>82</v>
      </c>
      <c r="G31" s="312" t="s">
        <v>61</v>
      </c>
      <c r="H31" s="313" t="s">
        <v>20</v>
      </c>
      <c r="I31" s="184" t="s">
        <v>83</v>
      </c>
      <c r="J31" s="66" t="s">
        <v>79</v>
      </c>
    </row>
    <row r="32" spans="1:10" s="68" customFormat="1" ht="35.25" customHeight="1" x14ac:dyDescent="0.25">
      <c r="A32" s="374"/>
      <c r="B32" s="370"/>
      <c r="C32" s="197" t="s">
        <v>16</v>
      </c>
      <c r="D32" s="192" t="s">
        <v>75</v>
      </c>
      <c r="E32" s="182" t="s">
        <v>76</v>
      </c>
      <c r="F32" s="380"/>
      <c r="G32" s="312" t="s">
        <v>19</v>
      </c>
      <c r="H32" s="313" t="s">
        <v>20</v>
      </c>
      <c r="I32" s="169" t="s">
        <v>21</v>
      </c>
      <c r="J32" s="66"/>
    </row>
    <row r="33" spans="1:10" s="68" customFormat="1" ht="108" customHeight="1" x14ac:dyDescent="0.25">
      <c r="A33" s="374"/>
      <c r="B33" s="368" t="s">
        <v>74</v>
      </c>
      <c r="C33" s="197" t="s">
        <v>26</v>
      </c>
      <c r="D33" s="192" t="s">
        <v>75</v>
      </c>
      <c r="E33" s="182" t="s">
        <v>76</v>
      </c>
      <c r="F33" s="379" t="s">
        <v>84</v>
      </c>
      <c r="G33" s="312" t="s">
        <v>61</v>
      </c>
      <c r="H33" s="313" t="s">
        <v>20</v>
      </c>
      <c r="I33" s="184" t="s">
        <v>85</v>
      </c>
      <c r="J33" s="66"/>
    </row>
    <row r="34" spans="1:10" s="68" customFormat="1" ht="38.25" customHeight="1" x14ac:dyDescent="0.25">
      <c r="A34" s="367"/>
      <c r="B34" s="370"/>
      <c r="C34" s="197" t="s">
        <v>26</v>
      </c>
      <c r="D34" s="192" t="s">
        <v>75</v>
      </c>
      <c r="E34" s="182" t="s">
        <v>76</v>
      </c>
      <c r="F34" s="380"/>
      <c r="G34" s="312" t="s">
        <v>19</v>
      </c>
      <c r="H34" s="313" t="s">
        <v>23</v>
      </c>
      <c r="I34" s="169" t="s">
        <v>21</v>
      </c>
      <c r="J34" s="66"/>
    </row>
    <row r="35" spans="1:10" s="68" customFormat="1" ht="45" customHeight="1" x14ac:dyDescent="0.25">
      <c r="A35" s="366">
        <v>12</v>
      </c>
      <c r="B35" s="368" t="s">
        <v>74</v>
      </c>
      <c r="C35" s="197" t="s">
        <v>16</v>
      </c>
      <c r="D35" s="192" t="s">
        <v>75</v>
      </c>
      <c r="E35" s="182" t="s">
        <v>86</v>
      </c>
      <c r="F35" s="356" t="s">
        <v>87</v>
      </c>
      <c r="G35" s="312" t="s">
        <v>61</v>
      </c>
      <c r="H35" s="313" t="s">
        <v>20</v>
      </c>
      <c r="I35" s="169" t="s">
        <v>21</v>
      </c>
      <c r="J35" s="168"/>
    </row>
    <row r="36" spans="1:10" s="68" customFormat="1" ht="77.25" customHeight="1" x14ac:dyDescent="0.25">
      <c r="A36" s="367"/>
      <c r="B36" s="370"/>
      <c r="C36" s="197" t="s">
        <v>16</v>
      </c>
      <c r="D36" s="192" t="s">
        <v>75</v>
      </c>
      <c r="E36" s="182" t="s">
        <v>86</v>
      </c>
      <c r="F36" s="357"/>
      <c r="G36" s="312" t="s">
        <v>39</v>
      </c>
      <c r="H36" s="313" t="s">
        <v>20</v>
      </c>
      <c r="I36" s="185" t="s">
        <v>88</v>
      </c>
      <c r="J36" s="168"/>
    </row>
    <row r="37" spans="1:10" s="68" customFormat="1" ht="72" customHeight="1" x14ac:dyDescent="0.25">
      <c r="A37" s="366">
        <v>13</v>
      </c>
      <c r="B37" s="272"/>
      <c r="C37" s="197" t="s">
        <v>16</v>
      </c>
      <c r="D37" s="192" t="s">
        <v>75</v>
      </c>
      <c r="E37" s="182" t="s">
        <v>89</v>
      </c>
      <c r="F37" s="356" t="s">
        <v>90</v>
      </c>
      <c r="G37" s="312" t="s">
        <v>33</v>
      </c>
      <c r="H37" s="313" t="s">
        <v>20</v>
      </c>
      <c r="I37" s="169" t="s">
        <v>21</v>
      </c>
      <c r="J37" s="168" t="s">
        <v>91</v>
      </c>
    </row>
    <row r="38" spans="1:10" s="68" customFormat="1" ht="103.5" customHeight="1" x14ac:dyDescent="0.25">
      <c r="A38" s="374"/>
      <c r="B38" s="272"/>
      <c r="C38" s="197" t="s">
        <v>16</v>
      </c>
      <c r="D38" s="192" t="s">
        <v>75</v>
      </c>
      <c r="E38" s="182" t="s">
        <v>89</v>
      </c>
      <c r="F38" s="357"/>
      <c r="G38" s="312" t="s">
        <v>19</v>
      </c>
      <c r="H38" s="313" t="s">
        <v>20</v>
      </c>
      <c r="I38" s="266" t="s">
        <v>92</v>
      </c>
      <c r="J38" s="168" t="s">
        <v>93</v>
      </c>
    </row>
    <row r="39" spans="1:10" s="68" customFormat="1" ht="32.25" customHeight="1" x14ac:dyDescent="0.25">
      <c r="A39" s="374"/>
      <c r="B39" s="272"/>
      <c r="C39" s="197" t="s">
        <v>26</v>
      </c>
      <c r="D39" s="192" t="s">
        <v>75</v>
      </c>
      <c r="E39" s="182" t="s">
        <v>89</v>
      </c>
      <c r="F39" s="356" t="s">
        <v>94</v>
      </c>
      <c r="G39" s="312" t="s">
        <v>61</v>
      </c>
      <c r="H39" s="313" t="s">
        <v>20</v>
      </c>
      <c r="I39" s="169" t="s">
        <v>21</v>
      </c>
      <c r="J39" s="168"/>
    </row>
    <row r="40" spans="1:10" s="68" customFormat="1" ht="87.75" customHeight="1" x14ac:dyDescent="0.25">
      <c r="A40" s="367"/>
      <c r="B40" s="272"/>
      <c r="C40" s="197" t="s">
        <v>26</v>
      </c>
      <c r="D40" s="192" t="s">
        <v>75</v>
      </c>
      <c r="E40" s="182" t="s">
        <v>89</v>
      </c>
      <c r="F40" s="357"/>
      <c r="G40" s="312" t="s">
        <v>95</v>
      </c>
      <c r="H40" s="313" t="s">
        <v>20</v>
      </c>
      <c r="I40" s="184" t="s">
        <v>96</v>
      </c>
      <c r="J40" s="300"/>
    </row>
    <row r="41" spans="1:10" s="66" customFormat="1" ht="42" customHeight="1" x14ac:dyDescent="0.25">
      <c r="A41" s="347">
        <v>14</v>
      </c>
      <c r="B41" s="368" t="s">
        <v>97</v>
      </c>
      <c r="C41" s="198" t="s">
        <v>23</v>
      </c>
      <c r="D41" s="128"/>
      <c r="E41" s="66" t="s">
        <v>98</v>
      </c>
      <c r="F41" s="347" t="s">
        <v>99</v>
      </c>
      <c r="G41" s="66" t="s">
        <v>61</v>
      </c>
      <c r="H41" s="314" t="s">
        <v>23</v>
      </c>
      <c r="I41" s="187" t="s">
        <v>100</v>
      </c>
      <c r="J41" s="301"/>
    </row>
    <row r="42" spans="1:10" s="66" customFormat="1" ht="41.25" customHeight="1" x14ac:dyDescent="0.25">
      <c r="A42" s="349"/>
      <c r="B42" s="369"/>
      <c r="C42" s="198" t="s">
        <v>23</v>
      </c>
      <c r="D42" s="128"/>
      <c r="E42" s="66" t="s">
        <v>98</v>
      </c>
      <c r="F42" s="349"/>
      <c r="G42" s="66" t="s">
        <v>39</v>
      </c>
      <c r="H42" s="314" t="s">
        <v>23</v>
      </c>
      <c r="I42" s="187" t="s">
        <v>101</v>
      </c>
      <c r="J42" s="301"/>
    </row>
    <row r="43" spans="1:10" s="66" customFormat="1" ht="45.75" customHeight="1" x14ac:dyDescent="0.25">
      <c r="A43" s="347">
        <v>15</v>
      </c>
      <c r="B43" s="369"/>
      <c r="C43" s="49" t="s">
        <v>23</v>
      </c>
      <c r="D43" s="128"/>
      <c r="E43" s="182" t="s">
        <v>102</v>
      </c>
      <c r="F43" s="347" t="s">
        <v>103</v>
      </c>
      <c r="G43" s="66" t="s">
        <v>61</v>
      </c>
      <c r="H43" s="314" t="s">
        <v>23</v>
      </c>
      <c r="I43" s="187" t="s">
        <v>104</v>
      </c>
      <c r="J43" s="301"/>
    </row>
    <row r="44" spans="1:10" s="66" customFormat="1" ht="42.75" customHeight="1" x14ac:dyDescent="0.25">
      <c r="A44" s="349"/>
      <c r="B44" s="369"/>
      <c r="C44" s="49" t="s">
        <v>23</v>
      </c>
      <c r="D44" s="128"/>
      <c r="E44" s="182" t="s">
        <v>102</v>
      </c>
      <c r="F44" s="349"/>
      <c r="G44" s="66" t="s">
        <v>39</v>
      </c>
      <c r="H44" s="314" t="s">
        <v>23</v>
      </c>
      <c r="I44" s="238" t="s">
        <v>21</v>
      </c>
      <c r="J44" s="302"/>
    </row>
    <row r="45" spans="1:10" s="66" customFormat="1" ht="51" customHeight="1" x14ac:dyDescent="0.25">
      <c r="A45" s="347">
        <v>16</v>
      </c>
      <c r="B45" s="369"/>
      <c r="C45" s="49" t="s">
        <v>23</v>
      </c>
      <c r="D45" s="128"/>
      <c r="E45" s="182" t="s">
        <v>102</v>
      </c>
      <c r="F45" s="347" t="s">
        <v>105</v>
      </c>
      <c r="G45" s="66" t="s">
        <v>61</v>
      </c>
      <c r="H45" s="314" t="s">
        <v>23</v>
      </c>
      <c r="I45" s="172" t="s">
        <v>106</v>
      </c>
    </row>
    <row r="46" spans="1:10" s="66" customFormat="1" ht="34.5" customHeight="1" x14ac:dyDescent="0.25">
      <c r="A46" s="349"/>
      <c r="B46" s="369"/>
      <c r="C46" s="49" t="s">
        <v>23</v>
      </c>
      <c r="D46" s="128"/>
      <c r="E46" s="182" t="s">
        <v>102</v>
      </c>
      <c r="F46" s="349"/>
      <c r="G46" s="66" t="s">
        <v>39</v>
      </c>
      <c r="H46" s="314" t="s">
        <v>23</v>
      </c>
      <c r="I46" s="238" t="s">
        <v>21</v>
      </c>
    </row>
    <row r="47" spans="1:10" s="66" customFormat="1" ht="74.25" customHeight="1" x14ac:dyDescent="0.25">
      <c r="A47" s="347">
        <v>17</v>
      </c>
      <c r="B47" s="369"/>
      <c r="C47" s="49" t="s">
        <v>23</v>
      </c>
      <c r="D47" s="128"/>
      <c r="E47" s="182" t="s">
        <v>107</v>
      </c>
      <c r="F47" s="347" t="s">
        <v>108</v>
      </c>
      <c r="G47" s="66" t="s">
        <v>61</v>
      </c>
      <c r="H47" s="314" t="s">
        <v>23</v>
      </c>
      <c r="I47" s="172" t="s">
        <v>109</v>
      </c>
    </row>
    <row r="48" spans="1:10" s="66" customFormat="1" ht="44.25" customHeight="1" x14ac:dyDescent="0.25">
      <c r="A48" s="349"/>
      <c r="B48" s="370"/>
      <c r="C48" s="49" t="s">
        <v>110</v>
      </c>
      <c r="D48" s="128"/>
      <c r="E48" s="182" t="s">
        <v>107</v>
      </c>
      <c r="F48" s="349"/>
      <c r="G48" s="66" t="s">
        <v>39</v>
      </c>
      <c r="H48" s="314" t="s">
        <v>23</v>
      </c>
      <c r="I48" s="172" t="s">
        <v>111</v>
      </c>
    </row>
    <row r="49" spans="1:10" s="66" customFormat="1" ht="24.95" customHeight="1" x14ac:dyDescent="0.25">
      <c r="A49" s="165"/>
      <c r="B49" s="188" t="s">
        <v>112</v>
      </c>
      <c r="C49" s="196"/>
      <c r="D49" s="191"/>
      <c r="E49" s="166"/>
      <c r="F49" s="250"/>
      <c r="G49" s="165"/>
      <c r="H49" s="250"/>
      <c r="I49" s="165"/>
      <c r="J49" s="72"/>
    </row>
    <row r="50" spans="1:10" s="185" customFormat="1" ht="36.75" customHeight="1" x14ac:dyDescent="0.25">
      <c r="A50" s="356">
        <v>18</v>
      </c>
      <c r="B50" s="371" t="s">
        <v>113</v>
      </c>
      <c r="C50" s="199" t="s">
        <v>23</v>
      </c>
      <c r="D50" s="231"/>
      <c r="E50" s="184" t="s">
        <v>114</v>
      </c>
      <c r="F50" s="354" t="s">
        <v>115</v>
      </c>
      <c r="G50" s="184" t="s">
        <v>61</v>
      </c>
      <c r="H50" s="254" t="s">
        <v>23</v>
      </c>
      <c r="I50" s="184" t="s">
        <v>116</v>
      </c>
    </row>
    <row r="51" spans="1:10" s="185" customFormat="1" ht="56.25" customHeight="1" x14ac:dyDescent="0.25">
      <c r="A51" s="357"/>
      <c r="B51" s="372"/>
      <c r="C51" s="199" t="s">
        <v>23</v>
      </c>
      <c r="D51" s="231"/>
      <c r="E51" s="184" t="s">
        <v>117</v>
      </c>
      <c r="F51" s="355"/>
      <c r="G51" s="184" t="s">
        <v>39</v>
      </c>
      <c r="H51" s="254" t="s">
        <v>23</v>
      </c>
      <c r="I51" s="184" t="s">
        <v>118</v>
      </c>
    </row>
    <row r="52" spans="1:10" s="168" customFormat="1" ht="72.75" customHeight="1" x14ac:dyDescent="0.25">
      <c r="A52" s="356">
        <v>19</v>
      </c>
      <c r="B52" s="376" t="s">
        <v>119</v>
      </c>
      <c r="C52" s="47" t="s">
        <v>23</v>
      </c>
      <c r="D52" s="192"/>
      <c r="E52" s="312" t="s">
        <v>120</v>
      </c>
      <c r="F52" s="356" t="s">
        <v>121</v>
      </c>
      <c r="G52" s="168" t="s">
        <v>33</v>
      </c>
      <c r="H52" s="313" t="s">
        <v>23</v>
      </c>
      <c r="I52" s="185" t="s">
        <v>122</v>
      </c>
    </row>
    <row r="53" spans="1:10" s="168" customFormat="1" ht="38.25" customHeight="1" x14ac:dyDescent="0.25">
      <c r="A53" s="357"/>
      <c r="B53" s="377"/>
      <c r="C53" s="47" t="s">
        <v>23</v>
      </c>
      <c r="D53" s="192"/>
      <c r="E53" s="312" t="s">
        <v>120</v>
      </c>
      <c r="F53" s="357"/>
      <c r="G53" s="168" t="s">
        <v>19</v>
      </c>
      <c r="H53" s="313" t="s">
        <v>23</v>
      </c>
      <c r="I53" s="168" t="s">
        <v>21</v>
      </c>
    </row>
    <row r="54" spans="1:10" s="168" customFormat="1" ht="25.5" customHeight="1" x14ac:dyDescent="0.2">
      <c r="A54" s="356">
        <v>20</v>
      </c>
      <c r="B54" s="377"/>
      <c r="C54" s="362" t="s">
        <v>26</v>
      </c>
      <c r="D54" s="364"/>
      <c r="E54" s="356" t="s">
        <v>120</v>
      </c>
      <c r="F54" s="390" t="s">
        <v>123</v>
      </c>
      <c r="G54" s="168" t="s">
        <v>61</v>
      </c>
      <c r="H54" s="313" t="s">
        <v>23</v>
      </c>
      <c r="I54" s="230" t="s">
        <v>21</v>
      </c>
      <c r="J54" s="313"/>
    </row>
    <row r="55" spans="1:10" s="168" customFormat="1" ht="31.5" customHeight="1" x14ac:dyDescent="0.25">
      <c r="A55" s="357"/>
      <c r="B55" s="377"/>
      <c r="C55" s="363"/>
      <c r="D55" s="365"/>
      <c r="E55" s="357"/>
      <c r="F55" s="391"/>
      <c r="G55" s="168" t="s">
        <v>39</v>
      </c>
      <c r="H55" s="313" t="s">
        <v>23</v>
      </c>
      <c r="I55" s="203" t="s">
        <v>124</v>
      </c>
      <c r="J55" s="313"/>
    </row>
    <row r="56" spans="1:10" s="168" customFormat="1" ht="51" customHeight="1" x14ac:dyDescent="0.25">
      <c r="A56" s="356">
        <v>21</v>
      </c>
      <c r="B56" s="377"/>
      <c r="C56" s="232" t="s">
        <v>26</v>
      </c>
      <c r="D56" s="192"/>
      <c r="E56" s="312" t="s">
        <v>125</v>
      </c>
      <c r="F56" s="356" t="s">
        <v>126</v>
      </c>
      <c r="G56" s="168" t="s">
        <v>61</v>
      </c>
      <c r="H56" s="313" t="s">
        <v>23</v>
      </c>
      <c r="I56" s="238" t="s">
        <v>21</v>
      </c>
      <c r="J56" s="185"/>
    </row>
    <row r="57" spans="1:10" s="168" customFormat="1" ht="86.25" customHeight="1" x14ac:dyDescent="0.25">
      <c r="A57" s="357"/>
      <c r="B57" s="377"/>
      <c r="C57" s="232" t="s">
        <v>26</v>
      </c>
      <c r="D57" s="192"/>
      <c r="E57" s="312" t="s">
        <v>127</v>
      </c>
      <c r="F57" s="357"/>
      <c r="G57" s="168" t="s">
        <v>95</v>
      </c>
      <c r="H57" s="255" t="s">
        <v>23</v>
      </c>
      <c r="I57" s="173" t="s">
        <v>128</v>
      </c>
      <c r="J57" s="185"/>
    </row>
    <row r="58" spans="1:10" s="168" customFormat="1" ht="24" customHeight="1" x14ac:dyDescent="0.25">
      <c r="A58" s="356">
        <v>22</v>
      </c>
      <c r="B58" s="377"/>
      <c r="C58" s="47" t="s">
        <v>16</v>
      </c>
      <c r="D58" s="192"/>
      <c r="E58" s="312" t="s">
        <v>129</v>
      </c>
      <c r="F58" s="356" t="s">
        <v>130</v>
      </c>
      <c r="G58" s="168" t="s">
        <v>39</v>
      </c>
      <c r="H58" s="313" t="s">
        <v>23</v>
      </c>
      <c r="I58" s="168" t="s">
        <v>131</v>
      </c>
    </row>
    <row r="59" spans="1:10" s="168" customFormat="1" ht="46.5" customHeight="1" x14ac:dyDescent="0.25">
      <c r="A59" s="373"/>
      <c r="B59" s="377"/>
      <c r="C59" s="47" t="s">
        <v>16</v>
      </c>
      <c r="D59" s="192"/>
      <c r="E59" s="312" t="s">
        <v>129</v>
      </c>
      <c r="F59" s="357"/>
      <c r="G59" s="168" t="s">
        <v>61</v>
      </c>
      <c r="H59" s="313" t="s">
        <v>23</v>
      </c>
      <c r="I59" s="168" t="s">
        <v>132</v>
      </c>
    </row>
    <row r="60" spans="1:10" s="168" customFormat="1" ht="47.25" customHeight="1" x14ac:dyDescent="0.25">
      <c r="A60" s="373"/>
      <c r="B60" s="377"/>
      <c r="C60" s="47" t="s">
        <v>26</v>
      </c>
      <c r="D60" s="192"/>
      <c r="E60" s="312" t="s">
        <v>129</v>
      </c>
      <c r="F60" s="354" t="s">
        <v>133</v>
      </c>
      <c r="G60" s="184" t="s">
        <v>61</v>
      </c>
      <c r="H60" s="267" t="s">
        <v>134</v>
      </c>
      <c r="I60" s="184" t="s">
        <v>135</v>
      </c>
      <c r="J60" s="168" t="s">
        <v>136</v>
      </c>
    </row>
    <row r="61" spans="1:10" s="168" customFormat="1" ht="25.5" customHeight="1" x14ac:dyDescent="0.25">
      <c r="A61" s="373"/>
      <c r="B61" s="377"/>
      <c r="C61" s="47" t="s">
        <v>26</v>
      </c>
      <c r="D61" s="192"/>
      <c r="E61" s="312" t="s">
        <v>129</v>
      </c>
      <c r="F61" s="358"/>
      <c r="G61" s="184" t="s">
        <v>61</v>
      </c>
      <c r="H61" s="254" t="s">
        <v>137</v>
      </c>
      <c r="I61" s="238" t="s">
        <v>21</v>
      </c>
    </row>
    <row r="62" spans="1:10" s="168" customFormat="1" ht="81.75" customHeight="1" x14ac:dyDescent="0.25">
      <c r="A62" s="357"/>
      <c r="B62" s="377"/>
      <c r="C62" s="47" t="s">
        <v>26</v>
      </c>
      <c r="D62" s="192"/>
      <c r="E62" s="312" t="s">
        <v>129</v>
      </c>
      <c r="F62" s="355"/>
      <c r="G62" s="184" t="s">
        <v>39</v>
      </c>
      <c r="H62" s="254" t="s">
        <v>23</v>
      </c>
      <c r="I62" s="184" t="s">
        <v>138</v>
      </c>
      <c r="J62" s="184" t="s">
        <v>139</v>
      </c>
    </row>
    <row r="63" spans="1:10" s="168" customFormat="1" ht="49.5" customHeight="1" x14ac:dyDescent="0.25">
      <c r="A63" s="356">
        <v>23</v>
      </c>
      <c r="B63" s="377"/>
      <c r="C63" s="47" t="s">
        <v>16</v>
      </c>
      <c r="D63" s="192"/>
      <c r="E63" s="312" t="s">
        <v>140</v>
      </c>
      <c r="F63" s="403" t="s">
        <v>141</v>
      </c>
      <c r="G63" s="168" t="s">
        <v>61</v>
      </c>
      <c r="H63" s="313" t="s">
        <v>142</v>
      </c>
      <c r="I63" s="168" t="s">
        <v>143</v>
      </c>
      <c r="J63" s="168" t="s">
        <v>136</v>
      </c>
    </row>
    <row r="64" spans="1:10" s="168" customFormat="1" ht="39.75" customHeight="1" x14ac:dyDescent="0.25">
      <c r="A64" s="373"/>
      <c r="B64" s="377"/>
      <c r="C64" s="47" t="s">
        <v>16</v>
      </c>
      <c r="D64" s="192"/>
      <c r="E64" s="312" t="s">
        <v>140</v>
      </c>
      <c r="F64" s="404"/>
      <c r="G64" s="168" t="s">
        <v>39</v>
      </c>
      <c r="H64" s="313" t="s">
        <v>137</v>
      </c>
      <c r="I64" s="168" t="s">
        <v>144</v>
      </c>
    </row>
    <row r="65" spans="1:10" s="168" customFormat="1" ht="55.15" customHeight="1" x14ac:dyDescent="0.25">
      <c r="A65" s="373"/>
      <c r="B65" s="377"/>
      <c r="C65" s="47" t="s">
        <v>16</v>
      </c>
      <c r="D65" s="192"/>
      <c r="E65" s="312" t="s">
        <v>140</v>
      </c>
      <c r="F65" s="404"/>
      <c r="G65" s="168" t="s">
        <v>61</v>
      </c>
      <c r="H65" s="267" t="s">
        <v>134</v>
      </c>
      <c r="I65" s="184" t="s">
        <v>145</v>
      </c>
    </row>
    <row r="66" spans="1:10" s="168" customFormat="1" ht="96.75" customHeight="1" x14ac:dyDescent="0.25">
      <c r="A66" s="373"/>
      <c r="B66" s="377"/>
      <c r="C66" s="47" t="s">
        <v>16</v>
      </c>
      <c r="D66" s="192"/>
      <c r="E66" s="312" t="s">
        <v>140</v>
      </c>
      <c r="F66" s="405"/>
      <c r="G66" s="168" t="s">
        <v>95</v>
      </c>
      <c r="H66" s="267" t="s">
        <v>134</v>
      </c>
      <c r="I66" s="168" t="s">
        <v>146</v>
      </c>
    </row>
    <row r="67" spans="1:10" s="168" customFormat="1" ht="49.5" customHeight="1" x14ac:dyDescent="0.25">
      <c r="A67" s="373"/>
      <c r="B67" s="377"/>
      <c r="C67" s="47" t="s">
        <v>26</v>
      </c>
      <c r="D67" s="268" t="s">
        <v>147</v>
      </c>
      <c r="E67" s="312" t="s">
        <v>140</v>
      </c>
      <c r="F67" s="354" t="s">
        <v>148</v>
      </c>
      <c r="G67" s="168" t="s">
        <v>61</v>
      </c>
      <c r="H67" s="313" t="s">
        <v>23</v>
      </c>
      <c r="I67" s="168" t="s">
        <v>149</v>
      </c>
      <c r="J67" s="168" t="s">
        <v>150</v>
      </c>
    </row>
    <row r="68" spans="1:10" s="168" customFormat="1" ht="87.75" customHeight="1" x14ac:dyDescent="0.25">
      <c r="A68" s="373"/>
      <c r="B68" s="377"/>
      <c r="C68" s="47" t="s">
        <v>26</v>
      </c>
      <c r="D68" s="268" t="s">
        <v>147</v>
      </c>
      <c r="E68" s="312" t="s">
        <v>140</v>
      </c>
      <c r="F68" s="358"/>
      <c r="G68" s="168" t="s">
        <v>95</v>
      </c>
      <c r="H68" s="313" t="s">
        <v>137</v>
      </c>
      <c r="I68" s="184" t="s">
        <v>151</v>
      </c>
    </row>
    <row r="69" spans="1:10" s="168" customFormat="1" ht="105.75" customHeight="1" x14ac:dyDescent="0.25">
      <c r="A69" s="357"/>
      <c r="B69" s="377"/>
      <c r="C69" s="47" t="s">
        <v>26</v>
      </c>
      <c r="D69" s="268" t="s">
        <v>147</v>
      </c>
      <c r="E69" s="312" t="s">
        <v>140</v>
      </c>
      <c r="F69" s="355"/>
      <c r="G69" s="168" t="s">
        <v>95</v>
      </c>
      <c r="H69" s="267" t="s">
        <v>134</v>
      </c>
      <c r="I69" s="184" t="s">
        <v>152</v>
      </c>
    </row>
    <row r="70" spans="1:10" s="168" customFormat="1" ht="53.25" customHeight="1" x14ac:dyDescent="0.25">
      <c r="A70" s="356">
        <v>24</v>
      </c>
      <c r="B70" s="377"/>
      <c r="C70" s="47" t="s">
        <v>16</v>
      </c>
      <c r="D70" s="192"/>
      <c r="E70" s="312" t="s">
        <v>153</v>
      </c>
      <c r="F70" s="359" t="s">
        <v>154</v>
      </c>
      <c r="G70" s="168" t="s">
        <v>61</v>
      </c>
      <c r="H70" s="313" t="s">
        <v>23</v>
      </c>
      <c r="I70" s="184" t="s">
        <v>155</v>
      </c>
      <c r="J70" s="168" t="s">
        <v>156</v>
      </c>
    </row>
    <row r="71" spans="1:10" s="168" customFormat="1" ht="46.5" customHeight="1" x14ac:dyDescent="0.25">
      <c r="A71" s="373"/>
      <c r="B71" s="377"/>
      <c r="C71" s="47" t="s">
        <v>16</v>
      </c>
      <c r="D71" s="192"/>
      <c r="E71" s="312" t="s">
        <v>153</v>
      </c>
      <c r="F71" s="360"/>
      <c r="G71" s="168" t="s">
        <v>39</v>
      </c>
      <c r="H71" s="313" t="s">
        <v>137</v>
      </c>
      <c r="I71" s="238" t="s">
        <v>21</v>
      </c>
    </row>
    <row r="72" spans="1:10" s="168" customFormat="1" ht="46.5" customHeight="1" x14ac:dyDescent="0.25">
      <c r="A72" s="373"/>
      <c r="B72" s="377"/>
      <c r="C72" s="47" t="s">
        <v>16</v>
      </c>
      <c r="D72" s="192"/>
      <c r="E72" s="312" t="s">
        <v>157</v>
      </c>
      <c r="F72" s="361"/>
      <c r="G72" s="168" t="s">
        <v>39</v>
      </c>
      <c r="H72" s="267" t="s">
        <v>134</v>
      </c>
      <c r="I72" s="184" t="s">
        <v>158</v>
      </c>
    </row>
    <row r="73" spans="1:10" s="168" customFormat="1" ht="46.5" customHeight="1" x14ac:dyDescent="0.25">
      <c r="A73" s="373"/>
      <c r="B73" s="377"/>
      <c r="C73" s="47" t="s">
        <v>26</v>
      </c>
      <c r="D73" s="192" t="s">
        <v>159</v>
      </c>
      <c r="E73" s="312" t="s">
        <v>153</v>
      </c>
      <c r="F73" s="354" t="s">
        <v>160</v>
      </c>
      <c r="G73" s="168" t="s">
        <v>39</v>
      </c>
      <c r="H73" s="313" t="s">
        <v>137</v>
      </c>
      <c r="I73" s="184" t="s">
        <v>161</v>
      </c>
      <c r="J73" s="168" t="s">
        <v>162</v>
      </c>
    </row>
    <row r="74" spans="1:10" s="168" customFormat="1" ht="46.5" customHeight="1" x14ac:dyDescent="0.25">
      <c r="A74" s="373"/>
      <c r="B74" s="377"/>
      <c r="C74" s="47" t="s">
        <v>26</v>
      </c>
      <c r="D74" s="192" t="s">
        <v>159</v>
      </c>
      <c r="E74" s="312" t="s">
        <v>153</v>
      </c>
      <c r="F74" s="358"/>
      <c r="G74" s="168" t="s">
        <v>95</v>
      </c>
      <c r="H74" s="267" t="s">
        <v>134</v>
      </c>
      <c r="I74" s="184" t="s">
        <v>163</v>
      </c>
    </row>
    <row r="75" spans="1:10" s="168" customFormat="1" ht="46.5" customHeight="1" x14ac:dyDescent="0.25">
      <c r="A75" s="373"/>
      <c r="B75" s="377"/>
      <c r="C75" s="47" t="s">
        <v>26</v>
      </c>
      <c r="D75" s="192" t="s">
        <v>159</v>
      </c>
      <c r="E75" s="312" t="s">
        <v>153</v>
      </c>
      <c r="F75" s="358"/>
      <c r="G75" s="168" t="s">
        <v>61</v>
      </c>
      <c r="H75" s="267" t="s">
        <v>134</v>
      </c>
      <c r="I75" s="168" t="s">
        <v>164</v>
      </c>
    </row>
    <row r="76" spans="1:10" s="168" customFormat="1" ht="38.25" customHeight="1" x14ac:dyDescent="0.25">
      <c r="A76" s="357"/>
      <c r="B76" s="377"/>
      <c r="C76" s="47" t="s">
        <v>26</v>
      </c>
      <c r="D76" s="192" t="s">
        <v>159</v>
      </c>
      <c r="E76" s="312" t="s">
        <v>157</v>
      </c>
      <c r="F76" s="355"/>
      <c r="G76" s="168" t="s">
        <v>61</v>
      </c>
      <c r="H76" s="313" t="s">
        <v>137</v>
      </c>
      <c r="I76" s="238" t="s">
        <v>21</v>
      </c>
    </row>
    <row r="77" spans="1:10" s="168" customFormat="1" ht="104.25" customHeight="1" x14ac:dyDescent="0.2">
      <c r="A77" s="356">
        <v>25</v>
      </c>
      <c r="B77" s="377"/>
      <c r="C77" s="47" t="s">
        <v>26</v>
      </c>
      <c r="D77" s="192"/>
      <c r="E77" s="312" t="s">
        <v>165</v>
      </c>
      <c r="F77" s="356" t="s">
        <v>166</v>
      </c>
      <c r="G77" s="168" t="s">
        <v>61</v>
      </c>
      <c r="H77" s="267" t="s">
        <v>134</v>
      </c>
      <c r="I77" s="235" t="s">
        <v>167</v>
      </c>
    </row>
    <row r="78" spans="1:10" s="168" customFormat="1" ht="43.5" customHeight="1" x14ac:dyDescent="0.25">
      <c r="A78" s="373"/>
      <c r="B78" s="377"/>
      <c r="C78" s="47" t="s">
        <v>26</v>
      </c>
      <c r="D78" s="192"/>
      <c r="E78" s="312" t="s">
        <v>165</v>
      </c>
      <c r="F78" s="373"/>
      <c r="G78" s="168" t="s">
        <v>61</v>
      </c>
      <c r="H78" s="313" t="s">
        <v>137</v>
      </c>
      <c r="I78" s="234" t="s">
        <v>168</v>
      </c>
    </row>
    <row r="79" spans="1:10" s="168" customFormat="1" ht="46.5" customHeight="1" x14ac:dyDescent="0.25">
      <c r="A79" s="373"/>
      <c r="B79" s="377"/>
      <c r="C79" s="47" t="s">
        <v>26</v>
      </c>
      <c r="D79" s="192"/>
      <c r="E79" s="312" t="s">
        <v>165</v>
      </c>
      <c r="F79" s="373"/>
      <c r="G79" s="168" t="s">
        <v>95</v>
      </c>
      <c r="H79" s="267" t="s">
        <v>134</v>
      </c>
      <c r="I79" s="279" t="s">
        <v>169</v>
      </c>
    </row>
    <row r="80" spans="1:10" s="168" customFormat="1" ht="46.5" customHeight="1" x14ac:dyDescent="0.25">
      <c r="A80" s="373"/>
      <c r="B80" s="377"/>
      <c r="C80" s="47" t="s">
        <v>26</v>
      </c>
      <c r="D80" s="192"/>
      <c r="E80" s="312" t="s">
        <v>165</v>
      </c>
      <c r="F80" s="357"/>
      <c r="G80" s="168" t="s">
        <v>95</v>
      </c>
      <c r="H80" s="313" t="s">
        <v>137</v>
      </c>
      <c r="I80" s="237" t="s">
        <v>170</v>
      </c>
    </row>
    <row r="81" spans="1:10" s="168" customFormat="1" ht="55.15" customHeight="1" x14ac:dyDescent="0.25">
      <c r="A81" s="373"/>
      <c r="B81" s="377"/>
      <c r="C81" s="47" t="s">
        <v>16</v>
      </c>
      <c r="D81" s="192"/>
      <c r="E81" s="312" t="s">
        <v>165</v>
      </c>
      <c r="F81" s="379" t="s">
        <v>171</v>
      </c>
      <c r="G81" s="168" t="s">
        <v>61</v>
      </c>
      <c r="H81" s="267" t="s">
        <v>134</v>
      </c>
      <c r="I81" s="278" t="s">
        <v>172</v>
      </c>
    </row>
    <row r="82" spans="1:10" s="168" customFormat="1" ht="46.5" customHeight="1" x14ac:dyDescent="0.25">
      <c r="A82" s="373"/>
      <c r="B82" s="377"/>
      <c r="C82" s="47" t="s">
        <v>16</v>
      </c>
      <c r="D82" s="192"/>
      <c r="E82" s="312" t="s">
        <v>165</v>
      </c>
      <c r="F82" s="402"/>
      <c r="G82" s="168" t="s">
        <v>61</v>
      </c>
      <c r="H82" s="313" t="s">
        <v>137</v>
      </c>
      <c r="I82" s="237" t="s">
        <v>172</v>
      </c>
    </row>
    <row r="83" spans="1:10" s="168" customFormat="1" ht="46.5" customHeight="1" x14ac:dyDescent="0.25">
      <c r="A83" s="373"/>
      <c r="B83" s="377"/>
      <c r="C83" s="47" t="s">
        <v>16</v>
      </c>
      <c r="D83" s="192"/>
      <c r="E83" s="312" t="s">
        <v>165</v>
      </c>
      <c r="F83" s="402"/>
      <c r="G83" s="168" t="s">
        <v>95</v>
      </c>
      <c r="H83" s="267" t="s">
        <v>134</v>
      </c>
      <c r="I83" s="239" t="s">
        <v>173</v>
      </c>
    </row>
    <row r="84" spans="1:10" s="168" customFormat="1" ht="36.75" customHeight="1" x14ac:dyDescent="0.25">
      <c r="A84" s="357"/>
      <c r="B84" s="377"/>
      <c r="C84" s="47" t="s">
        <v>16</v>
      </c>
      <c r="D84" s="192"/>
      <c r="E84" s="312" t="s">
        <v>165</v>
      </c>
      <c r="F84" s="380"/>
      <c r="G84" s="168" t="s">
        <v>95</v>
      </c>
      <c r="H84" s="313" t="s">
        <v>137</v>
      </c>
      <c r="I84" s="240" t="s">
        <v>21</v>
      </c>
    </row>
    <row r="85" spans="1:10" s="168" customFormat="1" ht="44.25" customHeight="1" x14ac:dyDescent="0.25">
      <c r="A85" s="356">
        <v>26</v>
      </c>
      <c r="B85" s="377"/>
      <c r="C85" s="198" t="s">
        <v>16</v>
      </c>
      <c r="D85" s="128"/>
      <c r="E85" s="66" t="s">
        <v>174</v>
      </c>
      <c r="F85" s="347" t="s">
        <v>175</v>
      </c>
      <c r="G85" s="66" t="s">
        <v>39</v>
      </c>
      <c r="H85" s="314" t="s">
        <v>23</v>
      </c>
      <c r="I85" s="241" t="s">
        <v>21</v>
      </c>
    </row>
    <row r="86" spans="1:10" s="168" customFormat="1" ht="72.75" customHeight="1" x14ac:dyDescent="0.25">
      <c r="A86" s="373"/>
      <c r="B86" s="377"/>
      <c r="C86" s="198" t="s">
        <v>16</v>
      </c>
      <c r="D86" s="128"/>
      <c r="E86" s="66" t="s">
        <v>174</v>
      </c>
      <c r="F86" s="348"/>
      <c r="G86" s="66" t="s">
        <v>61</v>
      </c>
      <c r="H86" s="314" t="s">
        <v>137</v>
      </c>
      <c r="I86" s="279" t="s">
        <v>176</v>
      </c>
    </row>
    <row r="87" spans="1:10" s="168" customFormat="1" ht="89.25" customHeight="1" x14ac:dyDescent="0.2">
      <c r="A87" s="373"/>
      <c r="B87" s="377"/>
      <c r="C87" s="198" t="s">
        <v>16</v>
      </c>
      <c r="D87" s="128"/>
      <c r="E87" s="66" t="s">
        <v>174</v>
      </c>
      <c r="F87" s="349"/>
      <c r="G87" s="66" t="s">
        <v>61</v>
      </c>
      <c r="H87" s="267" t="s">
        <v>177</v>
      </c>
      <c r="I87" s="236" t="s">
        <v>178</v>
      </c>
    </row>
    <row r="88" spans="1:10" s="168" customFormat="1" ht="26.25" customHeight="1" x14ac:dyDescent="0.25">
      <c r="A88" s="373">
        <v>27</v>
      </c>
      <c r="B88" s="377"/>
      <c r="C88" s="198" t="s">
        <v>23</v>
      </c>
      <c r="D88" s="128"/>
      <c r="E88" s="66" t="s">
        <v>174</v>
      </c>
      <c r="F88" s="347" t="s">
        <v>179</v>
      </c>
      <c r="G88" s="66" t="s">
        <v>95</v>
      </c>
      <c r="H88" s="314" t="s">
        <v>23</v>
      </c>
      <c r="I88" s="238" t="s">
        <v>21</v>
      </c>
    </row>
    <row r="89" spans="1:10" s="168" customFormat="1" ht="42" customHeight="1" x14ac:dyDescent="0.25">
      <c r="A89" s="373"/>
      <c r="B89" s="377"/>
      <c r="C89" s="198" t="s">
        <v>23</v>
      </c>
      <c r="D89" s="128"/>
      <c r="E89" s="66" t="s">
        <v>174</v>
      </c>
      <c r="F89" s="348"/>
      <c r="G89" s="66" t="s">
        <v>180</v>
      </c>
      <c r="H89" s="314" t="s">
        <v>137</v>
      </c>
      <c r="I89" s="69" t="s">
        <v>181</v>
      </c>
    </row>
    <row r="90" spans="1:10" s="168" customFormat="1" ht="117.75" customHeight="1" x14ac:dyDescent="0.25">
      <c r="A90" s="357"/>
      <c r="B90" s="377"/>
      <c r="C90" s="198" t="s">
        <v>23</v>
      </c>
      <c r="D90" s="128"/>
      <c r="E90" s="66" t="s">
        <v>174</v>
      </c>
      <c r="F90" s="349"/>
      <c r="G90" s="66" t="s">
        <v>180</v>
      </c>
      <c r="H90" s="267" t="s">
        <v>177</v>
      </c>
      <c r="I90" s="242" t="s">
        <v>182</v>
      </c>
    </row>
    <row r="91" spans="1:10" s="168" customFormat="1" ht="27.75" customHeight="1" x14ac:dyDescent="0.25">
      <c r="A91" s="356">
        <v>28</v>
      </c>
      <c r="B91" s="377"/>
      <c r="C91" s="198" t="s">
        <v>16</v>
      </c>
      <c r="D91" s="128"/>
      <c r="E91" s="66" t="s">
        <v>183</v>
      </c>
      <c r="F91" s="388" t="s">
        <v>184</v>
      </c>
      <c r="G91" s="66" t="s">
        <v>39</v>
      </c>
      <c r="H91" s="314" t="s">
        <v>23</v>
      </c>
      <c r="I91" s="238" t="s">
        <v>21</v>
      </c>
    </row>
    <row r="92" spans="1:10" s="168" customFormat="1" ht="30" customHeight="1" x14ac:dyDescent="0.25">
      <c r="A92" s="373"/>
      <c r="B92" s="377"/>
      <c r="C92" s="198" t="s">
        <v>16</v>
      </c>
      <c r="D92" s="128"/>
      <c r="E92" s="66" t="s">
        <v>183</v>
      </c>
      <c r="F92" s="389"/>
      <c r="G92" s="66" t="s">
        <v>61</v>
      </c>
      <c r="H92" s="314" t="s">
        <v>23</v>
      </c>
      <c r="I92" s="184" t="s">
        <v>185</v>
      </c>
    </row>
    <row r="93" spans="1:10" s="168" customFormat="1" ht="54.75" customHeight="1" x14ac:dyDescent="0.25">
      <c r="A93" s="373"/>
      <c r="B93" s="377"/>
      <c r="C93" s="198" t="s">
        <v>23</v>
      </c>
      <c r="D93" s="128"/>
      <c r="E93" s="66" t="s">
        <v>183</v>
      </c>
      <c r="F93" s="347" t="s">
        <v>186</v>
      </c>
      <c r="G93" s="66" t="s">
        <v>61</v>
      </c>
      <c r="H93" s="314" t="s">
        <v>23</v>
      </c>
      <c r="I93" s="242" t="s">
        <v>187</v>
      </c>
    </row>
    <row r="94" spans="1:10" s="168" customFormat="1" ht="34.5" customHeight="1" x14ac:dyDescent="0.25">
      <c r="A94" s="357"/>
      <c r="B94" s="377"/>
      <c r="C94" s="198" t="s">
        <v>23</v>
      </c>
      <c r="D94" s="128"/>
      <c r="E94" s="66" t="s">
        <v>183</v>
      </c>
      <c r="F94" s="349"/>
      <c r="G94" s="66" t="s">
        <v>39</v>
      </c>
      <c r="H94" s="314" t="s">
        <v>23</v>
      </c>
      <c r="I94" s="247" t="s">
        <v>21</v>
      </c>
    </row>
    <row r="95" spans="1:10" s="168" customFormat="1" ht="42.75" customHeight="1" x14ac:dyDescent="0.25">
      <c r="A95" s="356">
        <v>29</v>
      </c>
      <c r="B95" s="377"/>
      <c r="C95" s="198" t="s">
        <v>26</v>
      </c>
      <c r="D95" s="128"/>
      <c r="E95" s="66" t="s">
        <v>188</v>
      </c>
      <c r="F95" s="352" t="s">
        <v>189</v>
      </c>
      <c r="G95" s="66" t="s">
        <v>95</v>
      </c>
      <c r="H95" s="314" t="s">
        <v>23</v>
      </c>
      <c r="I95" s="238" t="s">
        <v>21</v>
      </c>
      <c r="J95" s="184"/>
    </row>
    <row r="96" spans="1:10" s="168" customFormat="1" ht="51.75" customHeight="1" x14ac:dyDescent="0.2">
      <c r="A96" s="357"/>
      <c r="B96" s="377"/>
      <c r="C96" s="198" t="s">
        <v>26</v>
      </c>
      <c r="D96" s="128"/>
      <c r="E96" s="66" t="s">
        <v>188</v>
      </c>
      <c r="F96" s="353"/>
      <c r="G96" s="66" t="s">
        <v>61</v>
      </c>
      <c r="H96" s="314" t="s">
        <v>23</v>
      </c>
      <c r="I96" s="66" t="s">
        <v>190</v>
      </c>
      <c r="J96" s="271" t="s">
        <v>191</v>
      </c>
    </row>
    <row r="97" spans="1:10" s="168" customFormat="1" ht="36.75" customHeight="1" x14ac:dyDescent="0.25">
      <c r="A97" s="356">
        <v>30</v>
      </c>
      <c r="B97" s="377"/>
      <c r="C97" s="198" t="s">
        <v>23</v>
      </c>
      <c r="D97" s="128"/>
      <c r="E97" s="66" t="s">
        <v>192</v>
      </c>
      <c r="F97" s="354" t="s">
        <v>193</v>
      </c>
      <c r="G97" s="66" t="s">
        <v>39</v>
      </c>
      <c r="H97" s="314" t="s">
        <v>23</v>
      </c>
      <c r="I97" s="238" t="s">
        <v>21</v>
      </c>
      <c r="J97" s="184"/>
    </row>
    <row r="98" spans="1:10" s="168" customFormat="1" ht="54.75" customHeight="1" x14ac:dyDescent="0.25">
      <c r="A98" s="357"/>
      <c r="B98" s="377"/>
      <c r="C98" s="198" t="s">
        <v>23</v>
      </c>
      <c r="D98" s="128"/>
      <c r="E98" s="66" t="s">
        <v>192</v>
      </c>
      <c r="F98" s="355"/>
      <c r="G98" s="66" t="s">
        <v>61</v>
      </c>
      <c r="H98" s="314" t="s">
        <v>23</v>
      </c>
      <c r="I98" s="66" t="s">
        <v>194</v>
      </c>
    </row>
    <row r="99" spans="1:10" s="168" customFormat="1" ht="37.5" customHeight="1" x14ac:dyDescent="0.25">
      <c r="A99" s="356">
        <v>31</v>
      </c>
      <c r="B99" s="377"/>
      <c r="C99" s="198" t="s">
        <v>26</v>
      </c>
      <c r="D99" s="128"/>
      <c r="E99" s="66" t="s">
        <v>195</v>
      </c>
      <c r="F99" s="347" t="s">
        <v>196</v>
      </c>
      <c r="G99" s="66" t="s">
        <v>39</v>
      </c>
      <c r="H99" s="314" t="s">
        <v>23</v>
      </c>
      <c r="I99" s="238" t="s">
        <v>21</v>
      </c>
    </row>
    <row r="100" spans="1:10" s="168" customFormat="1" ht="52.5" customHeight="1" x14ac:dyDescent="0.25">
      <c r="A100" s="357"/>
      <c r="B100" s="378"/>
      <c r="C100" s="198" t="s">
        <v>26</v>
      </c>
      <c r="D100" s="128"/>
      <c r="E100" s="66" t="s">
        <v>195</v>
      </c>
      <c r="F100" s="349"/>
      <c r="G100" s="66" t="s">
        <v>61</v>
      </c>
      <c r="H100" s="314" t="s">
        <v>23</v>
      </c>
      <c r="I100" s="66" t="s">
        <v>197</v>
      </c>
    </row>
    <row r="101" spans="1:10" s="168" customFormat="1" ht="36" customHeight="1" x14ac:dyDescent="0.25">
      <c r="A101" s="356">
        <v>32</v>
      </c>
      <c r="B101" s="376" t="s">
        <v>198</v>
      </c>
      <c r="C101" s="47" t="s">
        <v>23</v>
      </c>
      <c r="D101" s="192"/>
      <c r="E101" s="312" t="s">
        <v>199</v>
      </c>
      <c r="F101" s="347" t="s">
        <v>200</v>
      </c>
      <c r="G101" s="168" t="s">
        <v>180</v>
      </c>
      <c r="H101" s="313" t="s">
        <v>23</v>
      </c>
      <c r="I101" s="238" t="s">
        <v>201</v>
      </c>
    </row>
    <row r="102" spans="1:10" s="168" customFormat="1" ht="50.25" customHeight="1" x14ac:dyDescent="0.25">
      <c r="A102" s="357"/>
      <c r="B102" s="377"/>
      <c r="C102" s="47" t="s">
        <v>23</v>
      </c>
      <c r="D102" s="192"/>
      <c r="E102" s="312" t="s">
        <v>199</v>
      </c>
      <c r="F102" s="349"/>
      <c r="G102" s="168" t="s">
        <v>39</v>
      </c>
      <c r="H102" s="313" t="s">
        <v>23</v>
      </c>
      <c r="I102" s="168" t="s">
        <v>202</v>
      </c>
    </row>
    <row r="103" spans="1:10" s="168" customFormat="1" ht="41.45" customHeight="1" x14ac:dyDescent="0.25">
      <c r="A103" s="356">
        <v>33</v>
      </c>
      <c r="B103" s="377"/>
      <c r="C103" s="47" t="s">
        <v>16</v>
      </c>
      <c r="D103" s="192"/>
      <c r="E103" s="312" t="s">
        <v>203</v>
      </c>
      <c r="F103" s="356" t="s">
        <v>204</v>
      </c>
      <c r="G103" s="168" t="s">
        <v>33</v>
      </c>
      <c r="H103" s="313" t="s">
        <v>23</v>
      </c>
      <c r="I103" s="168" t="s">
        <v>21</v>
      </c>
      <c r="J103" s="168" t="s">
        <v>205</v>
      </c>
    </row>
    <row r="104" spans="1:10" s="168" customFormat="1" ht="45.75" customHeight="1" x14ac:dyDescent="0.25">
      <c r="A104" s="357"/>
      <c r="B104" s="377"/>
      <c r="C104" s="47" t="s">
        <v>16</v>
      </c>
      <c r="D104" s="192"/>
      <c r="E104" s="312" t="s">
        <v>203</v>
      </c>
      <c r="F104" s="357"/>
      <c r="G104" s="168" t="s">
        <v>64</v>
      </c>
      <c r="H104" s="313" t="s">
        <v>23</v>
      </c>
      <c r="I104" s="233" t="s">
        <v>206</v>
      </c>
    </row>
    <row r="105" spans="1:10" s="168" customFormat="1" ht="36.75" customHeight="1" x14ac:dyDescent="0.25">
      <c r="A105" s="356">
        <v>34</v>
      </c>
      <c r="B105" s="377"/>
      <c r="C105" s="47" t="s">
        <v>23</v>
      </c>
      <c r="D105" s="192"/>
      <c r="E105" s="350" t="s">
        <v>207</v>
      </c>
      <c r="F105" s="356" t="s">
        <v>208</v>
      </c>
      <c r="G105" s="168" t="s">
        <v>180</v>
      </c>
      <c r="H105" s="313" t="s">
        <v>23</v>
      </c>
      <c r="I105" s="168" t="s">
        <v>21</v>
      </c>
      <c r="J105" s="168" t="s">
        <v>209</v>
      </c>
    </row>
    <row r="106" spans="1:10" s="168" customFormat="1" ht="78" customHeight="1" x14ac:dyDescent="0.25">
      <c r="A106" s="357"/>
      <c r="B106" s="377"/>
      <c r="C106" s="47" t="s">
        <v>23</v>
      </c>
      <c r="D106" s="192"/>
      <c r="E106" s="351"/>
      <c r="F106" s="357"/>
      <c r="G106" s="168" t="s">
        <v>64</v>
      </c>
      <c r="H106" s="313" t="s">
        <v>23</v>
      </c>
      <c r="I106" s="173" t="s">
        <v>210</v>
      </c>
    </row>
    <row r="107" spans="1:10" s="168" customFormat="1" ht="30" customHeight="1" x14ac:dyDescent="0.25">
      <c r="A107" s="356">
        <v>35</v>
      </c>
      <c r="B107" s="377"/>
      <c r="C107" s="47" t="s">
        <v>23</v>
      </c>
      <c r="D107" s="192"/>
      <c r="E107" s="312" t="s">
        <v>211</v>
      </c>
      <c r="F107" s="356" t="s">
        <v>212</v>
      </c>
      <c r="G107" s="168" t="s">
        <v>33</v>
      </c>
      <c r="H107" s="313" t="s">
        <v>54</v>
      </c>
      <c r="I107" s="168" t="s">
        <v>213</v>
      </c>
    </row>
    <row r="108" spans="1:10" s="168" customFormat="1" ht="53.25" customHeight="1" x14ac:dyDescent="0.25">
      <c r="A108" s="357"/>
      <c r="B108" s="400"/>
      <c r="C108" s="47" t="s">
        <v>23</v>
      </c>
      <c r="D108" s="192"/>
      <c r="E108" s="312" t="s">
        <v>214</v>
      </c>
      <c r="F108" s="357"/>
      <c r="G108" s="168" t="s">
        <v>64</v>
      </c>
      <c r="H108" s="313" t="s">
        <v>54</v>
      </c>
      <c r="I108" s="243" t="s">
        <v>215</v>
      </c>
    </row>
    <row r="109" spans="1:10" s="168" customFormat="1" ht="84.75" customHeight="1" x14ac:dyDescent="0.25">
      <c r="A109" s="356">
        <v>36</v>
      </c>
      <c r="B109" s="399" t="s">
        <v>216</v>
      </c>
      <c r="C109" s="214" t="s">
        <v>26</v>
      </c>
      <c r="D109" s="192"/>
      <c r="E109" s="215" t="s">
        <v>217</v>
      </c>
      <c r="F109" s="397" t="s">
        <v>218</v>
      </c>
      <c r="G109" s="174" t="s">
        <v>61</v>
      </c>
      <c r="H109" s="256" t="s">
        <v>54</v>
      </c>
      <c r="I109" s="217" t="s">
        <v>219</v>
      </c>
      <c r="J109" s="216" t="s">
        <v>220</v>
      </c>
    </row>
    <row r="110" spans="1:10" s="168" customFormat="1" ht="52.5" customHeight="1" x14ac:dyDescent="0.25">
      <c r="A110" s="357"/>
      <c r="B110" s="400"/>
      <c r="C110" s="214" t="s">
        <v>26</v>
      </c>
      <c r="D110" s="192"/>
      <c r="E110" s="215" t="s">
        <v>217</v>
      </c>
      <c r="F110" s="398"/>
      <c r="G110" s="174" t="s">
        <v>39</v>
      </c>
      <c r="H110" s="256" t="s">
        <v>54</v>
      </c>
      <c r="I110" s="217" t="s">
        <v>221</v>
      </c>
      <c r="J110" s="216"/>
    </row>
    <row r="111" spans="1:10" s="168" customFormat="1" ht="54" customHeight="1" x14ac:dyDescent="0.25">
      <c r="A111" s="356">
        <v>37</v>
      </c>
      <c r="B111" s="399" t="s">
        <v>222</v>
      </c>
      <c r="C111" s="47" t="s">
        <v>26</v>
      </c>
      <c r="D111" s="192" t="s">
        <v>159</v>
      </c>
      <c r="E111" s="312"/>
      <c r="F111" s="356" t="s">
        <v>223</v>
      </c>
      <c r="G111" s="168" t="s">
        <v>33</v>
      </c>
      <c r="H111" s="313" t="s">
        <v>54</v>
      </c>
      <c r="I111" s="244" t="s">
        <v>224</v>
      </c>
    </row>
    <row r="112" spans="1:10" s="168" customFormat="1" ht="33" customHeight="1" x14ac:dyDescent="0.25">
      <c r="A112" s="357"/>
      <c r="B112" s="378"/>
      <c r="C112" s="47" t="s">
        <v>26</v>
      </c>
      <c r="D112" s="192" t="s">
        <v>159</v>
      </c>
      <c r="E112" s="312"/>
      <c r="F112" s="357"/>
      <c r="G112" s="168" t="s">
        <v>39</v>
      </c>
      <c r="H112" s="313" t="s">
        <v>54</v>
      </c>
      <c r="I112" s="238" t="s">
        <v>21</v>
      </c>
    </row>
    <row r="113" spans="1:10" s="66" customFormat="1" ht="24.95" customHeight="1" x14ac:dyDescent="0.25">
      <c r="A113" s="165"/>
      <c r="B113" s="188" t="s">
        <v>225</v>
      </c>
      <c r="C113" s="196"/>
      <c r="D113" s="191"/>
      <c r="E113" s="166"/>
      <c r="F113" s="250"/>
      <c r="G113" s="165"/>
      <c r="H113" s="250"/>
      <c r="I113" s="165"/>
      <c r="J113" s="72"/>
    </row>
    <row r="114" spans="1:10" s="68" customFormat="1" ht="58.5" customHeight="1" x14ac:dyDescent="0.25">
      <c r="A114" s="347">
        <v>38</v>
      </c>
      <c r="B114" s="368" t="s">
        <v>226</v>
      </c>
      <c r="C114" s="199" t="s">
        <v>26</v>
      </c>
      <c r="D114" s="193"/>
      <c r="E114" s="182" t="s">
        <v>227</v>
      </c>
      <c r="F114" s="352" t="s">
        <v>228</v>
      </c>
      <c r="G114" s="69" t="s">
        <v>33</v>
      </c>
      <c r="H114" s="257"/>
      <c r="I114" s="69" t="s">
        <v>229</v>
      </c>
      <c r="J114" s="152" t="s">
        <v>230</v>
      </c>
    </row>
    <row r="115" spans="1:10" s="68" customFormat="1" ht="30" customHeight="1" x14ac:dyDescent="0.25">
      <c r="A115" s="349"/>
      <c r="B115" s="369"/>
      <c r="C115" s="199" t="s">
        <v>26</v>
      </c>
      <c r="D115" s="193"/>
      <c r="E115" s="182" t="s">
        <v>227</v>
      </c>
      <c r="F115" s="353"/>
      <c r="G115" s="69" t="s">
        <v>19</v>
      </c>
      <c r="H115" s="257"/>
      <c r="I115" s="238" t="s">
        <v>21</v>
      </c>
      <c r="J115" s="152" t="s">
        <v>231</v>
      </c>
    </row>
    <row r="116" spans="1:10" ht="31.5" customHeight="1" x14ac:dyDescent="0.2">
      <c r="A116" s="347">
        <v>39</v>
      </c>
      <c r="B116" s="369"/>
      <c r="C116" s="199" t="s">
        <v>26</v>
      </c>
      <c r="D116" s="193"/>
      <c r="E116" s="182" t="s">
        <v>227</v>
      </c>
      <c r="F116" s="352" t="s">
        <v>232</v>
      </c>
      <c r="G116" s="69" t="s">
        <v>33</v>
      </c>
      <c r="H116" s="257"/>
      <c r="I116" s="69" t="s">
        <v>233</v>
      </c>
      <c r="J116" s="152" t="s">
        <v>234</v>
      </c>
    </row>
    <row r="117" spans="1:10" ht="39" customHeight="1" x14ac:dyDescent="0.2">
      <c r="A117" s="349"/>
      <c r="B117" s="369"/>
      <c r="C117" s="199" t="s">
        <v>26</v>
      </c>
      <c r="D117" s="193"/>
      <c r="E117" s="182" t="s">
        <v>227</v>
      </c>
      <c r="F117" s="353"/>
      <c r="G117" s="69" t="s">
        <v>19</v>
      </c>
      <c r="H117" s="257"/>
      <c r="I117" s="258" t="s">
        <v>21</v>
      </c>
      <c r="J117" s="69"/>
    </row>
    <row r="118" spans="1:10" ht="46.5" customHeight="1" x14ac:dyDescent="0.2">
      <c r="A118" s="366">
        <v>40</v>
      </c>
      <c r="B118" s="369"/>
      <c r="C118" s="199" t="s">
        <v>26</v>
      </c>
      <c r="D118" s="193"/>
      <c r="E118" s="182" t="s">
        <v>227</v>
      </c>
      <c r="F118" s="347" t="s">
        <v>235</v>
      </c>
      <c r="G118" s="69" t="s">
        <v>39</v>
      </c>
      <c r="H118" s="257" t="s">
        <v>20</v>
      </c>
      <c r="I118" s="238" t="s">
        <v>21</v>
      </c>
      <c r="J118" s="69"/>
    </row>
    <row r="119" spans="1:10" ht="51" x14ac:dyDescent="0.2">
      <c r="A119" s="367"/>
      <c r="B119" s="369"/>
      <c r="C119" s="199" t="s">
        <v>26</v>
      </c>
      <c r="D119" s="193"/>
      <c r="E119" s="182" t="s">
        <v>227</v>
      </c>
      <c r="F119" s="349"/>
      <c r="G119" s="184" t="s">
        <v>33</v>
      </c>
      <c r="H119" s="84" t="s">
        <v>23</v>
      </c>
      <c r="I119" s="66" t="s">
        <v>236</v>
      </c>
      <c r="J119" s="270"/>
    </row>
    <row r="120" spans="1:10" ht="66" customHeight="1" x14ac:dyDescent="0.2">
      <c r="A120" s="366">
        <v>41</v>
      </c>
      <c r="B120" s="369"/>
      <c r="C120" s="199" t="s">
        <v>26</v>
      </c>
      <c r="D120" s="193"/>
      <c r="E120" s="182" t="s">
        <v>227</v>
      </c>
      <c r="F120" s="347" t="s">
        <v>237</v>
      </c>
      <c r="G120" s="184" t="s">
        <v>33</v>
      </c>
      <c r="H120" s="84" t="s">
        <v>23</v>
      </c>
      <c r="I120" s="66" t="s">
        <v>238</v>
      </c>
      <c r="J120" s="270"/>
    </row>
    <row r="121" spans="1:10" ht="30.75" customHeight="1" x14ac:dyDescent="0.2">
      <c r="A121" s="367"/>
      <c r="B121" s="369"/>
      <c r="C121" s="199" t="s">
        <v>26</v>
      </c>
      <c r="D121" s="193"/>
      <c r="E121" s="182" t="s">
        <v>227</v>
      </c>
      <c r="F121" s="349"/>
      <c r="G121" s="184" t="s">
        <v>19</v>
      </c>
      <c r="H121" s="84" t="s">
        <v>20</v>
      </c>
      <c r="I121" s="238" t="s">
        <v>21</v>
      </c>
      <c r="J121" s="270"/>
    </row>
    <row r="122" spans="1:10" ht="75.75" customHeight="1" x14ac:dyDescent="0.2">
      <c r="A122" s="347">
        <v>42</v>
      </c>
      <c r="B122" s="369"/>
      <c r="C122" s="199" t="s">
        <v>26</v>
      </c>
      <c r="D122" s="193" t="s">
        <v>239</v>
      </c>
      <c r="E122" s="182" t="s">
        <v>227</v>
      </c>
      <c r="F122" s="354" t="s">
        <v>240</v>
      </c>
      <c r="G122" s="184" t="s">
        <v>33</v>
      </c>
      <c r="H122" s="211" t="s">
        <v>23</v>
      </c>
      <c r="I122" s="152" t="s">
        <v>241</v>
      </c>
      <c r="J122" s="212" t="s">
        <v>242</v>
      </c>
    </row>
    <row r="123" spans="1:10" ht="29.25" customHeight="1" x14ac:dyDescent="0.2">
      <c r="A123" s="349"/>
      <c r="B123" s="370"/>
      <c r="C123" s="199" t="s">
        <v>26</v>
      </c>
      <c r="D123" s="193" t="s">
        <v>239</v>
      </c>
      <c r="E123" s="182" t="s">
        <v>227</v>
      </c>
      <c r="F123" s="355"/>
      <c r="G123" s="184" t="s">
        <v>19</v>
      </c>
      <c r="H123" s="211" t="s">
        <v>23</v>
      </c>
      <c r="I123" s="238" t="s">
        <v>21</v>
      </c>
      <c r="J123" s="269" t="s">
        <v>243</v>
      </c>
    </row>
    <row r="124" spans="1:10" s="179" customFormat="1" ht="36.75" customHeight="1" x14ac:dyDescent="0.25">
      <c r="A124" s="385">
        <v>43</v>
      </c>
      <c r="B124" s="275" t="s">
        <v>244</v>
      </c>
      <c r="C124" s="224" t="s">
        <v>23</v>
      </c>
      <c r="D124" s="221" t="s">
        <v>245</v>
      </c>
      <c r="E124" s="222" t="s">
        <v>246</v>
      </c>
      <c r="F124" s="352" t="s">
        <v>247</v>
      </c>
      <c r="G124" s="222" t="s">
        <v>61</v>
      </c>
      <c r="H124" s="257" t="s">
        <v>23</v>
      </c>
      <c r="I124" s="238" t="s">
        <v>21</v>
      </c>
    </row>
    <row r="125" spans="1:10" s="179" customFormat="1" ht="72.75" customHeight="1" x14ac:dyDescent="0.25">
      <c r="A125" s="387"/>
      <c r="B125" s="276"/>
      <c r="C125" s="226" t="s">
        <v>23</v>
      </c>
      <c r="D125" s="277" t="s">
        <v>245</v>
      </c>
      <c r="E125" s="227" t="s">
        <v>246</v>
      </c>
      <c r="F125" s="353"/>
      <c r="G125" s="227" t="s">
        <v>39</v>
      </c>
      <c r="H125" s="295" t="s">
        <v>23</v>
      </c>
      <c r="I125" s="228" t="s">
        <v>248</v>
      </c>
      <c r="J125" s="210" t="s">
        <v>249</v>
      </c>
    </row>
    <row r="126" spans="1:10" s="179" customFormat="1" ht="26.25" customHeight="1" x14ac:dyDescent="0.25">
      <c r="A126" s="385">
        <v>44</v>
      </c>
      <c r="B126" s="276"/>
      <c r="C126" s="220" t="s">
        <v>23</v>
      </c>
      <c r="D126" s="221"/>
      <c r="E126" s="222" t="s">
        <v>250</v>
      </c>
      <c r="F126" s="352" t="s">
        <v>251</v>
      </c>
      <c r="G126" s="222" t="s">
        <v>61</v>
      </c>
      <c r="H126" s="257" t="s">
        <v>23</v>
      </c>
      <c r="I126" s="223" t="s">
        <v>252</v>
      </c>
      <c r="J126" s="179" t="s">
        <v>253</v>
      </c>
    </row>
    <row r="127" spans="1:10" s="179" customFormat="1" ht="26.25" customHeight="1" x14ac:dyDescent="0.25">
      <c r="A127" s="386"/>
      <c r="B127" s="276"/>
      <c r="C127" s="220" t="s">
        <v>23</v>
      </c>
      <c r="D127" s="221"/>
      <c r="E127" s="222" t="s">
        <v>250</v>
      </c>
      <c r="F127" s="401"/>
      <c r="G127" s="222" t="s">
        <v>254</v>
      </c>
      <c r="H127" s="257" t="s">
        <v>23</v>
      </c>
      <c r="I127" s="223" t="s">
        <v>255</v>
      </c>
    </row>
    <row r="128" spans="1:10" s="179" customFormat="1" ht="30" customHeight="1" x14ac:dyDescent="0.25">
      <c r="A128" s="387"/>
      <c r="B128" s="276"/>
      <c r="C128" s="220" t="s">
        <v>23</v>
      </c>
      <c r="D128" s="221"/>
      <c r="E128" s="222" t="s">
        <v>256</v>
      </c>
      <c r="F128" s="353"/>
      <c r="G128" s="222" t="s">
        <v>39</v>
      </c>
      <c r="H128" s="257" t="s">
        <v>23</v>
      </c>
      <c r="I128" s="223" t="s">
        <v>257</v>
      </c>
    </row>
    <row r="129" spans="1:10" s="179" customFormat="1" ht="30" customHeight="1" x14ac:dyDescent="0.25">
      <c r="A129" s="315"/>
      <c r="B129" s="276"/>
      <c r="C129" s="220" t="s">
        <v>26</v>
      </c>
      <c r="D129" s="221"/>
      <c r="E129" s="222"/>
      <c r="F129" s="299" t="s">
        <v>258</v>
      </c>
      <c r="G129" s="222" t="s">
        <v>259</v>
      </c>
      <c r="H129" s="257"/>
      <c r="I129" s="274" t="s">
        <v>260</v>
      </c>
    </row>
    <row r="130" spans="1:10" s="179" customFormat="1" ht="30" customHeight="1" x14ac:dyDescent="0.25">
      <c r="A130" s="315"/>
      <c r="B130" s="276"/>
      <c r="C130" s="220" t="s">
        <v>261</v>
      </c>
      <c r="D130" s="221"/>
      <c r="E130" s="222"/>
      <c r="F130" s="299" t="s">
        <v>262</v>
      </c>
      <c r="G130" s="222" t="s">
        <v>259</v>
      </c>
      <c r="H130" s="257"/>
      <c r="I130" s="274" t="s">
        <v>260</v>
      </c>
    </row>
    <row r="131" spans="1:10" s="176" customFormat="1" ht="36.75" customHeight="1" x14ac:dyDescent="0.25">
      <c r="A131" s="383">
        <v>45</v>
      </c>
      <c r="B131" s="276"/>
      <c r="C131" s="224" t="s">
        <v>23</v>
      </c>
      <c r="D131" s="225" t="s">
        <v>263</v>
      </c>
      <c r="E131" s="219" t="s">
        <v>264</v>
      </c>
      <c r="F131" s="347" t="s">
        <v>265</v>
      </c>
      <c r="G131" s="219" t="s">
        <v>61</v>
      </c>
      <c r="H131" s="314" t="s">
        <v>23</v>
      </c>
      <c r="I131" s="238" t="s">
        <v>21</v>
      </c>
      <c r="J131" s="213" t="s">
        <v>266</v>
      </c>
    </row>
    <row r="132" spans="1:10" s="176" customFormat="1" ht="30" customHeight="1" x14ac:dyDescent="0.25">
      <c r="A132" s="384"/>
      <c r="B132" s="276"/>
      <c r="C132" s="224" t="s">
        <v>23</v>
      </c>
      <c r="D132" s="225" t="s">
        <v>263</v>
      </c>
      <c r="E132" s="219" t="s">
        <v>264</v>
      </c>
      <c r="F132" s="349"/>
      <c r="G132" s="219" t="s">
        <v>39</v>
      </c>
      <c r="H132" s="314" t="s">
        <v>23</v>
      </c>
      <c r="I132" s="218" t="s">
        <v>267</v>
      </c>
      <c r="J132" s="213" t="s">
        <v>268</v>
      </c>
    </row>
    <row r="133" spans="1:10" s="176" customFormat="1" ht="36.75" customHeight="1" x14ac:dyDescent="0.25">
      <c r="A133" s="383">
        <v>46</v>
      </c>
      <c r="B133" s="276"/>
      <c r="C133" s="224" t="s">
        <v>23</v>
      </c>
      <c r="D133" s="225" t="s">
        <v>269</v>
      </c>
      <c r="E133" s="219" t="s">
        <v>270</v>
      </c>
      <c r="F133" s="347" t="s">
        <v>271</v>
      </c>
      <c r="G133" s="219" t="s">
        <v>61</v>
      </c>
      <c r="H133" s="314" t="s">
        <v>23</v>
      </c>
      <c r="I133" s="218" t="s">
        <v>272</v>
      </c>
    </row>
    <row r="134" spans="1:10" s="176" customFormat="1" ht="31.5" customHeight="1" x14ac:dyDescent="0.25">
      <c r="A134" s="384"/>
      <c r="B134" s="276"/>
      <c r="C134" s="224" t="s">
        <v>23</v>
      </c>
      <c r="D134" s="225" t="s">
        <v>273</v>
      </c>
      <c r="E134" s="219" t="s">
        <v>270</v>
      </c>
      <c r="F134" s="349"/>
      <c r="G134" s="219" t="s">
        <v>39</v>
      </c>
      <c r="H134" s="314" t="s">
        <v>23</v>
      </c>
      <c r="I134" s="238" t="s">
        <v>21</v>
      </c>
      <c r="J134" s="176" t="s">
        <v>274</v>
      </c>
    </row>
    <row r="135" spans="1:10" s="176" customFormat="1" ht="36" customHeight="1" x14ac:dyDescent="0.25">
      <c r="A135" s="383">
        <v>47</v>
      </c>
      <c r="B135" s="276"/>
      <c r="C135" s="224" t="s">
        <v>23</v>
      </c>
      <c r="D135" s="225" t="s">
        <v>275</v>
      </c>
      <c r="E135" s="219" t="s">
        <v>276</v>
      </c>
      <c r="F135" s="347" t="s">
        <v>277</v>
      </c>
      <c r="G135" s="219" t="s">
        <v>61</v>
      </c>
      <c r="H135" s="314" t="s">
        <v>23</v>
      </c>
      <c r="I135" s="218" t="s">
        <v>278</v>
      </c>
      <c r="J135" s="176" t="s">
        <v>279</v>
      </c>
    </row>
    <row r="136" spans="1:10" s="176" customFormat="1" ht="39.75" customHeight="1" x14ac:dyDescent="0.25">
      <c r="A136" s="384"/>
      <c r="B136" s="276"/>
      <c r="C136" s="224" t="s">
        <v>23</v>
      </c>
      <c r="D136" s="225" t="s">
        <v>275</v>
      </c>
      <c r="E136" s="219" t="s">
        <v>276</v>
      </c>
      <c r="F136" s="349"/>
      <c r="G136" s="219" t="s">
        <v>39</v>
      </c>
      <c r="H136" s="314" t="s">
        <v>23</v>
      </c>
      <c r="I136" s="218" t="s">
        <v>280</v>
      </c>
    </row>
    <row r="137" spans="1:10" s="176" customFormat="1" ht="37.5" customHeight="1" x14ac:dyDescent="0.25">
      <c r="A137" s="383">
        <v>48</v>
      </c>
      <c r="B137" s="276"/>
      <c r="C137" s="224" t="s">
        <v>23</v>
      </c>
      <c r="D137" s="225" t="s">
        <v>281</v>
      </c>
      <c r="E137" s="219" t="s">
        <v>282</v>
      </c>
      <c r="F137" s="347" t="s">
        <v>283</v>
      </c>
      <c r="G137" s="219" t="s">
        <v>61</v>
      </c>
      <c r="H137" s="314" t="s">
        <v>23</v>
      </c>
      <c r="I137" s="245" t="s">
        <v>21</v>
      </c>
      <c r="J137" s="176" t="s">
        <v>284</v>
      </c>
    </row>
    <row r="138" spans="1:10" s="176" customFormat="1" ht="31.5" customHeight="1" x14ac:dyDescent="0.25">
      <c r="A138" s="384"/>
      <c r="B138" s="276"/>
      <c r="C138" s="224" t="s">
        <v>23</v>
      </c>
      <c r="D138" s="225" t="s">
        <v>285</v>
      </c>
      <c r="E138" s="219" t="s">
        <v>282</v>
      </c>
      <c r="F138" s="349"/>
      <c r="G138" s="219" t="s">
        <v>39</v>
      </c>
      <c r="H138" s="314" t="s">
        <v>23</v>
      </c>
      <c r="I138" s="218" t="s">
        <v>286</v>
      </c>
    </row>
    <row r="139" spans="1:10" ht="38.25" customHeight="1" x14ac:dyDescent="0.2">
      <c r="A139" s="381">
        <v>49</v>
      </c>
      <c r="B139" s="394" t="s">
        <v>287</v>
      </c>
      <c r="C139" s="182" t="s">
        <v>23</v>
      </c>
      <c r="D139" s="90"/>
      <c r="E139" s="246" t="s">
        <v>288</v>
      </c>
      <c r="F139" s="347" t="s">
        <v>289</v>
      </c>
      <c r="G139" s="182" t="s">
        <v>39</v>
      </c>
      <c r="H139" s="84" t="s">
        <v>23</v>
      </c>
      <c r="I139" s="182" t="s">
        <v>290</v>
      </c>
    </row>
    <row r="140" spans="1:10" ht="38.25" customHeight="1" x14ac:dyDescent="0.2">
      <c r="A140" s="382"/>
      <c r="B140" s="395"/>
      <c r="C140" s="182" t="s">
        <v>23</v>
      </c>
      <c r="D140" s="90"/>
      <c r="E140" s="246" t="s">
        <v>288</v>
      </c>
      <c r="F140" s="349"/>
      <c r="G140" s="182" t="s">
        <v>22</v>
      </c>
      <c r="H140" s="84" t="s">
        <v>23</v>
      </c>
      <c r="I140" s="238" t="s">
        <v>21</v>
      </c>
    </row>
    <row r="141" spans="1:10" ht="76.5" customHeight="1" x14ac:dyDescent="0.2">
      <c r="A141" s="381">
        <v>50</v>
      </c>
      <c r="B141" s="395"/>
      <c r="C141" s="182" t="s">
        <v>23</v>
      </c>
      <c r="D141" s="90"/>
      <c r="E141" s="246" t="s">
        <v>288</v>
      </c>
      <c r="F141" s="347" t="s">
        <v>291</v>
      </c>
      <c r="G141" s="182" t="s">
        <v>39</v>
      </c>
      <c r="H141" s="84" t="s">
        <v>23</v>
      </c>
      <c r="I141" s="264" t="s">
        <v>292</v>
      </c>
      <c r="J141" s="229" t="s">
        <v>293</v>
      </c>
    </row>
    <row r="142" spans="1:10" ht="24.75" customHeight="1" x14ac:dyDescent="0.2">
      <c r="A142" s="382"/>
      <c r="B142" s="395"/>
      <c r="C142" s="182" t="s">
        <v>23</v>
      </c>
      <c r="D142" s="90"/>
      <c r="E142" s="246" t="s">
        <v>288</v>
      </c>
      <c r="F142" s="349"/>
      <c r="G142" s="182" t="s">
        <v>22</v>
      </c>
      <c r="H142" s="84" t="s">
        <v>23</v>
      </c>
      <c r="I142" s="238" t="s">
        <v>21</v>
      </c>
      <c r="J142" s="85" t="s">
        <v>294</v>
      </c>
    </row>
    <row r="143" spans="1:10" ht="31.5" customHeight="1" x14ac:dyDescent="0.2">
      <c r="A143" s="381">
        <v>51</v>
      </c>
      <c r="B143" s="395"/>
      <c r="C143" s="182" t="s">
        <v>23</v>
      </c>
      <c r="D143" s="90"/>
      <c r="E143" s="246" t="s">
        <v>288</v>
      </c>
      <c r="F143" s="347" t="s">
        <v>295</v>
      </c>
      <c r="G143" s="182" t="s">
        <v>39</v>
      </c>
      <c r="H143" s="84" t="s">
        <v>23</v>
      </c>
      <c r="I143" s="182" t="s">
        <v>296</v>
      </c>
    </row>
    <row r="144" spans="1:10" ht="38.25" customHeight="1" x14ac:dyDescent="0.2">
      <c r="A144" s="382"/>
      <c r="B144" s="395"/>
      <c r="C144" s="182" t="s">
        <v>23</v>
      </c>
      <c r="D144" s="90"/>
      <c r="E144" s="246" t="s">
        <v>288</v>
      </c>
      <c r="F144" s="349"/>
      <c r="G144" s="182" t="s">
        <v>22</v>
      </c>
      <c r="H144" s="84" t="s">
        <v>23</v>
      </c>
      <c r="I144" s="238" t="s">
        <v>21</v>
      </c>
    </row>
    <row r="145" spans="1:10" ht="41.25" customHeight="1" x14ac:dyDescent="0.2">
      <c r="A145" s="381">
        <v>52</v>
      </c>
      <c r="B145" s="395"/>
      <c r="C145" s="182" t="s">
        <v>23</v>
      </c>
      <c r="D145" s="90"/>
      <c r="E145" s="246" t="s">
        <v>288</v>
      </c>
      <c r="F145" s="347" t="s">
        <v>297</v>
      </c>
      <c r="G145" s="182" t="s">
        <v>39</v>
      </c>
      <c r="H145" s="84" t="s">
        <v>23</v>
      </c>
      <c r="I145" s="182" t="s">
        <v>298</v>
      </c>
    </row>
    <row r="146" spans="1:10" ht="25.5" customHeight="1" x14ac:dyDescent="0.2">
      <c r="A146" s="382"/>
      <c r="B146" s="396"/>
      <c r="C146" s="182" t="s">
        <v>23</v>
      </c>
      <c r="D146" s="90"/>
      <c r="E146" s="246" t="s">
        <v>288</v>
      </c>
      <c r="F146" s="349"/>
      <c r="G146" s="182" t="s">
        <v>22</v>
      </c>
      <c r="H146" s="84" t="s">
        <v>23</v>
      </c>
      <c r="I146" s="245" t="s">
        <v>21</v>
      </c>
    </row>
    <row r="147" spans="1:10" ht="49.5" customHeight="1" x14ac:dyDescent="0.2">
      <c r="A147" s="259"/>
      <c r="B147" s="375" t="s">
        <v>299</v>
      </c>
      <c r="C147" s="375"/>
      <c r="D147" s="375"/>
      <c r="E147" s="260"/>
      <c r="F147" s="261"/>
      <c r="G147" s="262"/>
      <c r="H147" s="261"/>
      <c r="I147" s="262"/>
      <c r="J147" s="262"/>
    </row>
    <row r="154" spans="1:10" x14ac:dyDescent="0.2">
      <c r="A154" s="1"/>
      <c r="B154" s="204"/>
      <c r="C154" s="204"/>
      <c r="D154" s="204"/>
      <c r="E154" s="204"/>
      <c r="F154" s="16"/>
      <c r="G154" s="1"/>
      <c r="H154" s="16"/>
      <c r="I154" s="1"/>
      <c r="J154" s="1"/>
    </row>
    <row r="155" spans="1:10" x14ac:dyDescent="0.2">
      <c r="A155" s="1"/>
      <c r="B155" s="204"/>
      <c r="C155" s="204"/>
      <c r="D155" s="204"/>
      <c r="E155" s="204"/>
      <c r="F155" s="16"/>
      <c r="G155" s="1"/>
      <c r="H155" s="16"/>
      <c r="I155" s="1"/>
      <c r="J155" s="1"/>
    </row>
    <row r="156" spans="1:10" x14ac:dyDescent="0.2">
      <c r="A156" s="1"/>
      <c r="B156" s="204"/>
      <c r="C156" s="204"/>
      <c r="D156" s="204"/>
      <c r="E156" s="204"/>
      <c r="F156" s="16"/>
      <c r="G156" s="1"/>
      <c r="H156" s="16"/>
      <c r="I156" s="1"/>
      <c r="J156" s="1"/>
    </row>
    <row r="157" spans="1:10" x14ac:dyDescent="0.2">
      <c r="A157" s="1"/>
      <c r="B157" s="204"/>
      <c r="C157" s="204"/>
      <c r="D157" s="204"/>
      <c r="E157" s="204"/>
      <c r="F157" s="16"/>
      <c r="G157" s="1"/>
      <c r="H157" s="16"/>
      <c r="I157" s="1"/>
      <c r="J157" s="1"/>
    </row>
    <row r="158" spans="1:10" x14ac:dyDescent="0.2">
      <c r="A158" s="1"/>
      <c r="B158" s="204"/>
      <c r="C158" s="204"/>
      <c r="D158" s="204"/>
      <c r="E158" s="204"/>
      <c r="F158" s="16"/>
      <c r="G158" s="1"/>
      <c r="H158" s="16"/>
      <c r="I158" s="1"/>
      <c r="J158" s="1"/>
    </row>
    <row r="159" spans="1:10" x14ac:dyDescent="0.2">
      <c r="A159" s="1"/>
      <c r="B159" s="204"/>
      <c r="C159" s="204"/>
      <c r="D159" s="204"/>
      <c r="E159" s="204"/>
      <c r="F159" s="16"/>
      <c r="G159" s="1"/>
      <c r="H159" s="16"/>
      <c r="I159" s="1"/>
      <c r="J159" s="1"/>
    </row>
    <row r="160" spans="1:10" x14ac:dyDescent="0.2">
      <c r="A160" s="1"/>
      <c r="B160" s="204"/>
      <c r="C160" s="204"/>
      <c r="D160" s="204"/>
      <c r="E160" s="204"/>
      <c r="F160" s="16"/>
      <c r="G160" s="1"/>
      <c r="H160" s="16"/>
      <c r="I160" s="1"/>
      <c r="J160" s="1"/>
    </row>
    <row r="161" spans="1:10" x14ac:dyDescent="0.2">
      <c r="A161" s="1"/>
      <c r="B161" s="204"/>
      <c r="C161" s="204"/>
      <c r="D161" s="204"/>
      <c r="E161" s="204"/>
      <c r="F161" s="16"/>
      <c r="G161" s="1"/>
      <c r="H161" s="16"/>
      <c r="I161" s="1"/>
      <c r="J161" s="1"/>
    </row>
    <row r="162" spans="1:10" x14ac:dyDescent="0.2">
      <c r="A162" s="1"/>
      <c r="B162" s="204"/>
      <c r="C162" s="204"/>
      <c r="D162" s="204"/>
      <c r="E162" s="204"/>
      <c r="F162" s="16"/>
      <c r="G162" s="1"/>
      <c r="H162" s="16"/>
      <c r="I162" s="1"/>
      <c r="J162" s="1"/>
    </row>
    <row r="163" spans="1:10" x14ac:dyDescent="0.2">
      <c r="A163" s="1"/>
      <c r="B163" s="204"/>
      <c r="C163" s="204"/>
      <c r="D163" s="204"/>
      <c r="E163" s="204"/>
      <c r="F163" s="16"/>
      <c r="G163" s="1"/>
      <c r="H163" s="16"/>
      <c r="I163" s="1"/>
      <c r="J163" s="1"/>
    </row>
    <row r="164" spans="1:10" x14ac:dyDescent="0.2">
      <c r="A164" s="1"/>
      <c r="B164" s="204"/>
      <c r="C164" s="204"/>
      <c r="D164" s="204"/>
      <c r="E164" s="204"/>
      <c r="F164" s="16"/>
      <c r="G164" s="1"/>
      <c r="H164" s="16"/>
      <c r="I164" s="1"/>
      <c r="J164" s="1"/>
    </row>
    <row r="165" spans="1:10" x14ac:dyDescent="0.2">
      <c r="A165" s="1"/>
      <c r="B165" s="204"/>
      <c r="C165" s="204"/>
      <c r="D165" s="204"/>
      <c r="E165" s="204"/>
      <c r="F165" s="16"/>
      <c r="G165" s="1"/>
      <c r="H165" s="16"/>
      <c r="I165" s="1"/>
      <c r="J165" s="1"/>
    </row>
    <row r="166" spans="1:10" x14ac:dyDescent="0.2">
      <c r="A166" s="1"/>
      <c r="B166" s="204"/>
      <c r="C166" s="204"/>
      <c r="D166" s="204"/>
      <c r="E166" s="204"/>
      <c r="F166" s="16"/>
      <c r="G166" s="1"/>
      <c r="H166" s="16"/>
      <c r="I166" s="1"/>
      <c r="J166" s="1"/>
    </row>
    <row r="167" spans="1:10" x14ac:dyDescent="0.2">
      <c r="A167" s="1"/>
      <c r="B167" s="204"/>
      <c r="C167" s="204"/>
      <c r="D167" s="204"/>
      <c r="E167" s="204"/>
      <c r="F167" s="16"/>
      <c r="G167" s="1"/>
      <c r="H167" s="16"/>
      <c r="I167" s="1"/>
      <c r="J167" s="1"/>
    </row>
    <row r="168" spans="1:10" x14ac:dyDescent="0.2">
      <c r="A168" s="1"/>
      <c r="B168" s="204"/>
      <c r="C168" s="204"/>
      <c r="D168" s="204"/>
      <c r="E168" s="204"/>
      <c r="F168" s="16"/>
      <c r="G168" s="1"/>
      <c r="H168" s="16"/>
      <c r="I168" s="1"/>
      <c r="J168" s="1"/>
    </row>
    <row r="169" spans="1:10" x14ac:dyDescent="0.2">
      <c r="A169" s="1"/>
      <c r="B169" s="204"/>
      <c r="C169" s="204"/>
      <c r="D169" s="204"/>
      <c r="E169" s="204"/>
      <c r="F169" s="16"/>
      <c r="G169" s="1"/>
      <c r="H169" s="16"/>
      <c r="I169" s="1"/>
      <c r="J169" s="1"/>
    </row>
    <row r="170" spans="1:10" x14ac:dyDescent="0.2">
      <c r="A170" s="1"/>
      <c r="B170" s="204"/>
      <c r="C170" s="204"/>
      <c r="D170" s="204"/>
      <c r="E170" s="204"/>
      <c r="F170" s="16"/>
      <c r="G170" s="1"/>
      <c r="H170" s="16"/>
      <c r="I170" s="1"/>
      <c r="J170" s="1"/>
    </row>
    <row r="171" spans="1:10" x14ac:dyDescent="0.2">
      <c r="A171" s="1"/>
      <c r="B171" s="204"/>
      <c r="C171" s="204"/>
      <c r="D171" s="204"/>
      <c r="E171" s="204"/>
      <c r="F171" s="16"/>
      <c r="G171" s="1"/>
      <c r="H171" s="16"/>
      <c r="I171" s="1"/>
      <c r="J171" s="1"/>
    </row>
    <row r="172" spans="1:10" x14ac:dyDescent="0.2">
      <c r="A172" s="1"/>
      <c r="B172" s="204"/>
      <c r="C172" s="204"/>
      <c r="D172" s="204"/>
      <c r="E172" s="204"/>
      <c r="F172" s="16"/>
      <c r="G172" s="1"/>
      <c r="H172" s="16"/>
      <c r="I172" s="1"/>
      <c r="J172" s="1"/>
    </row>
    <row r="173" spans="1:10" x14ac:dyDescent="0.2">
      <c r="A173" s="1"/>
      <c r="B173" s="204"/>
      <c r="C173" s="204"/>
      <c r="D173" s="204"/>
      <c r="E173" s="204"/>
      <c r="F173" s="16"/>
      <c r="G173" s="1"/>
      <c r="H173" s="16"/>
      <c r="I173" s="1"/>
      <c r="J173" s="1"/>
    </row>
    <row r="174" spans="1:10" x14ac:dyDescent="0.2">
      <c r="A174" s="1"/>
      <c r="B174" s="204"/>
      <c r="C174" s="204"/>
      <c r="D174" s="204"/>
      <c r="E174" s="204"/>
      <c r="F174" s="16"/>
      <c r="G174" s="1"/>
      <c r="H174" s="16"/>
      <c r="I174" s="1"/>
      <c r="J174" s="1"/>
    </row>
    <row r="175" spans="1:10" x14ac:dyDescent="0.2">
      <c r="A175" s="1"/>
      <c r="B175" s="204"/>
      <c r="C175" s="204"/>
      <c r="D175" s="204"/>
      <c r="E175" s="204"/>
      <c r="F175" s="16"/>
      <c r="G175" s="1"/>
      <c r="H175" s="16"/>
      <c r="I175" s="1"/>
      <c r="J175" s="1"/>
    </row>
    <row r="176" spans="1:10" x14ac:dyDescent="0.2">
      <c r="A176" s="1"/>
      <c r="B176" s="204"/>
      <c r="C176" s="204"/>
      <c r="D176" s="204"/>
      <c r="E176" s="204"/>
      <c r="F176" s="16"/>
      <c r="G176" s="1"/>
      <c r="H176" s="16"/>
      <c r="I176" s="1"/>
      <c r="J176" s="1"/>
    </row>
    <row r="177" spans="1:10" x14ac:dyDescent="0.2">
      <c r="A177" s="1"/>
      <c r="B177" s="204"/>
      <c r="C177" s="204"/>
      <c r="D177" s="204"/>
      <c r="E177" s="204"/>
      <c r="F177" s="16"/>
      <c r="G177" s="1"/>
      <c r="H177" s="16"/>
      <c r="I177" s="1"/>
      <c r="J177" s="1"/>
    </row>
    <row r="178" spans="1:10" x14ac:dyDescent="0.2">
      <c r="A178" s="1"/>
      <c r="B178" s="204"/>
      <c r="C178" s="204"/>
      <c r="D178" s="204"/>
      <c r="E178" s="204"/>
      <c r="F178" s="16"/>
      <c r="G178" s="1"/>
      <c r="H178" s="16"/>
      <c r="I178" s="1"/>
      <c r="J178" s="1"/>
    </row>
    <row r="179" spans="1:10" x14ac:dyDescent="0.2">
      <c r="A179" s="1"/>
      <c r="B179" s="204"/>
      <c r="C179" s="204"/>
      <c r="D179" s="204"/>
      <c r="E179" s="204"/>
      <c r="F179" s="16"/>
      <c r="G179" s="1"/>
      <c r="H179" s="16"/>
      <c r="I179" s="1"/>
      <c r="J179" s="1"/>
    </row>
    <row r="180" spans="1:10" x14ac:dyDescent="0.2">
      <c r="A180" s="1"/>
      <c r="B180" s="204"/>
      <c r="C180" s="204"/>
      <c r="D180" s="204"/>
      <c r="E180" s="204"/>
      <c r="F180" s="16"/>
      <c r="G180" s="1"/>
      <c r="H180" s="16"/>
      <c r="I180" s="1"/>
      <c r="J180" s="1"/>
    </row>
    <row r="181" spans="1:10" x14ac:dyDescent="0.2">
      <c r="A181" s="1"/>
      <c r="B181" s="204"/>
      <c r="C181" s="204"/>
      <c r="D181" s="204"/>
      <c r="E181" s="204"/>
      <c r="F181" s="16"/>
      <c r="G181" s="1"/>
      <c r="H181" s="16"/>
      <c r="I181" s="1"/>
      <c r="J181" s="1"/>
    </row>
    <row r="182" spans="1:10" x14ac:dyDescent="0.2">
      <c r="A182" s="1"/>
      <c r="B182" s="204"/>
      <c r="C182" s="204"/>
      <c r="D182" s="204"/>
      <c r="E182" s="204"/>
      <c r="F182" s="16"/>
      <c r="G182" s="1"/>
      <c r="H182" s="16"/>
      <c r="I182" s="1"/>
      <c r="J182" s="1"/>
    </row>
    <row r="183" spans="1:10" x14ac:dyDescent="0.2">
      <c r="A183" s="1"/>
      <c r="B183" s="204"/>
      <c r="C183" s="204"/>
      <c r="D183" s="204"/>
      <c r="E183" s="204"/>
      <c r="F183" s="16"/>
      <c r="G183" s="1"/>
      <c r="H183" s="16"/>
      <c r="I183" s="1"/>
      <c r="J183" s="1"/>
    </row>
    <row r="184" spans="1:10" x14ac:dyDescent="0.2">
      <c r="A184" s="1"/>
      <c r="B184" s="204"/>
      <c r="C184" s="204"/>
      <c r="D184" s="204"/>
      <c r="E184" s="204"/>
      <c r="F184" s="16"/>
      <c r="G184" s="1"/>
      <c r="H184" s="16"/>
      <c r="I184" s="1"/>
      <c r="J184" s="1"/>
    </row>
    <row r="185" spans="1:10" x14ac:dyDescent="0.2">
      <c r="A185" s="1"/>
      <c r="B185" s="204"/>
      <c r="C185" s="204"/>
      <c r="D185" s="204"/>
      <c r="E185" s="204"/>
      <c r="F185" s="16"/>
      <c r="G185" s="1"/>
      <c r="H185" s="16"/>
      <c r="I185" s="1"/>
      <c r="J185" s="1"/>
    </row>
    <row r="186" spans="1:10" x14ac:dyDescent="0.2">
      <c r="A186" s="1"/>
      <c r="B186" s="204"/>
      <c r="C186" s="204"/>
      <c r="D186" s="204"/>
      <c r="E186" s="204"/>
      <c r="F186" s="16"/>
      <c r="G186" s="1"/>
      <c r="H186" s="16"/>
      <c r="I186" s="1"/>
      <c r="J186" s="1"/>
    </row>
    <row r="187" spans="1:10" x14ac:dyDescent="0.2">
      <c r="A187" s="1"/>
      <c r="B187" s="204"/>
      <c r="C187" s="204"/>
      <c r="D187" s="204"/>
      <c r="E187" s="204"/>
      <c r="F187" s="16"/>
      <c r="G187" s="1"/>
      <c r="H187" s="16"/>
      <c r="I187" s="1"/>
      <c r="J187" s="1"/>
    </row>
    <row r="188" spans="1:10" x14ac:dyDescent="0.2">
      <c r="A188" s="1"/>
      <c r="B188" s="204"/>
      <c r="C188" s="204"/>
      <c r="D188" s="204"/>
      <c r="E188" s="204"/>
      <c r="F188" s="16"/>
      <c r="G188" s="1"/>
      <c r="H188" s="16"/>
      <c r="I188" s="1"/>
      <c r="J188" s="1"/>
    </row>
    <row r="189" spans="1:10" x14ac:dyDescent="0.2">
      <c r="A189" s="1"/>
      <c r="B189" s="204"/>
      <c r="C189" s="204"/>
      <c r="D189" s="204"/>
      <c r="E189" s="204"/>
      <c r="F189" s="16"/>
      <c r="G189" s="1"/>
      <c r="H189" s="16"/>
      <c r="I189" s="1"/>
      <c r="J189" s="1"/>
    </row>
    <row r="190" spans="1:10" x14ac:dyDescent="0.2">
      <c r="A190" s="1"/>
      <c r="B190" s="204"/>
      <c r="C190" s="204"/>
      <c r="D190" s="204"/>
      <c r="E190" s="204"/>
      <c r="F190" s="16"/>
      <c r="G190" s="1"/>
      <c r="H190" s="16"/>
      <c r="I190" s="1"/>
      <c r="J190" s="1"/>
    </row>
    <row r="191" spans="1:10" x14ac:dyDescent="0.2">
      <c r="A191" s="1"/>
      <c r="B191" s="204"/>
      <c r="C191" s="204"/>
      <c r="D191" s="204"/>
      <c r="E191" s="204"/>
      <c r="F191" s="16"/>
      <c r="G191" s="1"/>
      <c r="H191" s="16"/>
      <c r="I191" s="1"/>
      <c r="J191" s="1"/>
    </row>
    <row r="192" spans="1:10" x14ac:dyDescent="0.2">
      <c r="A192" s="1"/>
      <c r="B192" s="204"/>
      <c r="C192" s="204"/>
      <c r="D192" s="204"/>
      <c r="E192" s="204"/>
      <c r="F192" s="16"/>
      <c r="G192" s="1"/>
      <c r="H192" s="16"/>
      <c r="I192" s="1"/>
      <c r="J192" s="1"/>
    </row>
    <row r="193" spans="1:10" x14ac:dyDescent="0.2">
      <c r="A193" s="1"/>
      <c r="B193" s="204"/>
      <c r="C193" s="204"/>
      <c r="D193" s="204"/>
      <c r="E193" s="204"/>
      <c r="F193" s="16"/>
      <c r="G193" s="1"/>
      <c r="H193" s="16"/>
      <c r="I193" s="1"/>
      <c r="J193" s="1"/>
    </row>
    <row r="194" spans="1:10" x14ac:dyDescent="0.2">
      <c r="A194" s="1"/>
      <c r="B194" s="204"/>
      <c r="C194" s="204"/>
      <c r="D194" s="204"/>
      <c r="E194" s="204"/>
      <c r="F194" s="16"/>
      <c r="G194" s="1"/>
      <c r="H194" s="16"/>
      <c r="I194" s="1"/>
      <c r="J194" s="1"/>
    </row>
    <row r="195" spans="1:10" x14ac:dyDescent="0.2">
      <c r="A195" s="1"/>
      <c r="B195" s="204"/>
      <c r="C195" s="204"/>
      <c r="D195" s="204"/>
      <c r="E195" s="204"/>
      <c r="F195" s="16"/>
      <c r="G195" s="1"/>
      <c r="H195" s="16"/>
      <c r="I195" s="1"/>
      <c r="J195" s="1"/>
    </row>
    <row r="196" spans="1:10" x14ac:dyDescent="0.2">
      <c r="A196" s="1"/>
      <c r="B196" s="204"/>
      <c r="C196" s="204"/>
      <c r="D196" s="204"/>
      <c r="E196" s="204"/>
      <c r="F196" s="16"/>
      <c r="G196" s="1"/>
      <c r="H196" s="16"/>
      <c r="I196" s="1"/>
      <c r="J196" s="1"/>
    </row>
    <row r="197" spans="1:10" x14ac:dyDescent="0.2">
      <c r="A197" s="1"/>
      <c r="B197" s="204"/>
      <c r="C197" s="204"/>
      <c r="D197" s="204"/>
      <c r="E197" s="204"/>
      <c r="F197" s="16"/>
      <c r="G197" s="1"/>
      <c r="H197" s="16"/>
      <c r="I197" s="1"/>
      <c r="J197" s="1"/>
    </row>
    <row r="198" spans="1:10" x14ac:dyDescent="0.2">
      <c r="A198" s="1"/>
      <c r="B198" s="204"/>
      <c r="C198" s="204"/>
      <c r="D198" s="204"/>
      <c r="E198" s="204"/>
      <c r="F198" s="16"/>
      <c r="G198" s="1"/>
      <c r="H198" s="16"/>
      <c r="I198" s="1"/>
      <c r="J198" s="1"/>
    </row>
    <row r="199" spans="1:10" x14ac:dyDescent="0.2">
      <c r="A199" s="1"/>
      <c r="B199" s="204"/>
      <c r="C199" s="204"/>
      <c r="D199" s="204"/>
      <c r="E199" s="204"/>
      <c r="F199" s="16"/>
      <c r="G199" s="1"/>
      <c r="H199" s="16"/>
      <c r="I199" s="1"/>
      <c r="J199" s="1"/>
    </row>
    <row r="200" spans="1:10" x14ac:dyDescent="0.2">
      <c r="A200" s="1"/>
      <c r="B200" s="204"/>
      <c r="C200" s="204"/>
      <c r="D200" s="204"/>
      <c r="E200" s="204"/>
      <c r="F200" s="16"/>
      <c r="G200" s="1"/>
      <c r="H200" s="16"/>
      <c r="I200" s="1"/>
      <c r="J200" s="1"/>
    </row>
    <row r="201" spans="1:10" x14ac:dyDescent="0.2">
      <c r="A201" s="1"/>
      <c r="B201" s="204"/>
      <c r="C201" s="204"/>
      <c r="D201" s="204"/>
      <c r="E201" s="204"/>
      <c r="F201" s="16"/>
      <c r="G201" s="1"/>
      <c r="H201" s="16"/>
      <c r="I201" s="1"/>
      <c r="J201" s="1"/>
    </row>
    <row r="202" spans="1:10" x14ac:dyDescent="0.2">
      <c r="A202" s="1"/>
      <c r="B202" s="204"/>
      <c r="C202" s="204"/>
      <c r="D202" s="204"/>
      <c r="E202" s="204"/>
      <c r="F202" s="16"/>
      <c r="G202" s="1"/>
      <c r="H202" s="16"/>
      <c r="I202" s="1"/>
      <c r="J202" s="1"/>
    </row>
    <row r="203" spans="1:10" x14ac:dyDescent="0.2">
      <c r="A203" s="1"/>
      <c r="B203" s="204"/>
      <c r="C203" s="204"/>
      <c r="D203" s="204"/>
      <c r="E203" s="204"/>
      <c r="F203" s="16"/>
      <c r="G203" s="1"/>
      <c r="H203" s="16"/>
      <c r="I203" s="1"/>
      <c r="J203" s="1"/>
    </row>
    <row r="204" spans="1:10" x14ac:dyDescent="0.2">
      <c r="A204" s="1"/>
      <c r="B204" s="204"/>
      <c r="C204" s="204"/>
      <c r="D204" s="204"/>
      <c r="E204" s="204"/>
      <c r="F204" s="16"/>
      <c r="G204" s="1"/>
      <c r="H204" s="16"/>
      <c r="I204" s="1"/>
      <c r="J204" s="1"/>
    </row>
    <row r="205" spans="1:10" x14ac:dyDescent="0.2">
      <c r="A205" s="1"/>
      <c r="B205" s="204"/>
      <c r="C205" s="204"/>
      <c r="D205" s="204"/>
      <c r="E205" s="204"/>
      <c r="F205" s="16"/>
      <c r="G205" s="1"/>
      <c r="H205" s="16"/>
      <c r="I205" s="1"/>
      <c r="J205" s="1"/>
    </row>
    <row r="206" spans="1:10" x14ac:dyDescent="0.2">
      <c r="A206" s="1"/>
      <c r="B206" s="204"/>
      <c r="C206" s="204"/>
      <c r="D206" s="204"/>
      <c r="E206" s="204"/>
      <c r="F206" s="16"/>
      <c r="G206" s="1"/>
      <c r="H206" s="16"/>
      <c r="I206" s="1"/>
      <c r="J206" s="1"/>
    </row>
    <row r="207" spans="1:10" x14ac:dyDescent="0.2">
      <c r="A207" s="1"/>
      <c r="B207" s="204"/>
      <c r="C207" s="204"/>
      <c r="D207" s="204"/>
      <c r="E207" s="204"/>
      <c r="F207" s="16"/>
      <c r="G207" s="1"/>
      <c r="H207" s="16"/>
      <c r="I207" s="1"/>
      <c r="J207" s="1"/>
    </row>
    <row r="208" spans="1:10" x14ac:dyDescent="0.2">
      <c r="A208" s="1"/>
      <c r="B208" s="204"/>
      <c r="C208" s="204"/>
      <c r="D208" s="204"/>
      <c r="E208" s="204"/>
      <c r="F208" s="16"/>
      <c r="G208" s="1"/>
      <c r="H208" s="16"/>
      <c r="I208" s="1"/>
      <c r="J208" s="1"/>
    </row>
    <row r="209" spans="1:10" x14ac:dyDescent="0.2">
      <c r="A209" s="1"/>
      <c r="B209" s="204"/>
      <c r="C209" s="204"/>
      <c r="D209" s="204"/>
      <c r="E209" s="204"/>
      <c r="F209" s="16"/>
      <c r="G209" s="1"/>
      <c r="H209" s="16"/>
      <c r="I209" s="1"/>
      <c r="J209" s="1"/>
    </row>
    <row r="210" spans="1:10" x14ac:dyDescent="0.2">
      <c r="A210" s="1"/>
      <c r="B210" s="204"/>
      <c r="C210" s="204"/>
      <c r="D210" s="204"/>
      <c r="E210" s="204"/>
      <c r="F210" s="16"/>
      <c r="G210" s="1"/>
      <c r="H210" s="16"/>
      <c r="I210" s="1"/>
      <c r="J210" s="1"/>
    </row>
    <row r="211" spans="1:10" x14ac:dyDescent="0.2">
      <c r="A211" s="1"/>
      <c r="B211" s="204"/>
      <c r="C211" s="204"/>
      <c r="D211" s="204"/>
      <c r="E211" s="204"/>
      <c r="F211" s="16"/>
      <c r="G211" s="1"/>
      <c r="H211" s="16"/>
      <c r="I211" s="1"/>
      <c r="J211" s="1"/>
    </row>
    <row r="212" spans="1:10" x14ac:dyDescent="0.2">
      <c r="A212" s="1"/>
      <c r="B212" s="204"/>
      <c r="C212" s="204"/>
      <c r="D212" s="204"/>
      <c r="E212" s="204"/>
      <c r="F212" s="16"/>
      <c r="G212" s="1"/>
      <c r="H212" s="16"/>
      <c r="I212" s="1"/>
      <c r="J212" s="1"/>
    </row>
    <row r="213" spans="1:10" x14ac:dyDescent="0.2">
      <c r="A213" s="1"/>
      <c r="B213" s="204"/>
      <c r="C213" s="204"/>
      <c r="D213" s="204"/>
      <c r="E213" s="204"/>
      <c r="F213" s="16"/>
      <c r="G213" s="1"/>
      <c r="H213" s="16"/>
      <c r="I213" s="1"/>
      <c r="J213" s="1"/>
    </row>
    <row r="214" spans="1:10" x14ac:dyDescent="0.2">
      <c r="A214" s="1"/>
      <c r="B214" s="204"/>
      <c r="C214" s="204"/>
      <c r="D214" s="204"/>
      <c r="E214" s="204"/>
      <c r="F214" s="16"/>
      <c r="G214" s="1"/>
      <c r="H214" s="16"/>
      <c r="I214" s="1"/>
      <c r="J214" s="1"/>
    </row>
    <row r="215" spans="1:10" x14ac:dyDescent="0.2">
      <c r="A215" s="1"/>
      <c r="B215" s="204"/>
      <c r="C215" s="204"/>
      <c r="D215" s="204"/>
      <c r="E215" s="204"/>
      <c r="F215" s="16"/>
      <c r="G215" s="1"/>
      <c r="H215" s="16"/>
      <c r="I215" s="1"/>
      <c r="J215" s="1"/>
    </row>
    <row r="216" spans="1:10" x14ac:dyDescent="0.2">
      <c r="A216" s="1"/>
      <c r="B216" s="204"/>
      <c r="C216" s="204"/>
      <c r="D216" s="204"/>
      <c r="E216" s="204"/>
      <c r="F216" s="16"/>
      <c r="G216" s="1"/>
      <c r="H216" s="16"/>
      <c r="I216" s="1"/>
      <c r="J216" s="1"/>
    </row>
    <row r="217" spans="1:10" x14ac:dyDescent="0.2">
      <c r="A217" s="1"/>
      <c r="B217" s="204"/>
      <c r="C217" s="204"/>
      <c r="D217" s="204"/>
      <c r="E217" s="204"/>
      <c r="F217" s="16"/>
      <c r="G217" s="1"/>
      <c r="H217" s="16"/>
      <c r="I217" s="1"/>
      <c r="J217" s="1"/>
    </row>
    <row r="218" spans="1:10" x14ac:dyDescent="0.2">
      <c r="A218" s="1"/>
      <c r="B218" s="204"/>
      <c r="C218" s="204"/>
      <c r="D218" s="204"/>
      <c r="E218" s="204"/>
      <c r="F218" s="16"/>
      <c r="G218" s="1"/>
      <c r="H218" s="16"/>
      <c r="I218" s="1"/>
      <c r="J218" s="1"/>
    </row>
    <row r="219" spans="1:10" x14ac:dyDescent="0.2">
      <c r="A219" s="1"/>
      <c r="B219" s="204"/>
      <c r="C219" s="204"/>
      <c r="D219" s="204"/>
      <c r="E219" s="204"/>
      <c r="F219" s="16"/>
      <c r="G219" s="1"/>
      <c r="H219" s="16"/>
      <c r="I219" s="1"/>
      <c r="J219" s="1"/>
    </row>
    <row r="220" spans="1:10" x14ac:dyDescent="0.2">
      <c r="A220" s="1"/>
      <c r="B220" s="204"/>
      <c r="C220" s="204"/>
      <c r="D220" s="204"/>
      <c r="E220" s="204"/>
      <c r="F220" s="16"/>
      <c r="G220" s="1"/>
      <c r="H220" s="16"/>
      <c r="I220" s="1"/>
      <c r="J220" s="1"/>
    </row>
    <row r="221" spans="1:10" x14ac:dyDescent="0.2">
      <c r="A221" s="1"/>
      <c r="B221" s="204"/>
      <c r="C221" s="204"/>
      <c r="D221" s="204"/>
      <c r="E221" s="204"/>
      <c r="F221" s="16"/>
      <c r="G221" s="1"/>
      <c r="H221" s="16"/>
      <c r="I221" s="1"/>
      <c r="J221" s="1"/>
    </row>
    <row r="222" spans="1:10" x14ac:dyDescent="0.2">
      <c r="A222" s="1"/>
      <c r="B222" s="204"/>
      <c r="C222" s="204"/>
      <c r="D222" s="204"/>
      <c r="E222" s="204"/>
      <c r="F222" s="16"/>
      <c r="G222" s="1"/>
      <c r="H222" s="16"/>
      <c r="I222" s="1"/>
      <c r="J222" s="1"/>
    </row>
    <row r="223" spans="1:10" x14ac:dyDescent="0.2">
      <c r="A223" s="1"/>
      <c r="B223" s="204"/>
      <c r="C223" s="204"/>
      <c r="D223" s="204"/>
      <c r="E223" s="204"/>
      <c r="F223" s="16"/>
      <c r="G223" s="1"/>
      <c r="H223" s="16"/>
      <c r="I223" s="1"/>
      <c r="J223" s="1"/>
    </row>
    <row r="224" spans="1:10" x14ac:dyDescent="0.2">
      <c r="A224" s="1"/>
      <c r="B224" s="204"/>
      <c r="C224" s="204"/>
      <c r="D224" s="204"/>
      <c r="E224" s="204"/>
      <c r="F224" s="16"/>
      <c r="G224" s="1"/>
      <c r="H224" s="16"/>
      <c r="I224" s="1"/>
      <c r="J224" s="1"/>
    </row>
    <row r="225" spans="1:10" x14ac:dyDescent="0.2">
      <c r="A225" s="1"/>
      <c r="B225" s="204"/>
      <c r="C225" s="204"/>
      <c r="D225" s="204"/>
      <c r="E225" s="204"/>
      <c r="F225" s="16"/>
      <c r="G225" s="1"/>
      <c r="H225" s="16"/>
      <c r="I225" s="1"/>
      <c r="J225" s="1"/>
    </row>
    <row r="226" spans="1:10" x14ac:dyDescent="0.2">
      <c r="A226" s="1"/>
      <c r="B226" s="204"/>
      <c r="C226" s="204"/>
      <c r="D226" s="204"/>
      <c r="E226" s="204"/>
      <c r="F226" s="16"/>
      <c r="G226" s="1"/>
      <c r="H226" s="16"/>
      <c r="I226" s="1"/>
      <c r="J226" s="1"/>
    </row>
    <row r="227" spans="1:10" x14ac:dyDescent="0.2">
      <c r="A227" s="1"/>
      <c r="B227" s="204"/>
      <c r="C227" s="204"/>
      <c r="D227" s="204"/>
      <c r="E227" s="204"/>
      <c r="F227" s="16"/>
      <c r="G227" s="1"/>
      <c r="H227" s="16"/>
      <c r="I227" s="1"/>
      <c r="J227" s="1"/>
    </row>
    <row r="228" spans="1:10" x14ac:dyDescent="0.2">
      <c r="A228" s="1"/>
      <c r="B228" s="204"/>
      <c r="C228" s="204"/>
      <c r="D228" s="204"/>
      <c r="E228" s="204"/>
      <c r="F228" s="16"/>
      <c r="G228" s="1"/>
      <c r="H228" s="16"/>
      <c r="I228" s="1"/>
      <c r="J228" s="1"/>
    </row>
    <row r="229" spans="1:10" x14ac:dyDescent="0.2">
      <c r="A229" s="1"/>
      <c r="B229" s="204"/>
      <c r="C229" s="204"/>
      <c r="D229" s="204"/>
      <c r="E229" s="204"/>
      <c r="F229" s="16"/>
      <c r="G229" s="1"/>
      <c r="H229" s="16"/>
      <c r="I229" s="1"/>
      <c r="J229" s="1"/>
    </row>
    <row r="230" spans="1:10" x14ac:dyDescent="0.2">
      <c r="A230" s="1"/>
      <c r="B230" s="204"/>
      <c r="C230" s="204"/>
      <c r="D230" s="204"/>
      <c r="E230" s="204"/>
      <c r="F230" s="16"/>
      <c r="G230" s="1"/>
      <c r="H230" s="16"/>
      <c r="I230" s="1"/>
      <c r="J230" s="1"/>
    </row>
    <row r="231" spans="1:10" x14ac:dyDescent="0.2">
      <c r="A231" s="1"/>
      <c r="B231" s="204"/>
      <c r="C231" s="204"/>
      <c r="D231" s="204"/>
      <c r="E231" s="204"/>
      <c r="F231" s="16"/>
      <c r="G231" s="1"/>
      <c r="H231" s="16"/>
      <c r="I231" s="1"/>
      <c r="J231" s="1"/>
    </row>
    <row r="232" spans="1:10" x14ac:dyDescent="0.2">
      <c r="A232" s="1"/>
      <c r="B232" s="204"/>
      <c r="C232" s="204"/>
      <c r="D232" s="204"/>
      <c r="E232" s="204"/>
      <c r="F232" s="16"/>
      <c r="G232" s="1"/>
      <c r="H232" s="16"/>
      <c r="I232" s="1"/>
      <c r="J232" s="1"/>
    </row>
    <row r="233" spans="1:10" x14ac:dyDescent="0.2">
      <c r="A233" s="1"/>
      <c r="B233" s="204"/>
      <c r="C233" s="204"/>
      <c r="D233" s="204"/>
      <c r="E233" s="204"/>
      <c r="F233" s="16"/>
      <c r="G233" s="1"/>
      <c r="H233" s="16"/>
      <c r="I233" s="1"/>
      <c r="J233" s="1"/>
    </row>
    <row r="234" spans="1:10" x14ac:dyDescent="0.2">
      <c r="A234" s="1"/>
      <c r="B234" s="204"/>
      <c r="C234" s="204"/>
      <c r="D234" s="204"/>
      <c r="E234" s="204"/>
      <c r="F234" s="16"/>
      <c r="G234" s="1"/>
      <c r="H234" s="16"/>
      <c r="I234" s="1"/>
      <c r="J234" s="1"/>
    </row>
    <row r="235" spans="1:10" x14ac:dyDescent="0.2">
      <c r="A235" s="1"/>
      <c r="B235" s="204"/>
      <c r="C235" s="204"/>
      <c r="D235" s="204"/>
      <c r="E235" s="204"/>
      <c r="F235" s="16"/>
      <c r="G235" s="1"/>
      <c r="H235" s="16"/>
      <c r="I235" s="1"/>
      <c r="J235" s="1"/>
    </row>
    <row r="236" spans="1:10" x14ac:dyDescent="0.2">
      <c r="A236" s="1"/>
      <c r="B236" s="204"/>
      <c r="C236" s="204"/>
      <c r="D236" s="204"/>
      <c r="E236" s="204"/>
      <c r="F236" s="16"/>
      <c r="G236" s="1"/>
      <c r="H236" s="16"/>
      <c r="I236" s="1"/>
      <c r="J236" s="1"/>
    </row>
    <row r="237" spans="1:10" x14ac:dyDescent="0.2">
      <c r="A237" s="1"/>
      <c r="B237" s="204"/>
      <c r="C237" s="204"/>
      <c r="D237" s="204"/>
      <c r="E237" s="204"/>
      <c r="F237" s="16"/>
      <c r="G237" s="1"/>
      <c r="H237" s="16"/>
      <c r="I237" s="1"/>
      <c r="J237" s="1"/>
    </row>
    <row r="238" spans="1:10" x14ac:dyDescent="0.2">
      <c r="A238" s="1"/>
      <c r="B238" s="204"/>
      <c r="C238" s="204"/>
      <c r="D238" s="204"/>
      <c r="E238" s="204"/>
      <c r="F238" s="16"/>
      <c r="G238" s="1"/>
      <c r="H238" s="16"/>
      <c r="I238" s="1"/>
      <c r="J238" s="1"/>
    </row>
    <row r="239" spans="1:10" x14ac:dyDescent="0.2">
      <c r="A239" s="1"/>
      <c r="B239" s="204"/>
      <c r="C239" s="204"/>
      <c r="D239" s="204"/>
      <c r="E239" s="204"/>
      <c r="F239" s="16"/>
      <c r="G239" s="1"/>
      <c r="H239" s="16"/>
      <c r="I239" s="1"/>
      <c r="J239" s="1"/>
    </row>
    <row r="240" spans="1:10" x14ac:dyDescent="0.2">
      <c r="A240" s="1"/>
      <c r="B240" s="204"/>
      <c r="C240" s="204"/>
      <c r="D240" s="204"/>
      <c r="E240" s="204"/>
      <c r="F240" s="16"/>
      <c r="G240" s="1"/>
      <c r="H240" s="16"/>
      <c r="I240" s="1"/>
      <c r="J240" s="1"/>
    </row>
    <row r="241" spans="1:10" x14ac:dyDescent="0.2">
      <c r="A241" s="1"/>
      <c r="B241" s="204"/>
      <c r="C241" s="204"/>
      <c r="D241" s="204"/>
      <c r="E241" s="204"/>
      <c r="F241" s="16"/>
      <c r="G241" s="1"/>
      <c r="H241" s="16"/>
      <c r="I241" s="1"/>
      <c r="J241" s="1"/>
    </row>
    <row r="242" spans="1:10" x14ac:dyDescent="0.2">
      <c r="A242" s="1"/>
      <c r="B242" s="204"/>
      <c r="C242" s="204"/>
      <c r="D242" s="204"/>
      <c r="E242" s="204"/>
      <c r="F242" s="16"/>
      <c r="G242" s="1"/>
      <c r="H242" s="16"/>
      <c r="I242" s="1"/>
      <c r="J242" s="1"/>
    </row>
    <row r="243" spans="1:10" x14ac:dyDescent="0.2">
      <c r="A243" s="1"/>
      <c r="B243" s="204"/>
      <c r="C243" s="204"/>
      <c r="D243" s="204"/>
      <c r="E243" s="204"/>
      <c r="F243" s="16"/>
      <c r="G243" s="1"/>
      <c r="H243" s="16"/>
      <c r="I243" s="1"/>
      <c r="J243" s="1"/>
    </row>
    <row r="244" spans="1:10" x14ac:dyDescent="0.2">
      <c r="A244" s="1"/>
      <c r="B244" s="204"/>
      <c r="C244" s="204"/>
      <c r="D244" s="204"/>
      <c r="E244" s="204"/>
      <c r="F244" s="16"/>
      <c r="G244" s="1"/>
      <c r="H244" s="16"/>
      <c r="I244" s="1"/>
      <c r="J244" s="1"/>
    </row>
    <row r="245" spans="1:10" x14ac:dyDescent="0.2">
      <c r="A245" s="1"/>
      <c r="B245" s="204"/>
      <c r="C245" s="204"/>
      <c r="D245" s="204"/>
      <c r="E245" s="204"/>
      <c r="F245" s="16"/>
      <c r="G245" s="1"/>
      <c r="H245" s="16"/>
      <c r="I245" s="1"/>
      <c r="J245" s="1"/>
    </row>
    <row r="246" spans="1:10" x14ac:dyDescent="0.2">
      <c r="A246" s="1"/>
      <c r="B246" s="204"/>
      <c r="C246" s="204"/>
      <c r="D246" s="204"/>
      <c r="E246" s="204"/>
      <c r="F246" s="16"/>
      <c r="G246" s="1"/>
      <c r="H246" s="16"/>
      <c r="I246" s="1"/>
      <c r="J246" s="1"/>
    </row>
    <row r="247" spans="1:10" x14ac:dyDescent="0.2">
      <c r="A247" s="1"/>
      <c r="B247" s="204"/>
      <c r="C247" s="204"/>
      <c r="D247" s="204"/>
      <c r="E247" s="204"/>
      <c r="F247" s="16"/>
      <c r="G247" s="1"/>
      <c r="H247" s="16"/>
      <c r="I247" s="1"/>
      <c r="J247" s="1"/>
    </row>
    <row r="248" spans="1:10" x14ac:dyDescent="0.2">
      <c r="A248" s="1"/>
      <c r="B248" s="204"/>
      <c r="C248" s="204"/>
      <c r="D248" s="204"/>
      <c r="E248" s="204"/>
      <c r="F248" s="16"/>
      <c r="G248" s="1"/>
      <c r="H248" s="16"/>
      <c r="I248" s="1"/>
      <c r="J248" s="1"/>
    </row>
    <row r="249" spans="1:10" x14ac:dyDescent="0.2">
      <c r="A249" s="1"/>
      <c r="B249" s="204"/>
      <c r="C249" s="204"/>
      <c r="D249" s="204"/>
      <c r="E249" s="204"/>
      <c r="F249" s="16"/>
      <c r="G249" s="1"/>
      <c r="H249" s="16"/>
      <c r="I249" s="1"/>
      <c r="J249" s="1"/>
    </row>
    <row r="250" spans="1:10" x14ac:dyDescent="0.2">
      <c r="A250" s="1"/>
      <c r="B250" s="204"/>
      <c r="C250" s="204"/>
      <c r="D250" s="204"/>
      <c r="E250" s="204"/>
      <c r="F250" s="16"/>
      <c r="G250" s="1"/>
      <c r="H250" s="16"/>
      <c r="I250" s="1"/>
      <c r="J250" s="1"/>
    </row>
    <row r="251" spans="1:10" x14ac:dyDescent="0.2">
      <c r="A251" s="1"/>
      <c r="B251" s="204"/>
      <c r="C251" s="204"/>
      <c r="D251" s="204"/>
      <c r="E251" s="204"/>
      <c r="F251" s="16"/>
      <c r="G251" s="1"/>
      <c r="H251" s="16"/>
      <c r="I251" s="1"/>
      <c r="J251" s="1"/>
    </row>
    <row r="252" spans="1:10" x14ac:dyDescent="0.2">
      <c r="A252" s="1"/>
      <c r="B252" s="204"/>
      <c r="C252" s="204"/>
      <c r="D252" s="204"/>
      <c r="E252" s="204"/>
      <c r="F252" s="16"/>
      <c r="G252" s="1"/>
      <c r="H252" s="16"/>
      <c r="I252" s="1"/>
      <c r="J252" s="1"/>
    </row>
    <row r="253" spans="1:10" x14ac:dyDescent="0.2">
      <c r="A253" s="1"/>
      <c r="B253" s="204"/>
      <c r="C253" s="204"/>
      <c r="D253" s="204"/>
      <c r="E253" s="204"/>
      <c r="F253" s="16"/>
      <c r="G253" s="1"/>
      <c r="H253" s="16"/>
      <c r="I253" s="1"/>
      <c r="J253" s="1"/>
    </row>
    <row r="254" spans="1:10" x14ac:dyDescent="0.2">
      <c r="A254" s="1"/>
      <c r="B254" s="204"/>
      <c r="C254" s="204"/>
      <c r="D254" s="204"/>
      <c r="E254" s="204"/>
      <c r="F254" s="16"/>
      <c r="G254" s="1"/>
      <c r="H254" s="16"/>
      <c r="I254" s="1"/>
      <c r="J254" s="1"/>
    </row>
    <row r="255" spans="1:10" x14ac:dyDescent="0.2">
      <c r="A255" s="1"/>
      <c r="B255" s="204"/>
      <c r="C255" s="204"/>
      <c r="D255" s="204"/>
      <c r="E255" s="204"/>
      <c r="F255" s="16"/>
      <c r="G255" s="1"/>
      <c r="H255" s="16"/>
      <c r="I255" s="1"/>
      <c r="J255" s="1"/>
    </row>
    <row r="256" spans="1:10" x14ac:dyDescent="0.2">
      <c r="A256" s="1"/>
      <c r="B256" s="204"/>
      <c r="C256" s="204"/>
      <c r="D256" s="204"/>
      <c r="E256" s="204"/>
      <c r="F256" s="16"/>
      <c r="G256" s="1"/>
      <c r="H256" s="16"/>
      <c r="I256" s="1"/>
      <c r="J256" s="1"/>
    </row>
    <row r="257" spans="1:10" x14ac:dyDescent="0.2">
      <c r="A257" s="1"/>
      <c r="B257" s="204"/>
      <c r="C257" s="204"/>
      <c r="D257" s="204"/>
      <c r="E257" s="204"/>
      <c r="F257" s="16"/>
      <c r="G257" s="1"/>
      <c r="H257" s="16"/>
      <c r="I257" s="1"/>
      <c r="J257" s="1"/>
    </row>
    <row r="258" spans="1:10" x14ac:dyDescent="0.2">
      <c r="A258" s="1"/>
      <c r="B258" s="204"/>
      <c r="C258" s="204"/>
      <c r="D258" s="204"/>
      <c r="E258" s="204"/>
      <c r="F258" s="16"/>
      <c r="G258" s="1"/>
      <c r="H258" s="16"/>
      <c r="I258" s="1"/>
      <c r="J258" s="1"/>
    </row>
    <row r="259" spans="1:10" x14ac:dyDescent="0.2">
      <c r="A259" s="1"/>
      <c r="B259" s="204"/>
      <c r="C259" s="204"/>
      <c r="D259" s="204"/>
      <c r="E259" s="204"/>
      <c r="F259" s="16"/>
      <c r="G259" s="1"/>
      <c r="H259" s="16"/>
      <c r="I259" s="1"/>
      <c r="J259" s="1"/>
    </row>
    <row r="260" spans="1:10" x14ac:dyDescent="0.2">
      <c r="A260" s="1"/>
      <c r="B260" s="204"/>
      <c r="C260" s="204"/>
      <c r="D260" s="204"/>
      <c r="E260" s="204"/>
      <c r="F260" s="16"/>
      <c r="G260" s="1"/>
      <c r="H260" s="16"/>
      <c r="I260" s="1"/>
      <c r="J260" s="1"/>
    </row>
    <row r="261" spans="1:10" x14ac:dyDescent="0.2">
      <c r="A261" s="1"/>
      <c r="B261" s="204"/>
      <c r="C261" s="204"/>
      <c r="D261" s="204"/>
      <c r="E261" s="204"/>
      <c r="F261" s="16"/>
      <c r="G261" s="1"/>
      <c r="H261" s="16"/>
      <c r="I261" s="1"/>
      <c r="J261" s="1"/>
    </row>
    <row r="262" spans="1:10" x14ac:dyDescent="0.2">
      <c r="A262" s="1"/>
      <c r="B262" s="204"/>
      <c r="C262" s="204"/>
      <c r="D262" s="204"/>
      <c r="E262" s="204"/>
      <c r="F262" s="16"/>
      <c r="G262" s="1"/>
      <c r="H262" s="16"/>
      <c r="I262" s="1"/>
      <c r="J262" s="1"/>
    </row>
    <row r="263" spans="1:10" x14ac:dyDescent="0.2">
      <c r="A263" s="1"/>
      <c r="B263" s="204"/>
      <c r="C263" s="204"/>
      <c r="D263" s="204"/>
      <c r="E263" s="204"/>
      <c r="F263" s="16"/>
      <c r="G263" s="1"/>
      <c r="H263" s="16"/>
      <c r="I263" s="1"/>
      <c r="J263" s="1"/>
    </row>
    <row r="264" spans="1:10" x14ac:dyDescent="0.2">
      <c r="A264" s="1"/>
      <c r="B264" s="204"/>
      <c r="C264" s="204"/>
      <c r="D264" s="204"/>
      <c r="E264" s="204"/>
      <c r="F264" s="16"/>
      <c r="G264" s="1"/>
      <c r="H264" s="16"/>
      <c r="I264" s="1"/>
      <c r="J264" s="1"/>
    </row>
    <row r="265" spans="1:10" x14ac:dyDescent="0.2">
      <c r="A265" s="1"/>
      <c r="B265" s="204"/>
      <c r="C265" s="204"/>
      <c r="D265" s="204"/>
      <c r="E265" s="204"/>
      <c r="F265" s="16"/>
      <c r="G265" s="1"/>
      <c r="H265" s="16"/>
      <c r="I265" s="1"/>
      <c r="J265" s="1"/>
    </row>
    <row r="266" spans="1:10" x14ac:dyDescent="0.2">
      <c r="A266" s="1"/>
      <c r="B266" s="204"/>
      <c r="C266" s="204"/>
      <c r="D266" s="204"/>
      <c r="E266" s="204"/>
      <c r="F266" s="16"/>
      <c r="G266" s="1"/>
      <c r="H266" s="16"/>
      <c r="I266" s="1"/>
      <c r="J266" s="1"/>
    </row>
    <row r="267" spans="1:10" x14ac:dyDescent="0.2">
      <c r="A267" s="1"/>
      <c r="B267" s="204"/>
      <c r="C267" s="204"/>
      <c r="D267" s="204"/>
      <c r="E267" s="204"/>
      <c r="F267" s="16"/>
      <c r="G267" s="1"/>
      <c r="H267" s="16"/>
      <c r="I267" s="1"/>
      <c r="J267" s="1"/>
    </row>
    <row r="268" spans="1:10" x14ac:dyDescent="0.2">
      <c r="A268" s="1"/>
      <c r="B268" s="204"/>
      <c r="C268" s="204"/>
      <c r="D268" s="204"/>
      <c r="E268" s="204"/>
      <c r="F268" s="16"/>
      <c r="G268" s="1"/>
      <c r="H268" s="16"/>
      <c r="I268" s="1"/>
      <c r="J268" s="1"/>
    </row>
    <row r="269" spans="1:10" x14ac:dyDescent="0.2">
      <c r="A269" s="1"/>
      <c r="B269" s="204"/>
      <c r="C269" s="204"/>
      <c r="D269" s="204"/>
      <c r="E269" s="204"/>
      <c r="F269" s="16"/>
      <c r="G269" s="1"/>
      <c r="H269" s="16"/>
      <c r="I269" s="1"/>
      <c r="J269" s="1"/>
    </row>
    <row r="270" spans="1:10" x14ac:dyDescent="0.2">
      <c r="A270" s="1"/>
      <c r="B270" s="204"/>
      <c r="C270" s="204"/>
      <c r="D270" s="204"/>
      <c r="E270" s="204"/>
      <c r="F270" s="16"/>
      <c r="G270" s="1"/>
      <c r="H270" s="16"/>
      <c r="I270" s="1"/>
      <c r="J270" s="1"/>
    </row>
    <row r="271" spans="1:10" x14ac:dyDescent="0.2">
      <c r="A271" s="1"/>
      <c r="B271" s="204"/>
      <c r="C271" s="204"/>
      <c r="D271" s="204"/>
      <c r="E271" s="204"/>
      <c r="F271" s="16"/>
      <c r="G271" s="1"/>
      <c r="H271" s="16"/>
      <c r="I271" s="1"/>
      <c r="J271" s="1"/>
    </row>
    <row r="272" spans="1:10" x14ac:dyDescent="0.2">
      <c r="A272" s="1"/>
      <c r="B272" s="204"/>
      <c r="C272" s="204"/>
      <c r="D272" s="204"/>
      <c r="E272" s="204"/>
      <c r="F272" s="16"/>
      <c r="G272" s="1"/>
      <c r="H272" s="16"/>
      <c r="I272" s="1"/>
      <c r="J272" s="1"/>
    </row>
    <row r="273" spans="1:10" x14ac:dyDescent="0.2">
      <c r="A273" s="1"/>
      <c r="B273" s="204"/>
      <c r="C273" s="204"/>
      <c r="D273" s="204"/>
      <c r="E273" s="204"/>
      <c r="F273" s="16"/>
      <c r="G273" s="1"/>
      <c r="H273" s="16"/>
      <c r="I273" s="1"/>
      <c r="J273" s="1"/>
    </row>
    <row r="274" spans="1:10" x14ac:dyDescent="0.2">
      <c r="A274" s="1"/>
      <c r="B274" s="204"/>
      <c r="C274" s="204"/>
      <c r="D274" s="204"/>
      <c r="E274" s="204"/>
      <c r="F274" s="16"/>
      <c r="G274" s="1"/>
      <c r="H274" s="16"/>
      <c r="I274" s="1"/>
      <c r="J274" s="1"/>
    </row>
    <row r="275" spans="1:10" x14ac:dyDescent="0.2">
      <c r="A275" s="1"/>
      <c r="B275" s="204"/>
      <c r="C275" s="204"/>
      <c r="D275" s="204"/>
      <c r="E275" s="204"/>
      <c r="F275" s="16"/>
      <c r="G275" s="1"/>
      <c r="H275" s="16"/>
      <c r="I275" s="1"/>
      <c r="J275" s="1"/>
    </row>
    <row r="276" spans="1:10" x14ac:dyDescent="0.2">
      <c r="A276" s="1"/>
      <c r="B276" s="204"/>
      <c r="C276" s="204"/>
      <c r="D276" s="204"/>
      <c r="E276" s="204"/>
      <c r="F276" s="16"/>
      <c r="G276" s="1"/>
      <c r="H276" s="16"/>
      <c r="I276" s="1"/>
      <c r="J276" s="1"/>
    </row>
    <row r="277" spans="1:10" x14ac:dyDescent="0.2">
      <c r="A277" s="1"/>
      <c r="B277" s="204"/>
      <c r="C277" s="204"/>
      <c r="D277" s="204"/>
      <c r="E277" s="204"/>
      <c r="F277" s="16"/>
      <c r="G277" s="1"/>
      <c r="H277" s="16"/>
      <c r="I277" s="1"/>
      <c r="J277" s="1"/>
    </row>
    <row r="278" spans="1:10" x14ac:dyDescent="0.2">
      <c r="A278" s="1"/>
      <c r="B278" s="204"/>
      <c r="C278" s="204"/>
      <c r="D278" s="204"/>
      <c r="E278" s="204"/>
      <c r="F278" s="16"/>
      <c r="G278" s="1"/>
      <c r="H278" s="16"/>
      <c r="I278" s="1"/>
      <c r="J278" s="1"/>
    </row>
    <row r="279" spans="1:10" x14ac:dyDescent="0.2">
      <c r="A279" s="1"/>
      <c r="B279" s="204"/>
      <c r="C279" s="204"/>
      <c r="D279" s="204"/>
      <c r="E279" s="204"/>
      <c r="F279" s="16"/>
      <c r="G279" s="1"/>
      <c r="H279" s="16"/>
      <c r="I279" s="1"/>
      <c r="J279" s="1"/>
    </row>
    <row r="280" spans="1:10" x14ac:dyDescent="0.2">
      <c r="A280" s="1"/>
      <c r="B280" s="204"/>
      <c r="C280" s="204"/>
      <c r="D280" s="204"/>
      <c r="E280" s="204"/>
      <c r="F280" s="16"/>
      <c r="G280" s="1"/>
      <c r="H280" s="16"/>
      <c r="I280" s="1"/>
      <c r="J280" s="1"/>
    </row>
    <row r="281" spans="1:10" x14ac:dyDescent="0.2">
      <c r="A281" s="1"/>
      <c r="B281" s="204"/>
      <c r="C281" s="204"/>
      <c r="D281" s="204"/>
      <c r="E281" s="204"/>
      <c r="F281" s="16"/>
      <c r="G281" s="1"/>
      <c r="H281" s="16"/>
      <c r="I281" s="1"/>
      <c r="J281" s="1"/>
    </row>
    <row r="282" spans="1:10" x14ac:dyDescent="0.2">
      <c r="A282" s="1"/>
      <c r="B282" s="204"/>
      <c r="C282" s="204"/>
      <c r="D282" s="204"/>
      <c r="E282" s="204"/>
      <c r="F282" s="16"/>
      <c r="G282" s="1"/>
      <c r="H282" s="16"/>
      <c r="I282" s="1"/>
      <c r="J282" s="1"/>
    </row>
    <row r="283" spans="1:10" x14ac:dyDescent="0.2">
      <c r="A283" s="1"/>
      <c r="B283" s="204"/>
      <c r="C283" s="204"/>
      <c r="D283" s="204"/>
      <c r="E283" s="204"/>
      <c r="F283" s="16"/>
      <c r="G283" s="1"/>
      <c r="H283" s="16"/>
      <c r="I283" s="1"/>
      <c r="J283" s="1"/>
    </row>
    <row r="284" spans="1:10" x14ac:dyDescent="0.2">
      <c r="A284" s="1"/>
      <c r="B284" s="204"/>
      <c r="C284" s="204"/>
      <c r="D284" s="204"/>
      <c r="E284" s="204"/>
      <c r="F284" s="16"/>
      <c r="G284" s="1"/>
      <c r="H284" s="16"/>
      <c r="I284" s="1"/>
      <c r="J284" s="1"/>
    </row>
    <row r="285" spans="1:10" x14ac:dyDescent="0.2">
      <c r="A285" s="1"/>
      <c r="B285" s="204"/>
      <c r="C285" s="204"/>
      <c r="D285" s="204"/>
      <c r="E285" s="204"/>
      <c r="F285" s="16"/>
      <c r="G285" s="1"/>
      <c r="H285" s="16"/>
      <c r="I285" s="1"/>
      <c r="J285" s="1"/>
    </row>
    <row r="286" spans="1:10" x14ac:dyDescent="0.2">
      <c r="A286" s="1"/>
      <c r="B286" s="204"/>
      <c r="C286" s="204"/>
      <c r="D286" s="204"/>
      <c r="E286" s="204"/>
      <c r="F286" s="16"/>
      <c r="G286" s="1"/>
      <c r="H286" s="16"/>
      <c r="I286" s="1"/>
      <c r="J286" s="1"/>
    </row>
    <row r="287" spans="1:10" x14ac:dyDescent="0.2">
      <c r="A287" s="1"/>
      <c r="B287" s="204"/>
      <c r="C287" s="204"/>
      <c r="D287" s="204"/>
      <c r="E287" s="204"/>
      <c r="F287" s="16"/>
      <c r="G287" s="1"/>
      <c r="H287" s="16"/>
      <c r="I287" s="1"/>
      <c r="J287" s="1"/>
    </row>
    <row r="288" spans="1:10" x14ac:dyDescent="0.2">
      <c r="A288" s="1"/>
      <c r="B288" s="204"/>
      <c r="C288" s="204"/>
      <c r="D288" s="204"/>
      <c r="E288" s="204"/>
      <c r="F288" s="16"/>
      <c r="G288" s="1"/>
      <c r="H288" s="16"/>
      <c r="I288" s="1"/>
      <c r="J288" s="1"/>
    </row>
    <row r="289" spans="1:10" x14ac:dyDescent="0.2">
      <c r="A289" s="1"/>
      <c r="B289" s="204"/>
      <c r="C289" s="204"/>
      <c r="D289" s="204"/>
      <c r="E289" s="204"/>
      <c r="F289" s="16"/>
      <c r="G289" s="1"/>
      <c r="H289" s="16"/>
      <c r="I289" s="1"/>
      <c r="J289" s="1"/>
    </row>
    <row r="290" spans="1:10" x14ac:dyDescent="0.2">
      <c r="A290" s="1"/>
      <c r="B290" s="204"/>
      <c r="C290" s="204"/>
      <c r="D290" s="204"/>
      <c r="E290" s="204"/>
      <c r="F290" s="16"/>
      <c r="G290" s="1"/>
      <c r="H290" s="16"/>
      <c r="I290" s="1"/>
      <c r="J290" s="1"/>
    </row>
    <row r="291" spans="1:10" x14ac:dyDescent="0.2">
      <c r="A291" s="1"/>
      <c r="B291" s="204"/>
      <c r="C291" s="204"/>
      <c r="D291" s="204"/>
      <c r="E291" s="204"/>
      <c r="F291" s="16"/>
      <c r="G291" s="1"/>
      <c r="H291" s="16"/>
      <c r="I291" s="1"/>
      <c r="J291" s="1"/>
    </row>
    <row r="292" spans="1:10" x14ac:dyDescent="0.2">
      <c r="A292" s="1"/>
      <c r="B292" s="204"/>
      <c r="C292" s="204"/>
      <c r="D292" s="204"/>
      <c r="E292" s="204"/>
      <c r="F292" s="16"/>
      <c r="G292" s="1"/>
      <c r="H292" s="16"/>
      <c r="I292" s="1"/>
      <c r="J292" s="1"/>
    </row>
    <row r="293" spans="1:10" x14ac:dyDescent="0.2">
      <c r="A293" s="1"/>
      <c r="B293" s="204"/>
      <c r="C293" s="204"/>
      <c r="D293" s="204"/>
      <c r="E293" s="204"/>
      <c r="F293" s="16"/>
      <c r="G293" s="1"/>
      <c r="H293" s="16"/>
      <c r="I293" s="1"/>
      <c r="J293" s="1"/>
    </row>
    <row r="294" spans="1:10" x14ac:dyDescent="0.2">
      <c r="A294" s="1"/>
      <c r="B294" s="204"/>
      <c r="C294" s="204"/>
      <c r="D294" s="204"/>
      <c r="E294" s="204"/>
      <c r="F294" s="16"/>
      <c r="G294" s="1"/>
      <c r="H294" s="16"/>
      <c r="I294" s="1"/>
      <c r="J294" s="1"/>
    </row>
    <row r="295" spans="1:10" x14ac:dyDescent="0.2">
      <c r="A295" s="1"/>
      <c r="B295" s="204"/>
      <c r="C295" s="204"/>
      <c r="D295" s="204"/>
      <c r="E295" s="204"/>
      <c r="F295" s="16"/>
      <c r="G295" s="1"/>
      <c r="H295" s="16"/>
      <c r="I295" s="1"/>
      <c r="J295" s="1"/>
    </row>
    <row r="296" spans="1:10" x14ac:dyDescent="0.2">
      <c r="A296" s="1"/>
      <c r="B296" s="204"/>
      <c r="C296" s="204"/>
      <c r="D296" s="204"/>
      <c r="E296" s="204"/>
      <c r="F296" s="16"/>
      <c r="G296" s="1"/>
      <c r="H296" s="16"/>
      <c r="I296" s="1"/>
      <c r="J296" s="1"/>
    </row>
    <row r="297" spans="1:10" x14ac:dyDescent="0.2">
      <c r="A297" s="1"/>
      <c r="B297" s="204"/>
      <c r="C297" s="204"/>
      <c r="D297" s="204"/>
      <c r="E297" s="204"/>
      <c r="F297" s="16"/>
      <c r="G297" s="1"/>
      <c r="H297" s="16"/>
      <c r="I297" s="1"/>
      <c r="J297" s="1"/>
    </row>
    <row r="298" spans="1:10" x14ac:dyDescent="0.2">
      <c r="A298" s="1"/>
      <c r="B298" s="204"/>
      <c r="C298" s="204"/>
      <c r="D298" s="204"/>
      <c r="E298" s="204"/>
      <c r="F298" s="16"/>
      <c r="G298" s="1"/>
      <c r="H298" s="16"/>
      <c r="I298" s="1"/>
      <c r="J298" s="1"/>
    </row>
    <row r="299" spans="1:10" x14ac:dyDescent="0.2">
      <c r="A299" s="1"/>
      <c r="B299" s="204"/>
      <c r="C299" s="204"/>
      <c r="D299" s="204"/>
      <c r="E299" s="204"/>
      <c r="F299" s="16"/>
      <c r="G299" s="1"/>
      <c r="H299" s="16"/>
      <c r="I299" s="1"/>
      <c r="J299" s="1"/>
    </row>
    <row r="300" spans="1:10" x14ac:dyDescent="0.2">
      <c r="A300" s="1"/>
      <c r="B300" s="204"/>
      <c r="C300" s="204"/>
      <c r="D300" s="204"/>
      <c r="E300" s="204"/>
      <c r="F300" s="16"/>
      <c r="G300" s="1"/>
      <c r="H300" s="16"/>
      <c r="I300" s="1"/>
      <c r="J300" s="1"/>
    </row>
    <row r="301" spans="1:10" x14ac:dyDescent="0.2">
      <c r="A301" s="1"/>
      <c r="B301" s="204"/>
      <c r="C301" s="204"/>
      <c r="D301" s="204"/>
      <c r="E301" s="204"/>
      <c r="F301" s="16"/>
      <c r="G301" s="1"/>
      <c r="H301" s="16"/>
      <c r="I301" s="1"/>
      <c r="J301" s="1"/>
    </row>
    <row r="302" spans="1:10" x14ac:dyDescent="0.2">
      <c r="A302" s="1"/>
      <c r="B302" s="204"/>
      <c r="C302" s="204"/>
      <c r="D302" s="204"/>
      <c r="E302" s="204"/>
      <c r="F302" s="16"/>
      <c r="G302" s="1"/>
      <c r="H302" s="16"/>
      <c r="I302" s="1"/>
      <c r="J302" s="1"/>
    </row>
    <row r="303" spans="1:10" x14ac:dyDescent="0.2">
      <c r="A303" s="1"/>
      <c r="B303" s="204"/>
      <c r="C303" s="204"/>
      <c r="D303" s="204"/>
      <c r="E303" s="204"/>
      <c r="F303" s="16"/>
      <c r="G303" s="1"/>
      <c r="H303" s="16"/>
      <c r="I303" s="1"/>
      <c r="J303" s="1"/>
    </row>
    <row r="304" spans="1:10" x14ac:dyDescent="0.2">
      <c r="A304" s="1"/>
      <c r="B304" s="204"/>
      <c r="C304" s="204"/>
      <c r="D304" s="204"/>
      <c r="E304" s="204"/>
      <c r="F304" s="16"/>
      <c r="G304" s="1"/>
      <c r="H304" s="16"/>
      <c r="I304" s="1"/>
      <c r="J304" s="1"/>
    </row>
    <row r="305" spans="1:10" x14ac:dyDescent="0.2">
      <c r="A305" s="1"/>
      <c r="B305" s="204"/>
      <c r="C305" s="204"/>
      <c r="D305" s="204"/>
      <c r="E305" s="204"/>
      <c r="F305" s="16"/>
      <c r="G305" s="1"/>
      <c r="H305" s="16"/>
      <c r="I305" s="1"/>
      <c r="J305" s="1"/>
    </row>
    <row r="306" spans="1:10" x14ac:dyDescent="0.2">
      <c r="A306" s="1"/>
      <c r="B306" s="204"/>
      <c r="C306" s="204"/>
      <c r="D306" s="204"/>
      <c r="E306" s="204"/>
      <c r="F306" s="16"/>
      <c r="G306" s="1"/>
      <c r="H306" s="16"/>
      <c r="I306" s="1"/>
      <c r="J306" s="1"/>
    </row>
    <row r="307" spans="1:10" x14ac:dyDescent="0.2">
      <c r="A307" s="1"/>
      <c r="B307" s="204"/>
      <c r="C307" s="204"/>
      <c r="D307" s="204"/>
      <c r="E307" s="204"/>
      <c r="F307" s="16"/>
      <c r="G307" s="1"/>
      <c r="H307" s="16"/>
      <c r="I307" s="1"/>
      <c r="J307" s="1"/>
    </row>
    <row r="308" spans="1:10" x14ac:dyDescent="0.2">
      <c r="A308" s="1"/>
      <c r="B308" s="204"/>
      <c r="C308" s="204"/>
      <c r="D308" s="204"/>
      <c r="E308" s="204"/>
      <c r="F308" s="16"/>
      <c r="G308" s="1"/>
      <c r="H308" s="16"/>
      <c r="I308" s="1"/>
      <c r="J308" s="1"/>
    </row>
    <row r="309" spans="1:10" x14ac:dyDescent="0.2">
      <c r="A309" s="1"/>
      <c r="B309" s="204"/>
      <c r="C309" s="204"/>
      <c r="D309" s="204"/>
      <c r="E309" s="204"/>
      <c r="F309" s="16"/>
      <c r="G309" s="1"/>
      <c r="H309" s="16"/>
      <c r="I309" s="1"/>
      <c r="J309" s="1"/>
    </row>
    <row r="310" spans="1:10" x14ac:dyDescent="0.2">
      <c r="A310" s="1"/>
      <c r="B310" s="204"/>
      <c r="C310" s="204"/>
      <c r="D310" s="204"/>
      <c r="E310" s="204"/>
      <c r="F310" s="16"/>
      <c r="G310" s="1"/>
      <c r="H310" s="16"/>
      <c r="I310" s="1"/>
      <c r="J310" s="1"/>
    </row>
    <row r="311" spans="1:10" x14ac:dyDescent="0.2">
      <c r="A311" s="1"/>
      <c r="B311" s="204"/>
      <c r="C311" s="204"/>
      <c r="D311" s="204"/>
      <c r="E311" s="204"/>
      <c r="F311" s="16"/>
      <c r="G311" s="1"/>
      <c r="H311" s="16"/>
      <c r="I311" s="1"/>
      <c r="J311" s="1"/>
    </row>
    <row r="312" spans="1:10" x14ac:dyDescent="0.2">
      <c r="A312" s="1"/>
      <c r="B312" s="204"/>
      <c r="C312" s="204"/>
      <c r="D312" s="204"/>
      <c r="E312" s="204"/>
      <c r="F312" s="16"/>
      <c r="G312" s="1"/>
      <c r="H312" s="16"/>
      <c r="I312" s="1"/>
      <c r="J312" s="1"/>
    </row>
    <row r="313" spans="1:10" x14ac:dyDescent="0.2">
      <c r="A313" s="1"/>
      <c r="B313" s="204"/>
      <c r="C313" s="204"/>
      <c r="D313" s="204"/>
      <c r="E313" s="204"/>
      <c r="F313" s="16"/>
      <c r="G313" s="1"/>
      <c r="H313" s="16"/>
      <c r="I313" s="1"/>
      <c r="J313" s="1"/>
    </row>
    <row r="314" spans="1:10" x14ac:dyDescent="0.2">
      <c r="A314" s="1"/>
      <c r="B314" s="204"/>
      <c r="C314" s="204"/>
      <c r="D314" s="204"/>
      <c r="E314" s="204"/>
      <c r="F314" s="16"/>
      <c r="G314" s="1"/>
      <c r="H314" s="16"/>
      <c r="I314" s="1"/>
      <c r="J314" s="1"/>
    </row>
    <row r="315" spans="1:10" x14ac:dyDescent="0.2">
      <c r="A315" s="1"/>
      <c r="B315" s="204"/>
      <c r="C315" s="204"/>
      <c r="D315" s="204"/>
      <c r="E315" s="204"/>
      <c r="F315" s="16"/>
      <c r="G315" s="1"/>
      <c r="H315" s="16"/>
      <c r="I315" s="1"/>
      <c r="J315" s="1"/>
    </row>
    <row r="316" spans="1:10" x14ac:dyDescent="0.2">
      <c r="A316" s="1"/>
      <c r="B316" s="204"/>
      <c r="C316" s="204"/>
      <c r="D316" s="204"/>
      <c r="E316" s="204"/>
      <c r="F316" s="16"/>
      <c r="G316" s="1"/>
      <c r="H316" s="16"/>
      <c r="I316" s="1"/>
      <c r="J316" s="1"/>
    </row>
    <row r="317" spans="1:10" x14ac:dyDescent="0.2">
      <c r="A317" s="1"/>
      <c r="B317" s="204"/>
      <c r="C317" s="204"/>
      <c r="D317" s="204"/>
      <c r="E317" s="204"/>
      <c r="F317" s="16"/>
      <c r="G317" s="1"/>
      <c r="H317" s="16"/>
      <c r="I317" s="1"/>
      <c r="J317" s="1"/>
    </row>
    <row r="318" spans="1:10" x14ac:dyDescent="0.2">
      <c r="A318" s="1"/>
      <c r="B318" s="204"/>
      <c r="C318" s="204"/>
      <c r="D318" s="204"/>
      <c r="E318" s="204"/>
      <c r="F318" s="16"/>
      <c r="G318" s="1"/>
      <c r="H318" s="16"/>
      <c r="I318" s="1"/>
      <c r="J318" s="1"/>
    </row>
    <row r="319" spans="1:10" x14ac:dyDescent="0.2">
      <c r="A319" s="1"/>
      <c r="B319" s="204"/>
      <c r="C319" s="204"/>
      <c r="D319" s="204"/>
      <c r="E319" s="204"/>
      <c r="F319" s="16"/>
      <c r="G319" s="1"/>
      <c r="H319" s="16"/>
      <c r="I319" s="1"/>
      <c r="J319" s="1"/>
    </row>
    <row r="320" spans="1:10" x14ac:dyDescent="0.2">
      <c r="A320" s="1"/>
      <c r="B320" s="204"/>
      <c r="C320" s="204"/>
      <c r="D320" s="204"/>
      <c r="E320" s="204"/>
      <c r="F320" s="16"/>
      <c r="G320" s="1"/>
      <c r="H320" s="16"/>
      <c r="I320" s="1"/>
      <c r="J320" s="1"/>
    </row>
    <row r="321" spans="1:10" x14ac:dyDescent="0.2">
      <c r="A321" s="1"/>
      <c r="B321" s="204"/>
      <c r="C321" s="204"/>
      <c r="D321" s="204"/>
      <c r="E321" s="204"/>
      <c r="F321" s="16"/>
      <c r="G321" s="1"/>
      <c r="H321" s="16"/>
      <c r="I321" s="1"/>
      <c r="J321" s="1"/>
    </row>
    <row r="322" spans="1:10" x14ac:dyDescent="0.2">
      <c r="A322" s="1"/>
      <c r="B322" s="204"/>
      <c r="C322" s="204"/>
      <c r="D322" s="204"/>
      <c r="E322" s="204"/>
      <c r="F322" s="16"/>
      <c r="G322" s="1"/>
      <c r="H322" s="16"/>
      <c r="I322" s="1"/>
      <c r="J322" s="1"/>
    </row>
    <row r="323" spans="1:10" x14ac:dyDescent="0.2">
      <c r="A323" s="1"/>
      <c r="B323" s="204"/>
      <c r="C323" s="204"/>
      <c r="D323" s="204"/>
      <c r="E323" s="204"/>
      <c r="F323" s="16"/>
      <c r="G323" s="1"/>
      <c r="H323" s="16"/>
      <c r="I323" s="1"/>
      <c r="J323" s="1"/>
    </row>
    <row r="324" spans="1:10" x14ac:dyDescent="0.2">
      <c r="A324" s="1"/>
      <c r="B324" s="204"/>
      <c r="C324" s="204"/>
      <c r="D324" s="204"/>
      <c r="E324" s="204"/>
      <c r="F324" s="16"/>
      <c r="G324" s="1"/>
      <c r="H324" s="16"/>
      <c r="I324" s="1"/>
      <c r="J324" s="1"/>
    </row>
    <row r="325" spans="1:10" x14ac:dyDescent="0.2">
      <c r="A325" s="1"/>
      <c r="B325" s="204"/>
      <c r="C325" s="204"/>
      <c r="D325" s="204"/>
      <c r="E325" s="204"/>
      <c r="F325" s="16"/>
      <c r="G325" s="1"/>
      <c r="H325" s="16"/>
      <c r="I325" s="1"/>
      <c r="J325" s="1"/>
    </row>
    <row r="326" spans="1:10" x14ac:dyDescent="0.2">
      <c r="A326" s="1"/>
      <c r="B326" s="204"/>
      <c r="C326" s="204"/>
      <c r="D326" s="204"/>
      <c r="E326" s="204"/>
      <c r="F326" s="16"/>
      <c r="G326" s="1"/>
      <c r="H326" s="16"/>
      <c r="I326" s="1"/>
      <c r="J326" s="1"/>
    </row>
    <row r="327" spans="1:10" x14ac:dyDescent="0.2">
      <c r="A327" s="1"/>
      <c r="B327" s="204"/>
      <c r="C327" s="204"/>
      <c r="D327" s="204"/>
      <c r="E327" s="204"/>
      <c r="F327" s="16"/>
      <c r="G327" s="1"/>
      <c r="H327" s="16"/>
      <c r="I327" s="1"/>
      <c r="J327" s="1"/>
    </row>
    <row r="328" spans="1:10" x14ac:dyDescent="0.2">
      <c r="A328" s="1"/>
      <c r="B328" s="204"/>
      <c r="C328" s="204"/>
      <c r="D328" s="204"/>
      <c r="E328" s="204"/>
      <c r="F328" s="16"/>
      <c r="G328" s="1"/>
      <c r="H328" s="16"/>
      <c r="I328" s="1"/>
      <c r="J328" s="1"/>
    </row>
    <row r="329" spans="1:10" x14ac:dyDescent="0.2">
      <c r="A329" s="1"/>
      <c r="B329" s="204"/>
      <c r="C329" s="204"/>
      <c r="D329" s="204"/>
      <c r="E329" s="204"/>
      <c r="F329" s="16"/>
      <c r="G329" s="1"/>
      <c r="H329" s="16"/>
      <c r="I329" s="1"/>
      <c r="J329" s="1"/>
    </row>
    <row r="330" spans="1:10" x14ac:dyDescent="0.2">
      <c r="A330" s="1"/>
      <c r="B330" s="204"/>
      <c r="C330" s="204"/>
      <c r="D330" s="204"/>
      <c r="E330" s="204"/>
      <c r="F330" s="16"/>
      <c r="G330" s="1"/>
      <c r="H330" s="16"/>
      <c r="I330" s="1"/>
      <c r="J330" s="1"/>
    </row>
    <row r="331" spans="1:10" x14ac:dyDescent="0.2">
      <c r="A331" s="1"/>
      <c r="B331" s="204"/>
      <c r="C331" s="204"/>
      <c r="D331" s="204"/>
      <c r="E331" s="204"/>
      <c r="F331" s="16"/>
      <c r="G331" s="1"/>
      <c r="H331" s="16"/>
      <c r="I331" s="1"/>
      <c r="J331" s="1"/>
    </row>
    <row r="332" spans="1:10" x14ac:dyDescent="0.2">
      <c r="A332" s="1"/>
      <c r="B332" s="204"/>
      <c r="C332" s="204"/>
      <c r="D332" s="204"/>
      <c r="E332" s="204"/>
      <c r="F332" s="16"/>
      <c r="G332" s="1"/>
      <c r="H332" s="16"/>
      <c r="I332" s="1"/>
      <c r="J332" s="1"/>
    </row>
    <row r="333" spans="1:10" x14ac:dyDescent="0.2">
      <c r="A333" s="1"/>
      <c r="B333" s="204"/>
      <c r="C333" s="204"/>
      <c r="D333" s="204"/>
      <c r="E333" s="204"/>
      <c r="F333" s="16"/>
      <c r="G333" s="1"/>
      <c r="H333" s="16"/>
      <c r="I333" s="1"/>
      <c r="J333" s="1"/>
    </row>
    <row r="334" spans="1:10" x14ac:dyDescent="0.2">
      <c r="A334" s="1"/>
      <c r="B334" s="204"/>
      <c r="C334" s="204"/>
      <c r="D334" s="204"/>
      <c r="E334" s="204"/>
      <c r="F334" s="16"/>
      <c r="G334" s="1"/>
      <c r="H334" s="16"/>
      <c r="I334" s="1"/>
      <c r="J334" s="1"/>
    </row>
    <row r="335" spans="1:10" x14ac:dyDescent="0.2">
      <c r="A335" s="1"/>
      <c r="B335" s="204"/>
      <c r="C335" s="204"/>
      <c r="D335" s="204"/>
      <c r="E335" s="204"/>
      <c r="F335" s="16"/>
      <c r="G335" s="1"/>
      <c r="H335" s="16"/>
      <c r="I335" s="1"/>
      <c r="J335" s="1"/>
    </row>
    <row r="336" spans="1:10" x14ac:dyDescent="0.2">
      <c r="A336" s="1"/>
      <c r="B336" s="204"/>
      <c r="C336" s="204"/>
      <c r="D336" s="204"/>
      <c r="E336" s="204"/>
      <c r="F336" s="16"/>
      <c r="G336" s="1"/>
      <c r="H336" s="16"/>
      <c r="I336" s="1"/>
      <c r="J336" s="1"/>
    </row>
    <row r="337" spans="1:10" x14ac:dyDescent="0.2">
      <c r="A337" s="1"/>
      <c r="B337" s="204"/>
      <c r="C337" s="204"/>
      <c r="D337" s="204"/>
      <c r="E337" s="204"/>
      <c r="F337" s="16"/>
      <c r="G337" s="1"/>
      <c r="H337" s="16"/>
      <c r="I337" s="1"/>
      <c r="J337" s="1"/>
    </row>
    <row r="338" spans="1:10" x14ac:dyDescent="0.2">
      <c r="A338" s="1"/>
      <c r="B338" s="204"/>
      <c r="C338" s="204"/>
      <c r="D338" s="204"/>
      <c r="E338" s="204"/>
      <c r="F338" s="16"/>
      <c r="G338" s="1"/>
      <c r="H338" s="16"/>
      <c r="I338" s="1"/>
      <c r="J338" s="1"/>
    </row>
    <row r="339" spans="1:10" x14ac:dyDescent="0.2">
      <c r="A339" s="1"/>
      <c r="B339" s="204"/>
      <c r="C339" s="204"/>
      <c r="D339" s="204"/>
      <c r="E339" s="204"/>
      <c r="F339" s="16"/>
      <c r="G339" s="1"/>
      <c r="H339" s="16"/>
      <c r="I339" s="1"/>
      <c r="J339" s="1"/>
    </row>
    <row r="340" spans="1:10" x14ac:dyDescent="0.2">
      <c r="A340" s="1"/>
      <c r="B340" s="204"/>
      <c r="C340" s="204"/>
      <c r="D340" s="204"/>
      <c r="E340" s="204"/>
      <c r="F340" s="16"/>
      <c r="G340" s="1"/>
      <c r="H340" s="16"/>
      <c r="I340" s="1"/>
      <c r="J340" s="1"/>
    </row>
    <row r="341" spans="1:10" x14ac:dyDescent="0.2">
      <c r="A341" s="1"/>
      <c r="B341" s="204"/>
      <c r="C341" s="204"/>
      <c r="D341" s="204"/>
      <c r="E341" s="204"/>
      <c r="F341" s="16"/>
      <c r="G341" s="1"/>
      <c r="H341" s="16"/>
      <c r="I341" s="1"/>
      <c r="J341" s="1"/>
    </row>
    <row r="342" spans="1:10" x14ac:dyDescent="0.2">
      <c r="A342" s="1"/>
      <c r="B342" s="204"/>
      <c r="C342" s="204"/>
      <c r="D342" s="204"/>
      <c r="E342" s="204"/>
      <c r="F342" s="16"/>
      <c r="G342" s="1"/>
      <c r="H342" s="16"/>
      <c r="I342" s="1"/>
      <c r="J342" s="1"/>
    </row>
    <row r="343" spans="1:10" x14ac:dyDescent="0.2">
      <c r="A343" s="1"/>
      <c r="B343" s="204"/>
      <c r="C343" s="204"/>
      <c r="D343" s="204"/>
      <c r="E343" s="204"/>
      <c r="F343" s="16"/>
      <c r="G343" s="1"/>
      <c r="H343" s="16"/>
      <c r="I343" s="1"/>
      <c r="J343" s="1"/>
    </row>
    <row r="344" spans="1:10" x14ac:dyDescent="0.2">
      <c r="A344" s="1"/>
      <c r="B344" s="204"/>
      <c r="C344" s="204"/>
      <c r="D344" s="204"/>
      <c r="E344" s="204"/>
      <c r="F344" s="16"/>
      <c r="G344" s="1"/>
      <c r="H344" s="16"/>
      <c r="I344" s="1"/>
      <c r="J344" s="1"/>
    </row>
    <row r="345" spans="1:10" x14ac:dyDescent="0.2">
      <c r="A345" s="1"/>
      <c r="B345" s="204"/>
      <c r="C345" s="204"/>
      <c r="D345" s="204"/>
      <c r="E345" s="204"/>
      <c r="F345" s="16"/>
      <c r="G345" s="1"/>
      <c r="H345" s="16"/>
      <c r="I345" s="1"/>
      <c r="J345" s="1"/>
    </row>
    <row r="346" spans="1:10" x14ac:dyDescent="0.2">
      <c r="A346" s="1"/>
      <c r="B346" s="204"/>
      <c r="C346" s="204"/>
      <c r="D346" s="204"/>
      <c r="E346" s="204"/>
      <c r="F346" s="16"/>
      <c r="G346" s="1"/>
      <c r="H346" s="16"/>
      <c r="I346" s="1"/>
      <c r="J346" s="1"/>
    </row>
    <row r="347" spans="1:10" x14ac:dyDescent="0.2">
      <c r="A347" s="1"/>
      <c r="B347" s="204"/>
      <c r="C347" s="204"/>
      <c r="D347" s="204"/>
      <c r="E347" s="204"/>
      <c r="F347" s="16"/>
      <c r="G347" s="1"/>
      <c r="H347" s="16"/>
      <c r="I347" s="1"/>
      <c r="J347" s="1"/>
    </row>
    <row r="348" spans="1:10" x14ac:dyDescent="0.2">
      <c r="A348" s="1"/>
      <c r="B348" s="204"/>
      <c r="C348" s="204"/>
      <c r="D348" s="204"/>
      <c r="E348" s="204"/>
      <c r="F348" s="16"/>
      <c r="G348" s="1"/>
      <c r="H348" s="16"/>
      <c r="I348" s="1"/>
      <c r="J348" s="1"/>
    </row>
    <row r="349" spans="1:10" x14ac:dyDescent="0.2">
      <c r="A349" s="1"/>
      <c r="B349" s="204"/>
      <c r="C349" s="204"/>
      <c r="D349" s="204"/>
      <c r="E349" s="204"/>
      <c r="F349" s="16"/>
      <c r="G349" s="1"/>
      <c r="H349" s="16"/>
      <c r="I349" s="1"/>
      <c r="J349" s="1"/>
    </row>
    <row r="350" spans="1:10" x14ac:dyDescent="0.2">
      <c r="A350" s="1"/>
      <c r="B350" s="204"/>
      <c r="C350" s="204"/>
      <c r="D350" s="204"/>
      <c r="E350" s="204"/>
      <c r="F350" s="16"/>
      <c r="G350" s="1"/>
      <c r="H350" s="16"/>
      <c r="I350" s="1"/>
      <c r="J350" s="1"/>
    </row>
    <row r="351" spans="1:10" x14ac:dyDescent="0.2">
      <c r="A351" s="1"/>
      <c r="B351" s="204"/>
      <c r="C351" s="204"/>
      <c r="D351" s="204"/>
      <c r="E351" s="204"/>
      <c r="F351" s="16"/>
      <c r="G351" s="1"/>
      <c r="H351" s="16"/>
      <c r="I351" s="1"/>
      <c r="J351" s="1"/>
    </row>
    <row r="352" spans="1:10" x14ac:dyDescent="0.2">
      <c r="A352" s="1"/>
      <c r="B352" s="204"/>
      <c r="C352" s="204"/>
      <c r="D352" s="204"/>
      <c r="E352" s="204"/>
      <c r="F352" s="16"/>
      <c r="G352" s="1"/>
      <c r="H352" s="16"/>
      <c r="I352" s="1"/>
      <c r="J352" s="1"/>
    </row>
    <row r="353" spans="1:10" x14ac:dyDescent="0.2">
      <c r="A353" s="1"/>
      <c r="B353" s="204"/>
      <c r="C353" s="204"/>
      <c r="D353" s="204"/>
      <c r="E353" s="204"/>
      <c r="F353" s="16"/>
      <c r="G353" s="1"/>
      <c r="H353" s="16"/>
      <c r="I353" s="1"/>
      <c r="J353" s="1"/>
    </row>
    <row r="354" spans="1:10" x14ac:dyDescent="0.2">
      <c r="A354" s="1"/>
      <c r="B354" s="204"/>
      <c r="C354" s="204"/>
      <c r="D354" s="204"/>
      <c r="E354" s="204"/>
      <c r="F354" s="16"/>
      <c r="G354" s="1"/>
      <c r="H354" s="16"/>
      <c r="I354" s="1"/>
      <c r="J354" s="1"/>
    </row>
    <row r="355" spans="1:10" x14ac:dyDescent="0.2">
      <c r="A355" s="1"/>
      <c r="B355" s="204"/>
      <c r="C355" s="204"/>
      <c r="D355" s="204"/>
      <c r="E355" s="204"/>
      <c r="F355" s="16"/>
      <c r="G355" s="1"/>
      <c r="H355" s="16"/>
      <c r="I355" s="1"/>
      <c r="J355" s="1"/>
    </row>
    <row r="356" spans="1:10" x14ac:dyDescent="0.2">
      <c r="A356" s="1"/>
      <c r="B356" s="204"/>
      <c r="C356" s="204"/>
      <c r="D356" s="204"/>
      <c r="E356" s="204"/>
      <c r="F356" s="16"/>
      <c r="G356" s="1"/>
      <c r="H356" s="16"/>
      <c r="I356" s="1"/>
      <c r="J356" s="1"/>
    </row>
    <row r="357" spans="1:10" x14ac:dyDescent="0.2">
      <c r="A357" s="205"/>
      <c r="B357" s="206"/>
      <c r="C357" s="207"/>
      <c r="D357" s="208"/>
      <c r="E357" s="209"/>
      <c r="F357" s="251"/>
      <c r="G357" s="205"/>
      <c r="H357" s="251"/>
      <c r="I357" s="205"/>
      <c r="J357" s="205"/>
    </row>
  </sheetData>
  <autoFilter ref="A2:J153" xr:uid="{48E89EAA-FC86-4CF7-9AE1-7E5700045394}"/>
  <mergeCells count="133">
    <mergeCell ref="A124:A125"/>
    <mergeCell ref="F81:F84"/>
    <mergeCell ref="A77:A84"/>
    <mergeCell ref="F63:F66"/>
    <mergeCell ref="F85:F87"/>
    <mergeCell ref="A56:A57"/>
    <mergeCell ref="A58:A62"/>
    <mergeCell ref="F118:F119"/>
    <mergeCell ref="F111:F112"/>
    <mergeCell ref="A116:A117"/>
    <mergeCell ref="A118:A119"/>
    <mergeCell ref="A120:A121"/>
    <mergeCell ref="B101:B108"/>
    <mergeCell ref="B111:B112"/>
    <mergeCell ref="A107:A108"/>
    <mergeCell ref="A139:A140"/>
    <mergeCell ref="B139:B146"/>
    <mergeCell ref="F109:F110"/>
    <mergeCell ref="F103:F104"/>
    <mergeCell ref="F105:F106"/>
    <mergeCell ref="F107:F108"/>
    <mergeCell ref="A109:A110"/>
    <mergeCell ref="B109:B110"/>
    <mergeCell ref="F143:F144"/>
    <mergeCell ref="F145:F146"/>
    <mergeCell ref="F135:F136"/>
    <mergeCell ref="F137:F138"/>
    <mergeCell ref="F124:F125"/>
    <mergeCell ref="F139:F140"/>
    <mergeCell ref="F141:F142"/>
    <mergeCell ref="F120:F121"/>
    <mergeCell ref="F122:F123"/>
    <mergeCell ref="F126:F128"/>
    <mergeCell ref="F131:F132"/>
    <mergeCell ref="F133:F134"/>
    <mergeCell ref="F114:F115"/>
    <mergeCell ref="F116:F117"/>
    <mergeCell ref="A135:A136"/>
    <mergeCell ref="A133:A134"/>
    <mergeCell ref="F4:F5"/>
    <mergeCell ref="F6:F7"/>
    <mergeCell ref="F73:F76"/>
    <mergeCell ref="F77:F80"/>
    <mergeCell ref="F88:F90"/>
    <mergeCell ref="F91:F92"/>
    <mergeCell ref="A27:A30"/>
    <mergeCell ref="A91:A94"/>
    <mergeCell ref="A8:A11"/>
    <mergeCell ref="A12:A13"/>
    <mergeCell ref="A16:A17"/>
    <mergeCell ref="A18:A19"/>
    <mergeCell ref="F50:F51"/>
    <mergeCell ref="F52:F53"/>
    <mergeCell ref="F54:F55"/>
    <mergeCell ref="F56:F57"/>
    <mergeCell ref="A50:A51"/>
    <mergeCell ref="A41:A42"/>
    <mergeCell ref="A43:A44"/>
    <mergeCell ref="A45:A46"/>
    <mergeCell ref="A47:A48"/>
    <mergeCell ref="A54:A55"/>
    <mergeCell ref="F8:F9"/>
    <mergeCell ref="F10:F11"/>
    <mergeCell ref="F45:F46"/>
    <mergeCell ref="F47:F48"/>
    <mergeCell ref="F35:F36"/>
    <mergeCell ref="F37:F38"/>
    <mergeCell ref="F39:F40"/>
    <mergeCell ref="F41:F42"/>
    <mergeCell ref="F43:F44"/>
    <mergeCell ref="F33:F34"/>
    <mergeCell ref="F18:F19"/>
    <mergeCell ref="F31:F32"/>
    <mergeCell ref="B29:B30"/>
    <mergeCell ref="B31:B32"/>
    <mergeCell ref="B33:B34"/>
    <mergeCell ref="A31:A34"/>
    <mergeCell ref="B35:B36"/>
    <mergeCell ref="F29:F30"/>
    <mergeCell ref="F27:F28"/>
    <mergeCell ref="A14:A15"/>
    <mergeCell ref="B8:B19"/>
    <mergeCell ref="B27:B28"/>
    <mergeCell ref="F12:F13"/>
    <mergeCell ref="F16:F17"/>
    <mergeCell ref="B147:D147"/>
    <mergeCell ref="A24:A25"/>
    <mergeCell ref="F24:F25"/>
    <mergeCell ref="A20:A21"/>
    <mergeCell ref="B20:B25"/>
    <mergeCell ref="F20:F21"/>
    <mergeCell ref="A22:A23"/>
    <mergeCell ref="F22:F23"/>
    <mergeCell ref="A141:A142"/>
    <mergeCell ref="A143:A144"/>
    <mergeCell ref="A145:A146"/>
    <mergeCell ref="A99:A100"/>
    <mergeCell ref="B114:B123"/>
    <mergeCell ref="A97:A98"/>
    <mergeCell ref="A137:A138"/>
    <mergeCell ref="A122:A123"/>
    <mergeCell ref="A126:A128"/>
    <mergeCell ref="A131:A132"/>
    <mergeCell ref="A101:A102"/>
    <mergeCell ref="B52:B100"/>
    <mergeCell ref="A85:A87"/>
    <mergeCell ref="A63:A69"/>
    <mergeCell ref="A103:A104"/>
    <mergeCell ref="A105:A106"/>
    <mergeCell ref="A4:A7"/>
    <mergeCell ref="A114:A115"/>
    <mergeCell ref="E105:E106"/>
    <mergeCell ref="F93:F94"/>
    <mergeCell ref="F95:F96"/>
    <mergeCell ref="F97:F98"/>
    <mergeCell ref="F99:F100"/>
    <mergeCell ref="F101:F102"/>
    <mergeCell ref="F58:F59"/>
    <mergeCell ref="F60:F62"/>
    <mergeCell ref="F67:F69"/>
    <mergeCell ref="F70:F72"/>
    <mergeCell ref="C54:C55"/>
    <mergeCell ref="D54:D55"/>
    <mergeCell ref="E54:E55"/>
    <mergeCell ref="A35:A36"/>
    <mergeCell ref="A52:A53"/>
    <mergeCell ref="B41:B48"/>
    <mergeCell ref="B50:B51"/>
    <mergeCell ref="A88:A90"/>
    <mergeCell ref="A95:A96"/>
    <mergeCell ref="A70:A76"/>
    <mergeCell ref="A37:A40"/>
    <mergeCell ref="A111:A112"/>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96255-73CD-4C70-BBE3-FCAAD6C66869}">
  <dimension ref="A1:W35"/>
  <sheetViews>
    <sheetView showGridLines="0" tabSelected="1" showWhiteSpace="0" zoomScale="90" zoomScaleNormal="90" workbookViewId="0">
      <selection activeCell="F10" sqref="F10:I10"/>
    </sheetView>
  </sheetViews>
  <sheetFormatPr defaultColWidth="10.85546875" defaultRowHeight="15" x14ac:dyDescent="0.25"/>
  <cols>
    <col min="1" max="5" width="10.85546875" style="331"/>
    <col min="6" max="6" width="12.42578125" style="331" customWidth="1"/>
    <col min="7" max="7" width="12.28515625" style="331" customWidth="1"/>
    <col min="8" max="13" width="11.28515625" style="331"/>
    <col min="14" max="14" width="6.28515625" style="331" customWidth="1"/>
    <col min="15" max="19" width="11.28515625" style="331"/>
    <col min="20" max="20" width="31.140625" style="331" customWidth="1"/>
  </cols>
  <sheetData>
    <row r="1" spans="1:20" ht="43.5" x14ac:dyDescent="0.25">
      <c r="A1" s="330" t="s">
        <v>861</v>
      </c>
    </row>
    <row r="2" spans="1:20" ht="25.5" x14ac:dyDescent="0.25">
      <c r="A2" s="332" t="s">
        <v>876</v>
      </c>
    </row>
    <row r="3" spans="1:20" ht="18" x14ac:dyDescent="0.25">
      <c r="A3" s="333" t="s">
        <v>875</v>
      </c>
    </row>
    <row r="4" spans="1:20" ht="15.95" customHeight="1" x14ac:dyDescent="0.25">
      <c r="A4" s="334" t="s">
        <v>862</v>
      </c>
    </row>
    <row r="5" spans="1:20" ht="18" customHeight="1" x14ac:dyDescent="0.25">
      <c r="A5" s="334" t="s">
        <v>863</v>
      </c>
    </row>
    <row r="6" spans="1:20" ht="18" x14ac:dyDescent="0.25">
      <c r="A6" s="334" t="s">
        <v>879</v>
      </c>
    </row>
    <row r="7" spans="1:20" ht="18" x14ac:dyDescent="0.25">
      <c r="A7" s="334" t="s">
        <v>864</v>
      </c>
    </row>
    <row r="8" spans="1:20" x14ac:dyDescent="0.25">
      <c r="F8" s="335"/>
      <c r="G8" s="335"/>
      <c r="H8" s="335"/>
      <c r="I8" s="335"/>
      <c r="J8" s="335"/>
      <c r="K8" s="335"/>
      <c r="L8" s="335"/>
      <c r="M8" s="335"/>
    </row>
    <row r="9" spans="1:20" ht="32.25" customHeight="1" x14ac:dyDescent="0.25">
      <c r="A9" s="334"/>
      <c r="F9" s="407" t="s">
        <v>303</v>
      </c>
      <c r="G9" s="408"/>
      <c r="H9" s="408"/>
      <c r="I9" s="408"/>
      <c r="J9" s="407" t="s">
        <v>865</v>
      </c>
      <c r="K9" s="407"/>
      <c r="L9" s="407" t="s">
        <v>304</v>
      </c>
      <c r="M9" s="407"/>
    </row>
    <row r="10" spans="1:20" ht="32.25" customHeight="1" x14ac:dyDescent="0.25">
      <c r="F10" s="406" t="s">
        <v>877</v>
      </c>
      <c r="G10" s="406"/>
      <c r="H10" s="406"/>
      <c r="I10" s="406"/>
      <c r="J10" s="406" t="s">
        <v>866</v>
      </c>
      <c r="K10" s="406"/>
      <c r="L10" s="406" t="s">
        <v>305</v>
      </c>
      <c r="M10" s="406"/>
    </row>
    <row r="11" spans="1:20" ht="15.95" customHeight="1" x14ac:dyDescent="0.25">
      <c r="F11" s="407" t="s">
        <v>306</v>
      </c>
      <c r="G11" s="407"/>
      <c r="H11" s="407"/>
      <c r="I11" s="407"/>
      <c r="J11" s="407"/>
      <c r="K11" s="407"/>
      <c r="L11" s="407"/>
      <c r="M11" s="407"/>
    </row>
    <row r="12" spans="1:20" ht="15.95" customHeight="1" thickBot="1" x14ac:dyDescent="0.3">
      <c r="F12" s="410" t="s">
        <v>867</v>
      </c>
      <c r="G12" s="411"/>
      <c r="H12" s="411"/>
      <c r="I12" s="411"/>
      <c r="J12" s="411"/>
      <c r="K12" s="411"/>
      <c r="L12" s="411"/>
      <c r="M12" s="412"/>
    </row>
    <row r="13" spans="1:20" ht="18.600000000000001" customHeight="1" x14ac:dyDescent="0.3">
      <c r="F13" s="413"/>
      <c r="G13" s="414"/>
      <c r="H13" s="414"/>
      <c r="I13" s="414"/>
      <c r="J13" s="414"/>
      <c r="K13" s="414"/>
      <c r="L13" s="414"/>
      <c r="M13" s="415"/>
      <c r="O13" s="336" t="s">
        <v>868</v>
      </c>
      <c r="P13" s="337"/>
      <c r="Q13" s="337"/>
      <c r="R13" s="337"/>
      <c r="S13" s="337"/>
      <c r="T13" s="338"/>
    </row>
    <row r="14" spans="1:20" ht="23.45" customHeight="1" x14ac:dyDescent="0.25">
      <c r="F14" s="413"/>
      <c r="G14" s="414"/>
      <c r="H14" s="414"/>
      <c r="I14" s="414"/>
      <c r="J14" s="414"/>
      <c r="K14" s="414"/>
      <c r="L14" s="414"/>
      <c r="M14" s="415"/>
      <c r="O14" s="416" t="s">
        <v>880</v>
      </c>
      <c r="P14" s="414"/>
      <c r="Q14" s="414"/>
      <c r="R14" s="414"/>
      <c r="S14" s="414"/>
      <c r="T14" s="417"/>
    </row>
    <row r="15" spans="1:20" s="99" customFormat="1" ht="18.600000000000001" customHeight="1" x14ac:dyDescent="0.25">
      <c r="A15" s="339"/>
      <c r="B15" s="339"/>
      <c r="C15" s="339"/>
      <c r="D15" s="339"/>
      <c r="E15" s="339"/>
      <c r="F15" s="407" t="s">
        <v>307</v>
      </c>
      <c r="G15" s="407"/>
      <c r="H15" s="407"/>
      <c r="I15" s="407"/>
      <c r="J15" s="407"/>
      <c r="K15" s="407"/>
      <c r="L15" s="407"/>
      <c r="M15" s="407"/>
      <c r="N15" s="339"/>
      <c r="O15" s="418"/>
      <c r="P15" s="414"/>
      <c r="Q15" s="414"/>
      <c r="R15" s="414"/>
      <c r="S15" s="414"/>
      <c r="T15" s="417"/>
    </row>
    <row r="16" spans="1:20" ht="18.600000000000001" customHeight="1" x14ac:dyDescent="0.25">
      <c r="F16" s="406" t="s">
        <v>869</v>
      </c>
      <c r="G16" s="406"/>
      <c r="H16" s="406"/>
      <c r="I16" s="406"/>
      <c r="J16" s="406"/>
      <c r="K16" s="406"/>
      <c r="L16" s="406"/>
      <c r="M16" s="406"/>
      <c r="O16" s="418"/>
      <c r="P16" s="414"/>
      <c r="Q16" s="414"/>
      <c r="R16" s="414"/>
      <c r="S16" s="414"/>
      <c r="T16" s="417"/>
    </row>
    <row r="17" spans="1:23" ht="18.600000000000001" customHeight="1" x14ac:dyDescent="0.25">
      <c r="F17" s="407" t="s">
        <v>308</v>
      </c>
      <c r="G17" s="407"/>
      <c r="H17" s="407"/>
      <c r="I17" s="407"/>
      <c r="J17" s="407"/>
      <c r="K17" s="407"/>
      <c r="L17" s="407"/>
      <c r="M17" s="407"/>
      <c r="O17" s="418"/>
      <c r="P17" s="414"/>
      <c r="Q17" s="414"/>
      <c r="R17" s="414"/>
      <c r="S17" s="414"/>
      <c r="T17" s="417"/>
    </row>
    <row r="18" spans="1:23" ht="26.45" customHeight="1" x14ac:dyDescent="0.25">
      <c r="F18" s="406" t="s">
        <v>870</v>
      </c>
      <c r="G18" s="406"/>
      <c r="H18" s="406"/>
      <c r="I18" s="406"/>
      <c r="J18" s="406"/>
      <c r="K18" s="406"/>
      <c r="L18" s="406"/>
      <c r="M18" s="406"/>
      <c r="O18" s="418"/>
      <c r="P18" s="414"/>
      <c r="Q18" s="414"/>
      <c r="R18" s="414"/>
      <c r="S18" s="414"/>
      <c r="T18" s="417"/>
    </row>
    <row r="19" spans="1:23" ht="18.600000000000001" customHeight="1" x14ac:dyDescent="0.25">
      <c r="F19" s="407" t="s">
        <v>309</v>
      </c>
      <c r="G19" s="407"/>
      <c r="H19" s="407"/>
      <c r="I19" s="407"/>
      <c r="J19" s="407"/>
      <c r="K19" s="407"/>
      <c r="L19" s="407"/>
      <c r="M19" s="407"/>
      <c r="O19" s="418"/>
      <c r="P19" s="414"/>
      <c r="Q19" s="414"/>
      <c r="R19" s="414"/>
      <c r="S19" s="414"/>
      <c r="T19" s="417"/>
    </row>
    <row r="20" spans="1:23" ht="18.600000000000001" customHeight="1" x14ac:dyDescent="0.25">
      <c r="F20" s="406" t="s">
        <v>310</v>
      </c>
      <c r="G20" s="406"/>
      <c r="H20" s="406"/>
      <c r="I20" s="406"/>
      <c r="J20" s="406"/>
      <c r="K20" s="406"/>
      <c r="L20" s="406"/>
      <c r="M20" s="406"/>
      <c r="O20" s="418"/>
      <c r="P20" s="414"/>
      <c r="Q20" s="414"/>
      <c r="R20" s="414"/>
      <c r="S20" s="414"/>
      <c r="T20" s="417"/>
    </row>
    <row r="21" spans="1:23" ht="18.600000000000001" customHeight="1" x14ac:dyDescent="0.25">
      <c r="F21" s="407" t="s">
        <v>311</v>
      </c>
      <c r="G21" s="407"/>
      <c r="H21" s="407"/>
      <c r="I21" s="407"/>
      <c r="J21" s="407" t="s">
        <v>312</v>
      </c>
      <c r="K21" s="407"/>
      <c r="L21" s="407"/>
      <c r="M21" s="407"/>
      <c r="O21" s="418"/>
      <c r="P21" s="414"/>
      <c r="Q21" s="414"/>
      <c r="R21" s="414"/>
      <c r="S21" s="414"/>
      <c r="T21" s="417"/>
    </row>
    <row r="22" spans="1:23" ht="18.600000000000001" customHeight="1" thickBot="1" x14ac:dyDescent="0.3">
      <c r="F22" s="422" t="s">
        <v>871</v>
      </c>
      <c r="G22" s="422"/>
      <c r="H22" s="422"/>
      <c r="I22" s="422"/>
      <c r="J22" s="422" t="s">
        <v>878</v>
      </c>
      <c r="K22" s="422"/>
      <c r="L22" s="422"/>
      <c r="M22" s="422"/>
      <c r="O22" s="419"/>
      <c r="P22" s="420"/>
      <c r="Q22" s="420"/>
      <c r="R22" s="420"/>
      <c r="S22" s="420"/>
      <c r="T22" s="421"/>
    </row>
    <row r="23" spans="1:23" ht="35.25" customHeight="1" x14ac:dyDescent="0.25">
      <c r="F23" s="422"/>
      <c r="G23" s="422"/>
      <c r="H23" s="422"/>
      <c r="I23" s="422"/>
      <c r="J23" s="422"/>
      <c r="K23" s="422"/>
      <c r="L23" s="422"/>
      <c r="M23" s="422"/>
    </row>
    <row r="24" spans="1:23" ht="18.600000000000001" customHeight="1" x14ac:dyDescent="0.25">
      <c r="O24" s="316"/>
      <c r="P24" s="316"/>
      <c r="Q24" s="316"/>
      <c r="R24" s="316"/>
      <c r="S24" s="316"/>
      <c r="T24" s="316"/>
      <c r="U24" s="316"/>
      <c r="V24" s="316"/>
      <c r="W24" s="316"/>
    </row>
    <row r="25" spans="1:23" ht="18.600000000000001" customHeight="1" x14ac:dyDescent="0.25">
      <c r="F25" s="340" t="s">
        <v>300</v>
      </c>
      <c r="O25" s="316"/>
      <c r="P25" s="316"/>
      <c r="Q25" s="316"/>
      <c r="R25" s="316"/>
      <c r="S25" s="316"/>
      <c r="T25" s="316"/>
      <c r="U25" s="316"/>
      <c r="V25" s="316"/>
      <c r="W25" s="316"/>
    </row>
    <row r="26" spans="1:23" ht="18.600000000000001" customHeight="1" x14ac:dyDescent="0.25">
      <c r="F26" s="423" t="s">
        <v>872</v>
      </c>
      <c r="G26" s="423"/>
      <c r="H26" s="423"/>
      <c r="I26" s="423"/>
      <c r="J26" s="423"/>
      <c r="K26" s="423"/>
      <c r="L26" s="423"/>
      <c r="M26" s="423"/>
      <c r="O26" s="316"/>
      <c r="P26" s="316"/>
      <c r="Q26" s="316"/>
      <c r="R26" s="316"/>
      <c r="S26" s="316"/>
      <c r="T26" s="316"/>
      <c r="U26" s="316"/>
      <c r="V26" s="316"/>
      <c r="W26" s="316"/>
    </row>
    <row r="27" spans="1:23" ht="18.600000000000001" customHeight="1" x14ac:dyDescent="0.25">
      <c r="F27" s="423"/>
      <c r="G27" s="423"/>
      <c r="H27" s="423"/>
      <c r="I27" s="423"/>
      <c r="J27" s="423"/>
      <c r="K27" s="423"/>
      <c r="L27" s="423"/>
      <c r="M27" s="423"/>
      <c r="O27" s="316"/>
      <c r="P27" s="316"/>
      <c r="Q27" s="316"/>
      <c r="R27" s="316"/>
      <c r="S27" s="316"/>
      <c r="T27" s="316"/>
      <c r="U27" s="316"/>
      <c r="V27" s="316"/>
      <c r="W27" s="316"/>
    </row>
    <row r="28" spans="1:23" ht="18.600000000000001" customHeight="1" x14ac:dyDescent="0.25">
      <c r="F28" s="423"/>
      <c r="G28" s="423"/>
      <c r="H28" s="423"/>
      <c r="I28" s="423"/>
      <c r="J28" s="423"/>
      <c r="K28" s="423"/>
      <c r="L28" s="423"/>
      <c r="M28" s="423"/>
      <c r="O28" s="316"/>
      <c r="P28" s="316"/>
      <c r="Q28" s="316"/>
      <c r="R28" s="316"/>
      <c r="S28" s="316"/>
      <c r="T28" s="316"/>
      <c r="U28" s="316"/>
      <c r="V28" s="316"/>
      <c r="W28" s="316"/>
    </row>
    <row r="29" spans="1:23" ht="18.600000000000001" customHeight="1" x14ac:dyDescent="0.25">
      <c r="F29" s="423"/>
      <c r="G29" s="423"/>
      <c r="H29" s="423"/>
      <c r="I29" s="423"/>
      <c r="J29" s="423"/>
      <c r="K29" s="423"/>
      <c r="L29" s="423"/>
      <c r="M29" s="423"/>
    </row>
    <row r="30" spans="1:23" ht="18.75" customHeight="1" x14ac:dyDescent="0.25">
      <c r="A30" s="341" t="s">
        <v>873</v>
      </c>
      <c r="F30" s="340" t="s">
        <v>301</v>
      </c>
    </row>
    <row r="31" spans="1:23" ht="47.45" customHeight="1" x14ac:dyDescent="0.25">
      <c r="F31" s="424" t="s">
        <v>302</v>
      </c>
      <c r="G31" s="424"/>
      <c r="H31" s="424"/>
      <c r="I31" s="424"/>
      <c r="J31" s="424"/>
      <c r="K31" s="424"/>
      <c r="L31" s="424"/>
      <c r="M31" s="424"/>
    </row>
    <row r="32" spans="1:23" x14ac:dyDescent="0.25">
      <c r="A32" s="342"/>
      <c r="F32" s="424"/>
      <c r="G32" s="424"/>
      <c r="H32" s="424"/>
      <c r="I32" s="424"/>
      <c r="J32" s="424"/>
      <c r="K32" s="424"/>
      <c r="L32" s="424"/>
      <c r="M32" s="424"/>
    </row>
    <row r="33" spans="6:13" ht="14.45" customHeight="1" x14ac:dyDescent="0.25">
      <c r="F33" s="409" t="s">
        <v>874</v>
      </c>
      <c r="G33" s="409"/>
      <c r="H33" s="409"/>
      <c r="I33" s="409"/>
      <c r="J33" s="409"/>
      <c r="K33" s="409"/>
      <c r="L33" s="409"/>
      <c r="M33" s="409"/>
    </row>
    <row r="34" spans="6:13" x14ac:dyDescent="0.25">
      <c r="F34" s="409"/>
      <c r="G34" s="409"/>
      <c r="H34" s="409"/>
      <c r="I34" s="409"/>
      <c r="J34" s="409"/>
      <c r="K34" s="409"/>
      <c r="L34" s="409"/>
      <c r="M34" s="409"/>
    </row>
    <row r="35" spans="6:13" x14ac:dyDescent="0.25">
      <c r="F35" s="343"/>
    </row>
  </sheetData>
  <sheetProtection sheet="1" objects="1" scenarios="1" formatColumns="0" formatRows="0"/>
  <mergeCells count="22">
    <mergeCell ref="F33:M34"/>
    <mergeCell ref="F11:M11"/>
    <mergeCell ref="F12:M14"/>
    <mergeCell ref="O14:T22"/>
    <mergeCell ref="F19:M19"/>
    <mergeCell ref="F21:I21"/>
    <mergeCell ref="J21:M21"/>
    <mergeCell ref="F22:I23"/>
    <mergeCell ref="J22:M23"/>
    <mergeCell ref="F26:M29"/>
    <mergeCell ref="F31:M32"/>
    <mergeCell ref="F15:M15"/>
    <mergeCell ref="F16:M16"/>
    <mergeCell ref="F17:M17"/>
    <mergeCell ref="F18:M18"/>
    <mergeCell ref="F20:M20"/>
    <mergeCell ref="F9:I9"/>
    <mergeCell ref="J9:K9"/>
    <mergeCell ref="L9:M9"/>
    <mergeCell ref="F10:I10"/>
    <mergeCell ref="J10:K10"/>
    <mergeCell ref="L10:M10"/>
  </mergeCells>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0B95-7369-4FA7-8EC4-C54CBA09E9BA}">
  <sheetPr>
    <tabColor rgb="FF00B050"/>
  </sheetPr>
  <dimension ref="A1"/>
  <sheetViews>
    <sheetView showGridLines="0" workbookViewId="0">
      <selection activeCell="A7" sqref="A7"/>
    </sheetView>
  </sheetViews>
  <sheetFormatPr defaultRowHeight="15" x14ac:dyDescent="0.25"/>
  <cols>
    <col min="12" max="12" width="13.42578125" customWidth="1"/>
  </cols>
  <sheetData/>
  <sheetProtection sheet="1" objects="1" scenarios="1" formatColumns="0" formatRows="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BC914-1AD8-42B8-8A7B-C8FC3A6F1011}">
  <sheetPr codeName="Sheet5">
    <tabColor rgb="FFFFC000"/>
  </sheetPr>
  <dimension ref="A1:Q39"/>
  <sheetViews>
    <sheetView zoomScale="60" zoomScaleNormal="60" workbookViewId="0">
      <pane ySplit="1" topLeftCell="A2" activePane="bottomLeft" state="frozen"/>
      <selection pane="bottomLeft" activeCell="J1" sqref="J1"/>
    </sheetView>
  </sheetViews>
  <sheetFormatPr defaultColWidth="8.5703125" defaultRowHeight="15" x14ac:dyDescent="0.25"/>
  <cols>
    <col min="1" max="1" width="15.85546875" style="280" customWidth="1"/>
    <col min="2" max="2" width="19.140625" style="280" customWidth="1"/>
    <col min="3" max="3" width="24.140625" style="280" customWidth="1"/>
    <col min="4" max="4" width="17.5703125" style="280" hidden="1" customWidth="1"/>
    <col min="5" max="5" width="118.42578125" style="329" customWidth="1"/>
    <col min="6" max="6" width="40.85546875" style="280" customWidth="1"/>
    <col min="7" max="7" width="14" style="280" customWidth="1"/>
    <col min="8" max="8" width="19.5703125" style="280" customWidth="1"/>
    <col min="9" max="9" width="116.7109375" style="280" customWidth="1"/>
    <col min="10" max="10" width="38.42578125" style="345" customWidth="1"/>
    <col min="11" max="17" width="8.5703125" style="345"/>
    <col min="18" max="16384" width="8.5703125" style="280"/>
  </cols>
  <sheetData>
    <row r="1" spans="1:10" ht="78.75" x14ac:dyDescent="0.25">
      <c r="A1" s="281" t="s">
        <v>5</v>
      </c>
      <c r="B1" s="282" t="s">
        <v>313</v>
      </c>
      <c r="C1" s="283" t="s">
        <v>314</v>
      </c>
      <c r="D1" s="284" t="s">
        <v>8</v>
      </c>
      <c r="E1" s="285" t="s">
        <v>315</v>
      </c>
      <c r="F1" s="285" t="s">
        <v>316</v>
      </c>
      <c r="G1" s="285" t="s">
        <v>317</v>
      </c>
      <c r="H1" s="285" t="s">
        <v>318</v>
      </c>
      <c r="I1" s="321" t="s">
        <v>319</v>
      </c>
      <c r="J1" s="344" t="s">
        <v>319</v>
      </c>
    </row>
    <row r="2" spans="1:10" ht="409.6" customHeight="1" x14ac:dyDescent="0.25">
      <c r="A2" s="286" t="s">
        <v>320</v>
      </c>
      <c r="B2" s="286" t="s">
        <v>321</v>
      </c>
      <c r="C2" s="286" t="s">
        <v>322</v>
      </c>
      <c r="D2" s="286"/>
      <c r="E2" s="434" t="s">
        <v>323</v>
      </c>
      <c r="F2" s="428" t="s">
        <v>324</v>
      </c>
      <c r="G2" s="286" t="s">
        <v>325</v>
      </c>
      <c r="H2" s="287" t="s">
        <v>326</v>
      </c>
      <c r="I2" s="322" t="s">
        <v>327</v>
      </c>
      <c r="J2" s="346"/>
    </row>
    <row r="3" spans="1:10" ht="102.95" customHeight="1" x14ac:dyDescent="0.25">
      <c r="A3" s="286" t="s">
        <v>320</v>
      </c>
      <c r="B3" s="286"/>
      <c r="C3" s="286" t="s">
        <v>322</v>
      </c>
      <c r="D3" s="286"/>
      <c r="E3" s="435"/>
      <c r="F3" s="429"/>
      <c r="G3" s="286" t="s">
        <v>328</v>
      </c>
      <c r="H3" s="287" t="s">
        <v>326</v>
      </c>
      <c r="I3" s="323" t="s">
        <v>329</v>
      </c>
      <c r="J3" s="346"/>
    </row>
    <row r="4" spans="1:10" ht="409.5" customHeight="1" x14ac:dyDescent="0.25">
      <c r="A4" s="286" t="s">
        <v>320</v>
      </c>
      <c r="B4" s="286" t="s">
        <v>321</v>
      </c>
      <c r="C4" s="287" t="s">
        <v>330</v>
      </c>
      <c r="D4" s="286"/>
      <c r="E4" s="435"/>
      <c r="F4" s="428" t="s">
        <v>331</v>
      </c>
      <c r="G4" s="286" t="s">
        <v>332</v>
      </c>
      <c r="H4" s="287" t="s">
        <v>326</v>
      </c>
      <c r="I4" s="322" t="s">
        <v>333</v>
      </c>
      <c r="J4" s="346"/>
    </row>
    <row r="5" spans="1:10" ht="45" x14ac:dyDescent="0.25">
      <c r="A5" s="286" t="s">
        <v>320</v>
      </c>
      <c r="B5" s="286"/>
      <c r="C5" s="287" t="s">
        <v>330</v>
      </c>
      <c r="D5" s="286"/>
      <c r="E5" s="436"/>
      <c r="F5" s="429"/>
      <c r="G5" s="286" t="s">
        <v>328</v>
      </c>
      <c r="H5" s="287" t="s">
        <v>326</v>
      </c>
      <c r="I5" s="323" t="s">
        <v>329</v>
      </c>
      <c r="J5" s="346"/>
    </row>
    <row r="6" spans="1:10" ht="148.5" customHeight="1" x14ac:dyDescent="0.25">
      <c r="A6" s="286" t="s">
        <v>334</v>
      </c>
      <c r="B6" s="286" t="s">
        <v>321</v>
      </c>
      <c r="C6" s="286" t="s">
        <v>322</v>
      </c>
      <c r="D6" s="286"/>
      <c r="E6" s="434" t="s">
        <v>335</v>
      </c>
      <c r="F6" s="428" t="s">
        <v>336</v>
      </c>
      <c r="G6" s="286" t="s">
        <v>332</v>
      </c>
      <c r="H6" s="287" t="s">
        <v>326</v>
      </c>
      <c r="I6" s="324" t="s">
        <v>337</v>
      </c>
      <c r="J6" s="346"/>
    </row>
    <row r="7" spans="1:10" ht="34.9" customHeight="1" x14ac:dyDescent="0.25">
      <c r="A7" s="286" t="s">
        <v>334</v>
      </c>
      <c r="B7" s="286"/>
      <c r="C7" s="286" t="s">
        <v>322</v>
      </c>
      <c r="D7" s="286"/>
      <c r="E7" s="435"/>
      <c r="F7" s="429"/>
      <c r="G7" s="286" t="s">
        <v>328</v>
      </c>
      <c r="H7" s="287" t="s">
        <v>326</v>
      </c>
      <c r="I7" s="324" t="s">
        <v>338</v>
      </c>
      <c r="J7" s="346"/>
    </row>
    <row r="8" spans="1:10" ht="122.1" customHeight="1" x14ac:dyDescent="0.25">
      <c r="A8" s="286" t="s">
        <v>334</v>
      </c>
      <c r="B8" s="286" t="s">
        <v>321</v>
      </c>
      <c r="C8" s="287" t="s">
        <v>330</v>
      </c>
      <c r="D8" s="286"/>
      <c r="E8" s="435"/>
      <c r="F8" s="428" t="s">
        <v>339</v>
      </c>
      <c r="G8" s="286" t="s">
        <v>332</v>
      </c>
      <c r="H8" s="287" t="s">
        <v>326</v>
      </c>
      <c r="I8" s="324" t="s">
        <v>340</v>
      </c>
      <c r="J8" s="346"/>
    </row>
    <row r="9" spans="1:10" ht="45" x14ac:dyDescent="0.25">
      <c r="A9" s="286" t="s">
        <v>334</v>
      </c>
      <c r="B9" s="286"/>
      <c r="C9" s="287" t="s">
        <v>330</v>
      </c>
      <c r="D9" s="286"/>
      <c r="E9" s="436"/>
      <c r="F9" s="429"/>
      <c r="G9" s="286" t="s">
        <v>328</v>
      </c>
      <c r="H9" s="287" t="s">
        <v>326</v>
      </c>
      <c r="I9" s="324" t="s">
        <v>341</v>
      </c>
      <c r="J9" s="346"/>
    </row>
    <row r="10" spans="1:10" ht="283.5" customHeight="1" x14ac:dyDescent="0.25">
      <c r="A10" s="286" t="s">
        <v>342</v>
      </c>
      <c r="B10" s="286" t="s">
        <v>321</v>
      </c>
      <c r="C10" s="287" t="s">
        <v>322</v>
      </c>
      <c r="D10" s="286"/>
      <c r="E10" s="434" t="s">
        <v>343</v>
      </c>
      <c r="F10" s="428" t="s">
        <v>344</v>
      </c>
      <c r="G10" s="286" t="s">
        <v>332</v>
      </c>
      <c r="H10" s="287" t="s">
        <v>326</v>
      </c>
      <c r="I10" s="324" t="s">
        <v>345</v>
      </c>
      <c r="J10" s="346"/>
    </row>
    <row r="11" spans="1:10" ht="69" customHeight="1" x14ac:dyDescent="0.25">
      <c r="A11" s="286" t="s">
        <v>342</v>
      </c>
      <c r="B11" s="286"/>
      <c r="C11" s="287" t="s">
        <v>322</v>
      </c>
      <c r="D11" s="286"/>
      <c r="E11" s="435"/>
      <c r="F11" s="429"/>
      <c r="G11" s="286" t="s">
        <v>328</v>
      </c>
      <c r="H11" s="287" t="s">
        <v>326</v>
      </c>
      <c r="I11" s="324" t="s">
        <v>346</v>
      </c>
      <c r="J11" s="346"/>
    </row>
    <row r="12" spans="1:10" ht="206.65" customHeight="1" x14ac:dyDescent="0.25">
      <c r="A12" s="286" t="s">
        <v>342</v>
      </c>
      <c r="B12" s="286" t="s">
        <v>321</v>
      </c>
      <c r="C12" s="287" t="s">
        <v>330</v>
      </c>
      <c r="D12" s="286"/>
      <c r="E12" s="435"/>
      <c r="F12" s="437" t="s">
        <v>347</v>
      </c>
      <c r="G12" s="286" t="s">
        <v>332</v>
      </c>
      <c r="H12" s="291" t="s">
        <v>348</v>
      </c>
      <c r="I12" s="324" t="s">
        <v>349</v>
      </c>
      <c r="J12" s="346"/>
    </row>
    <row r="13" spans="1:10" ht="264.95" customHeight="1" x14ac:dyDescent="0.25">
      <c r="A13" s="286" t="s">
        <v>342</v>
      </c>
      <c r="B13" s="286"/>
      <c r="C13" s="287" t="s">
        <v>330</v>
      </c>
      <c r="D13" s="286"/>
      <c r="E13" s="436"/>
      <c r="F13" s="438"/>
      <c r="G13" s="286" t="s">
        <v>328</v>
      </c>
      <c r="H13" s="287" t="s">
        <v>326</v>
      </c>
      <c r="I13" s="324" t="s">
        <v>350</v>
      </c>
      <c r="J13" s="346"/>
    </row>
    <row r="14" spans="1:10" ht="87.95" customHeight="1" x14ac:dyDescent="0.25">
      <c r="A14" s="286" t="s">
        <v>351</v>
      </c>
      <c r="B14" s="286" t="s">
        <v>321</v>
      </c>
      <c r="C14" s="287" t="s">
        <v>322</v>
      </c>
      <c r="D14" s="286"/>
      <c r="E14" s="434" t="s">
        <v>352</v>
      </c>
      <c r="F14" s="428" t="s">
        <v>353</v>
      </c>
      <c r="G14" s="286" t="s">
        <v>332</v>
      </c>
      <c r="H14" s="287" t="s">
        <v>326</v>
      </c>
      <c r="I14" s="324" t="s">
        <v>354</v>
      </c>
      <c r="J14" s="346"/>
    </row>
    <row r="15" spans="1:10" ht="129.94999999999999" customHeight="1" x14ac:dyDescent="0.25">
      <c r="A15" s="286" t="s">
        <v>351</v>
      </c>
      <c r="B15" s="286"/>
      <c r="C15" s="287" t="s">
        <v>322</v>
      </c>
      <c r="D15" s="286"/>
      <c r="E15" s="435"/>
      <c r="F15" s="429"/>
      <c r="G15" s="286" t="s">
        <v>328</v>
      </c>
      <c r="H15" s="287" t="s">
        <v>326</v>
      </c>
      <c r="I15" s="323" t="s">
        <v>355</v>
      </c>
      <c r="J15" s="346"/>
    </row>
    <row r="16" spans="1:10" ht="93" customHeight="1" x14ac:dyDescent="0.25">
      <c r="A16" s="286" t="s">
        <v>351</v>
      </c>
      <c r="B16" s="286" t="s">
        <v>321</v>
      </c>
      <c r="C16" s="287" t="s">
        <v>330</v>
      </c>
      <c r="D16" s="286"/>
      <c r="E16" s="435"/>
      <c r="F16" s="428" t="s">
        <v>356</v>
      </c>
      <c r="G16" s="286" t="s">
        <v>332</v>
      </c>
      <c r="H16" s="287" t="s">
        <v>326</v>
      </c>
      <c r="I16" s="324" t="s">
        <v>357</v>
      </c>
      <c r="J16" s="346"/>
    </row>
    <row r="17" spans="1:10" ht="45.4" customHeight="1" x14ac:dyDescent="0.25">
      <c r="A17" s="286" t="s">
        <v>351</v>
      </c>
      <c r="B17" s="286"/>
      <c r="C17" s="287" t="s">
        <v>330</v>
      </c>
      <c r="D17" s="286"/>
      <c r="E17" s="436"/>
      <c r="F17" s="429"/>
      <c r="G17" s="286" t="s">
        <v>328</v>
      </c>
      <c r="H17" s="287" t="s">
        <v>326</v>
      </c>
      <c r="I17" s="323" t="s">
        <v>355</v>
      </c>
      <c r="J17" s="346"/>
    </row>
    <row r="18" spans="1:10" ht="90" customHeight="1" x14ac:dyDescent="0.25">
      <c r="A18" s="286" t="s">
        <v>358</v>
      </c>
      <c r="B18" s="286" t="s">
        <v>321</v>
      </c>
      <c r="C18" s="287" t="s">
        <v>322</v>
      </c>
      <c r="D18" s="286"/>
      <c r="E18" s="434" t="s">
        <v>359</v>
      </c>
      <c r="F18" s="437" t="s">
        <v>360</v>
      </c>
      <c r="G18" s="286" t="s">
        <v>332</v>
      </c>
      <c r="H18" s="291" t="s">
        <v>348</v>
      </c>
      <c r="I18" s="325" t="s">
        <v>361</v>
      </c>
      <c r="J18" s="346"/>
    </row>
    <row r="19" spans="1:10" ht="82.15" customHeight="1" x14ac:dyDescent="0.25">
      <c r="A19" s="286" t="s">
        <v>358</v>
      </c>
      <c r="B19" s="286"/>
      <c r="C19" s="287" t="s">
        <v>322</v>
      </c>
      <c r="D19" s="286"/>
      <c r="E19" s="435"/>
      <c r="F19" s="438"/>
      <c r="G19" s="286" t="s">
        <v>328</v>
      </c>
      <c r="H19" s="291" t="s">
        <v>348</v>
      </c>
      <c r="I19" s="323" t="s">
        <v>355</v>
      </c>
      <c r="J19" s="346"/>
    </row>
    <row r="20" spans="1:10" ht="78.599999999999994" customHeight="1" x14ac:dyDescent="0.25">
      <c r="A20" s="286" t="s">
        <v>358</v>
      </c>
      <c r="B20" s="286" t="s">
        <v>321</v>
      </c>
      <c r="C20" s="287" t="s">
        <v>330</v>
      </c>
      <c r="D20" s="286"/>
      <c r="E20" s="435"/>
      <c r="F20" s="437" t="s">
        <v>362</v>
      </c>
      <c r="G20" s="286" t="s">
        <v>332</v>
      </c>
      <c r="H20" s="291" t="s">
        <v>348</v>
      </c>
      <c r="I20" s="325" t="s">
        <v>363</v>
      </c>
      <c r="J20" s="346"/>
    </row>
    <row r="21" spans="1:10" ht="78.599999999999994" customHeight="1" x14ac:dyDescent="0.25">
      <c r="A21" s="286" t="s">
        <v>358</v>
      </c>
      <c r="B21" s="286"/>
      <c r="C21" s="287" t="s">
        <v>330</v>
      </c>
      <c r="D21" s="286"/>
      <c r="E21" s="436"/>
      <c r="F21" s="438"/>
      <c r="G21" s="286" t="s">
        <v>328</v>
      </c>
      <c r="H21" s="291" t="s">
        <v>348</v>
      </c>
      <c r="I21" s="326" t="s">
        <v>355</v>
      </c>
      <c r="J21" s="346"/>
    </row>
    <row r="22" spans="1:10" ht="112.9" customHeight="1" x14ac:dyDescent="0.25">
      <c r="A22" s="287" t="s">
        <v>364</v>
      </c>
      <c r="B22" s="286" t="s">
        <v>321</v>
      </c>
      <c r="C22" s="287" t="s">
        <v>330</v>
      </c>
      <c r="D22" s="287"/>
      <c r="E22" s="430" t="s">
        <v>365</v>
      </c>
      <c r="F22" s="428" t="s">
        <v>366</v>
      </c>
      <c r="G22" s="287" t="s">
        <v>332</v>
      </c>
      <c r="H22" s="287" t="s">
        <v>310</v>
      </c>
      <c r="I22" s="324" t="s">
        <v>367</v>
      </c>
      <c r="J22" s="346"/>
    </row>
    <row r="23" spans="1:10" ht="177.6" customHeight="1" x14ac:dyDescent="0.25">
      <c r="A23" s="287" t="s">
        <v>364</v>
      </c>
      <c r="B23" s="286"/>
      <c r="C23" s="287" t="s">
        <v>330</v>
      </c>
      <c r="D23" s="287"/>
      <c r="E23" s="431"/>
      <c r="F23" s="429"/>
      <c r="G23" s="287" t="s">
        <v>328</v>
      </c>
      <c r="H23" s="287" t="s">
        <v>310</v>
      </c>
      <c r="I23" s="324" t="s">
        <v>368</v>
      </c>
      <c r="J23" s="346"/>
    </row>
    <row r="24" spans="1:10" ht="93" customHeight="1" x14ac:dyDescent="0.25">
      <c r="A24" s="287" t="s">
        <v>369</v>
      </c>
      <c r="B24" s="286" t="s">
        <v>321</v>
      </c>
      <c r="C24" s="287" t="s">
        <v>330</v>
      </c>
      <c r="D24" s="287"/>
      <c r="E24" s="430" t="s">
        <v>365</v>
      </c>
      <c r="F24" s="428" t="s">
        <v>370</v>
      </c>
      <c r="G24" s="287" t="s">
        <v>332</v>
      </c>
      <c r="H24" s="287" t="s">
        <v>310</v>
      </c>
      <c r="I24" s="324" t="s">
        <v>371</v>
      </c>
      <c r="J24" s="346"/>
    </row>
    <row r="25" spans="1:10" ht="182.1" customHeight="1" x14ac:dyDescent="0.25">
      <c r="A25" s="287" t="s">
        <v>369</v>
      </c>
      <c r="B25" s="286"/>
      <c r="C25" s="287" t="s">
        <v>330</v>
      </c>
      <c r="D25" s="287"/>
      <c r="E25" s="431"/>
      <c r="F25" s="429"/>
      <c r="G25" s="287" t="s">
        <v>328</v>
      </c>
      <c r="H25" s="287" t="s">
        <v>372</v>
      </c>
      <c r="I25" s="324" t="s">
        <v>373</v>
      </c>
      <c r="J25" s="346"/>
    </row>
    <row r="26" spans="1:10" ht="51.6" customHeight="1" x14ac:dyDescent="0.25">
      <c r="A26" s="287" t="s">
        <v>374</v>
      </c>
      <c r="B26" s="286" t="s">
        <v>321</v>
      </c>
      <c r="C26" s="287" t="s">
        <v>330</v>
      </c>
      <c r="D26" s="287"/>
      <c r="E26" s="430" t="s">
        <v>365</v>
      </c>
      <c r="F26" s="428" t="s">
        <v>375</v>
      </c>
      <c r="G26" s="287" t="s">
        <v>332</v>
      </c>
      <c r="H26" s="287" t="s">
        <v>310</v>
      </c>
      <c r="I26" s="324" t="s">
        <v>376</v>
      </c>
      <c r="J26" s="346"/>
    </row>
    <row r="27" spans="1:10" ht="264" customHeight="1" x14ac:dyDescent="0.25">
      <c r="A27" s="287" t="s">
        <v>374</v>
      </c>
      <c r="B27" s="286"/>
      <c r="C27" s="287" t="s">
        <v>330</v>
      </c>
      <c r="D27" s="287"/>
      <c r="E27" s="431"/>
      <c r="F27" s="429"/>
      <c r="G27" s="287" t="s">
        <v>328</v>
      </c>
      <c r="H27" s="287" t="s">
        <v>372</v>
      </c>
      <c r="I27" s="324" t="s">
        <v>377</v>
      </c>
      <c r="J27" s="346"/>
    </row>
    <row r="28" spans="1:10" ht="15.95" customHeight="1" x14ac:dyDescent="0.25">
      <c r="A28" s="287" t="s">
        <v>378</v>
      </c>
      <c r="B28" s="286" t="s">
        <v>321</v>
      </c>
      <c r="C28" s="287" t="s">
        <v>330</v>
      </c>
      <c r="D28" s="287"/>
      <c r="E28" s="430" t="s">
        <v>379</v>
      </c>
      <c r="F28" s="428" t="s">
        <v>380</v>
      </c>
      <c r="G28" s="287" t="s">
        <v>332</v>
      </c>
      <c r="H28" s="287" t="s">
        <v>372</v>
      </c>
      <c r="I28" s="324" t="s">
        <v>381</v>
      </c>
      <c r="J28" s="346"/>
    </row>
    <row r="29" spans="1:10" ht="197.1" customHeight="1" x14ac:dyDescent="0.25">
      <c r="A29" s="287" t="s">
        <v>378</v>
      </c>
      <c r="B29" s="286"/>
      <c r="C29" s="287" t="s">
        <v>330</v>
      </c>
      <c r="D29" s="287"/>
      <c r="E29" s="431"/>
      <c r="F29" s="429"/>
      <c r="G29" s="287" t="s">
        <v>328</v>
      </c>
      <c r="H29" s="287" t="s">
        <v>372</v>
      </c>
      <c r="I29" s="324" t="s">
        <v>382</v>
      </c>
      <c r="J29" s="346"/>
    </row>
    <row r="30" spans="1:10" ht="16.899999999999999" customHeight="1" x14ac:dyDescent="0.25">
      <c r="A30" s="287" t="s">
        <v>383</v>
      </c>
      <c r="B30" s="286" t="s">
        <v>321</v>
      </c>
      <c r="C30" s="287" t="s">
        <v>330</v>
      </c>
      <c r="D30" s="287"/>
      <c r="E30" s="430" t="s">
        <v>379</v>
      </c>
      <c r="F30" s="428" t="s">
        <v>384</v>
      </c>
      <c r="G30" s="287" t="s">
        <v>332</v>
      </c>
      <c r="H30" s="287" t="s">
        <v>372</v>
      </c>
      <c r="I30" s="324" t="s">
        <v>385</v>
      </c>
      <c r="J30" s="346"/>
    </row>
    <row r="31" spans="1:10" ht="99.95" customHeight="1" x14ac:dyDescent="0.25">
      <c r="A31" s="287" t="s">
        <v>383</v>
      </c>
      <c r="B31" s="286"/>
      <c r="C31" s="287" t="s">
        <v>330</v>
      </c>
      <c r="D31" s="287"/>
      <c r="E31" s="431"/>
      <c r="F31" s="429"/>
      <c r="G31" s="287" t="s">
        <v>328</v>
      </c>
      <c r="H31" s="287" t="s">
        <v>372</v>
      </c>
      <c r="I31" s="317" t="s">
        <v>386</v>
      </c>
      <c r="J31" s="346"/>
    </row>
    <row r="32" spans="1:10" ht="177" customHeight="1" x14ac:dyDescent="0.25">
      <c r="A32" s="303" t="s">
        <v>387</v>
      </c>
      <c r="B32" s="286" t="s">
        <v>321</v>
      </c>
      <c r="C32" s="303" t="s">
        <v>330</v>
      </c>
      <c r="D32" s="303"/>
      <c r="E32" s="425" t="s">
        <v>388</v>
      </c>
      <c r="F32" s="432" t="s">
        <v>389</v>
      </c>
      <c r="G32" s="303" t="s">
        <v>390</v>
      </c>
      <c r="H32" s="303" t="s">
        <v>391</v>
      </c>
      <c r="I32" s="327" t="s">
        <v>392</v>
      </c>
      <c r="J32" s="346"/>
    </row>
    <row r="33" spans="1:10" ht="66.95" customHeight="1" x14ac:dyDescent="0.25">
      <c r="A33" s="288" t="s">
        <v>387</v>
      </c>
      <c r="B33" s="286"/>
      <c r="C33" s="318" t="s">
        <v>330</v>
      </c>
      <c r="D33" s="288"/>
      <c r="E33" s="426"/>
      <c r="F33" s="433"/>
      <c r="G33" s="288" t="s">
        <v>393</v>
      </c>
      <c r="H33" s="303" t="s">
        <v>391</v>
      </c>
      <c r="I33" s="289" t="s">
        <v>373</v>
      </c>
      <c r="J33" s="346"/>
    </row>
    <row r="34" spans="1:10" ht="183.95" customHeight="1" x14ac:dyDescent="0.25">
      <c r="A34" s="288" t="s">
        <v>387</v>
      </c>
      <c r="B34" s="286" t="s">
        <v>321</v>
      </c>
      <c r="C34" s="286" t="s">
        <v>322</v>
      </c>
      <c r="D34" s="290"/>
      <c r="E34" s="426"/>
      <c r="F34" s="432" t="s">
        <v>394</v>
      </c>
      <c r="G34" s="303" t="s">
        <v>390</v>
      </c>
      <c r="H34" s="303" t="s">
        <v>391</v>
      </c>
      <c r="I34" s="328" t="s">
        <v>395</v>
      </c>
      <c r="J34" s="346"/>
    </row>
    <row r="35" spans="1:10" ht="64.5" customHeight="1" x14ac:dyDescent="0.25">
      <c r="A35" s="318" t="s">
        <v>387</v>
      </c>
      <c r="B35" s="286"/>
      <c r="C35" s="286" t="s">
        <v>322</v>
      </c>
      <c r="D35" s="320"/>
      <c r="E35" s="426"/>
      <c r="F35" s="433"/>
      <c r="G35" s="318" t="s">
        <v>393</v>
      </c>
      <c r="H35" s="303" t="s">
        <v>391</v>
      </c>
      <c r="I35" s="319" t="s">
        <v>373</v>
      </c>
      <c r="J35" s="346"/>
    </row>
    <row r="36" spans="1:10" ht="50.65" customHeight="1" x14ac:dyDescent="0.25">
      <c r="A36" s="286" t="s">
        <v>396</v>
      </c>
      <c r="B36" s="286" t="s">
        <v>321</v>
      </c>
      <c r="C36" s="286" t="s">
        <v>330</v>
      </c>
      <c r="D36" s="286"/>
      <c r="E36" s="427" t="s">
        <v>397</v>
      </c>
      <c r="F36" s="428" t="s">
        <v>398</v>
      </c>
      <c r="G36" s="286" t="s">
        <v>390</v>
      </c>
      <c r="H36" s="303" t="s">
        <v>391</v>
      </c>
      <c r="I36" s="324" t="s">
        <v>399</v>
      </c>
      <c r="J36" s="346"/>
    </row>
    <row r="37" spans="1:10" ht="33.4" customHeight="1" x14ac:dyDescent="0.25">
      <c r="A37" s="286" t="s">
        <v>396</v>
      </c>
      <c r="B37" s="286"/>
      <c r="C37" s="286" t="s">
        <v>330</v>
      </c>
      <c r="D37" s="286"/>
      <c r="E37" s="427"/>
      <c r="F37" s="429"/>
      <c r="G37" s="286" t="s">
        <v>393</v>
      </c>
      <c r="H37" s="303" t="s">
        <v>391</v>
      </c>
      <c r="I37" s="323" t="s">
        <v>373</v>
      </c>
      <c r="J37" s="346"/>
    </row>
    <row r="38" spans="1:10" ht="72.599999999999994" customHeight="1" x14ac:dyDescent="0.25">
      <c r="A38" s="286" t="s">
        <v>396</v>
      </c>
      <c r="B38" s="286" t="s">
        <v>321</v>
      </c>
      <c r="C38" s="286" t="s">
        <v>322</v>
      </c>
      <c r="D38" s="286"/>
      <c r="E38" s="427"/>
      <c r="F38" s="428" t="s">
        <v>400</v>
      </c>
      <c r="G38" s="286" t="s">
        <v>390</v>
      </c>
      <c r="H38" s="303" t="s">
        <v>391</v>
      </c>
      <c r="I38" s="324" t="s">
        <v>399</v>
      </c>
      <c r="J38" s="346"/>
    </row>
    <row r="39" spans="1:10" ht="45" x14ac:dyDescent="0.25">
      <c r="A39" s="286" t="s">
        <v>396</v>
      </c>
      <c r="B39" s="286"/>
      <c r="C39" s="286" t="s">
        <v>322</v>
      </c>
      <c r="D39" s="286"/>
      <c r="E39" s="427"/>
      <c r="F39" s="429"/>
      <c r="G39" s="286" t="s">
        <v>393</v>
      </c>
      <c r="H39" s="303" t="s">
        <v>391</v>
      </c>
      <c r="I39" s="323" t="s">
        <v>373</v>
      </c>
      <c r="J39" s="346"/>
    </row>
  </sheetData>
  <sheetProtection algorithmName="SHA-512" hashValue="IL0PcjiXgIWsjQUFz7tjx/kGj4rZY73ZIM0AY+iclcaxZ7XiDEJarkugnntxU9ciMgwhCTY9JPMoEbukZHf+WA==" saltValue="Sc6oCWRrbn+3LR2Ms5QNVg==" spinCount="100000" sheet="1" objects="1" scenarios="1" formatColumns="0" formatRows="0"/>
  <mergeCells count="31">
    <mergeCell ref="E10:E13"/>
    <mergeCell ref="F10:F11"/>
    <mergeCell ref="F12:F13"/>
    <mergeCell ref="E14:E17"/>
    <mergeCell ref="E18:E21"/>
    <mergeCell ref="F14:F15"/>
    <mergeCell ref="F16:F17"/>
    <mergeCell ref="F18:F19"/>
    <mergeCell ref="F20:F21"/>
    <mergeCell ref="E2:E5"/>
    <mergeCell ref="F2:F3"/>
    <mergeCell ref="F4:F5"/>
    <mergeCell ref="E6:E9"/>
    <mergeCell ref="F6:F7"/>
    <mergeCell ref="F8:F9"/>
    <mergeCell ref="E32:E35"/>
    <mergeCell ref="E36:E39"/>
    <mergeCell ref="F22:F23"/>
    <mergeCell ref="E22:E23"/>
    <mergeCell ref="F24:F25"/>
    <mergeCell ref="E24:E25"/>
    <mergeCell ref="E26:E27"/>
    <mergeCell ref="F26:F27"/>
    <mergeCell ref="F30:F31"/>
    <mergeCell ref="E30:E31"/>
    <mergeCell ref="E28:E29"/>
    <mergeCell ref="F28:F29"/>
    <mergeCell ref="F32:F33"/>
    <mergeCell ref="F34:F35"/>
    <mergeCell ref="F36:F37"/>
    <mergeCell ref="F38:F39"/>
  </mergeCells>
  <pageMargins left="0.7" right="0.7" top="0.75" bottom="0.75" header="0.3" footer="0.3"/>
  <pageSetup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0DB6-B5E8-4D93-9EC8-7AFDE0F91DF7}">
  <sheetPr codeName="Sheet7"/>
  <dimension ref="A2:B5"/>
  <sheetViews>
    <sheetView workbookViewId="0">
      <selection activeCell="B9" sqref="B9"/>
    </sheetView>
  </sheetViews>
  <sheetFormatPr defaultRowHeight="15" x14ac:dyDescent="0.25"/>
  <cols>
    <col min="1" max="1" width="22" customWidth="1"/>
    <col min="2" max="2" width="24" customWidth="1"/>
    <col min="3" max="3" width="14.42578125" customWidth="1"/>
  </cols>
  <sheetData>
    <row r="2" spans="1:2" x14ac:dyDescent="0.25">
      <c r="A2" t="s">
        <v>401</v>
      </c>
    </row>
    <row r="3" spans="1:2" x14ac:dyDescent="0.25">
      <c r="A3" t="s">
        <v>402</v>
      </c>
      <c r="B3" t="s">
        <v>403</v>
      </c>
    </row>
    <row r="4" spans="1:2" x14ac:dyDescent="0.25">
      <c r="A4" t="s">
        <v>404</v>
      </c>
    </row>
    <row r="5" spans="1:2" x14ac:dyDescent="0.25">
      <c r="A5" t="s">
        <v>405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135E-A286-4BDB-AFE7-4D76A1CEF604}">
  <sheetPr codeName="Sheet8"/>
  <dimension ref="A2:K112"/>
  <sheetViews>
    <sheetView zoomScale="68" zoomScaleNormal="68" workbookViewId="0">
      <pane xSplit="1" ySplit="2" topLeftCell="G5" activePane="bottomRight" state="frozen"/>
      <selection pane="topRight" activeCell="B1" sqref="B1"/>
      <selection pane="bottomLeft" activeCell="A3" sqref="A3"/>
      <selection pane="bottomRight" activeCell="G7" sqref="G7"/>
    </sheetView>
  </sheetViews>
  <sheetFormatPr defaultColWidth="9.140625" defaultRowHeight="15" x14ac:dyDescent="0.25"/>
  <cols>
    <col min="1" max="1" width="8.5703125" hidden="1" customWidth="1"/>
    <col min="2" max="2" width="18.5703125" customWidth="1"/>
    <col min="3" max="3" width="22.5703125" customWidth="1"/>
    <col min="4" max="4" width="31.42578125" customWidth="1"/>
    <col min="5" max="5" width="30.5703125" customWidth="1"/>
    <col min="6" max="6" width="50.42578125" customWidth="1"/>
    <col min="7" max="7" width="40.5703125" customWidth="1"/>
    <col min="8" max="8" width="11.5703125" customWidth="1"/>
    <col min="9" max="9" width="16.5703125" customWidth="1"/>
    <col min="10" max="10" width="66.140625" customWidth="1"/>
    <col min="11" max="11" width="78" customWidth="1"/>
    <col min="12" max="16384" width="9.140625" style="120"/>
  </cols>
  <sheetData>
    <row r="2" spans="1:11" ht="47.25" x14ac:dyDescent="0.25">
      <c r="B2" s="263" t="s">
        <v>406</v>
      </c>
      <c r="C2" s="74" t="s">
        <v>407</v>
      </c>
      <c r="D2" s="263" t="s">
        <v>408</v>
      </c>
      <c r="E2" s="74" t="s">
        <v>9</v>
      </c>
      <c r="F2" s="263" t="s">
        <v>409</v>
      </c>
      <c r="G2" s="74" t="s">
        <v>10</v>
      </c>
      <c r="H2" s="263" t="s">
        <v>11</v>
      </c>
      <c r="I2" s="263" t="s">
        <v>12</v>
      </c>
      <c r="J2" s="74" t="s">
        <v>13</v>
      </c>
      <c r="K2" s="74" t="s">
        <v>14</v>
      </c>
    </row>
    <row r="3" spans="1:11" ht="19.5" customHeight="1" x14ac:dyDescent="0.25">
      <c r="A3" s="71"/>
      <c r="B3" s="75" t="s">
        <v>410</v>
      </c>
      <c r="C3" s="72"/>
      <c r="D3" s="72"/>
      <c r="E3" s="72"/>
      <c r="F3" s="73"/>
      <c r="G3" s="72"/>
      <c r="H3" s="72"/>
      <c r="I3" s="72"/>
      <c r="J3" s="72"/>
      <c r="K3" s="72"/>
    </row>
    <row r="4" spans="1:11" ht="83.25" customHeight="1" x14ac:dyDescent="0.25">
      <c r="A4" s="71"/>
      <c r="B4" s="67"/>
      <c r="C4" s="67" t="s">
        <v>411</v>
      </c>
      <c r="D4" s="67" t="s">
        <v>412</v>
      </c>
      <c r="E4" s="67" t="s">
        <v>413</v>
      </c>
      <c r="F4" s="67" t="s">
        <v>15</v>
      </c>
      <c r="G4" s="296" t="s">
        <v>414</v>
      </c>
      <c r="H4" s="296" t="s">
        <v>61</v>
      </c>
      <c r="I4" s="296"/>
      <c r="J4" s="83" t="s">
        <v>415</v>
      </c>
      <c r="K4" s="67"/>
    </row>
    <row r="5" spans="1:11" ht="83.25" customHeight="1" x14ac:dyDescent="0.25">
      <c r="A5" s="71"/>
      <c r="B5" s="67"/>
      <c r="C5" s="67" t="s">
        <v>411</v>
      </c>
      <c r="D5" s="67" t="s">
        <v>412</v>
      </c>
      <c r="E5" s="67" t="s">
        <v>413</v>
      </c>
      <c r="F5" s="67" t="s">
        <v>15</v>
      </c>
      <c r="G5" s="296" t="s">
        <v>414</v>
      </c>
      <c r="H5" s="296" t="s">
        <v>39</v>
      </c>
      <c r="I5" s="296"/>
      <c r="J5" s="83" t="s">
        <v>416</v>
      </c>
      <c r="K5" s="67"/>
    </row>
    <row r="6" spans="1:11" s="71" customFormat="1" ht="15.75" x14ac:dyDescent="0.25">
      <c r="B6" s="64" t="s">
        <v>417</v>
      </c>
      <c r="C6" s="65"/>
      <c r="D6" s="50"/>
      <c r="E6" s="50"/>
      <c r="F6" s="50"/>
      <c r="G6" s="50"/>
      <c r="H6" s="50"/>
      <c r="I6" s="50"/>
      <c r="J6" s="50"/>
      <c r="K6" s="9"/>
    </row>
    <row r="7" spans="1:11" s="71" customFormat="1" ht="38.25" x14ac:dyDescent="0.25">
      <c r="B7" s="66"/>
      <c r="C7" s="66" t="s">
        <v>418</v>
      </c>
      <c r="D7" s="67" t="s">
        <v>412</v>
      </c>
      <c r="E7" s="66"/>
      <c r="F7" s="67" t="s">
        <v>15</v>
      </c>
      <c r="G7" s="49" t="s">
        <v>419</v>
      </c>
      <c r="H7" s="49"/>
      <c r="I7" s="48"/>
      <c r="J7" s="48" t="s">
        <v>420</v>
      </c>
      <c r="K7" s="67"/>
    </row>
    <row r="8" spans="1:11" s="121" customFormat="1" ht="51" x14ac:dyDescent="0.25">
      <c r="A8" s="71"/>
      <c r="B8" s="68"/>
      <c r="C8" s="66" t="s">
        <v>418</v>
      </c>
      <c r="D8" s="67" t="s">
        <v>412</v>
      </c>
      <c r="E8" s="66"/>
      <c r="F8" s="67" t="s">
        <v>15</v>
      </c>
      <c r="G8" s="48" t="s">
        <v>421</v>
      </c>
      <c r="H8" s="48"/>
      <c r="I8" s="48"/>
      <c r="J8" s="48" t="s">
        <v>422</v>
      </c>
      <c r="K8" s="66"/>
    </row>
    <row r="9" spans="1:11" s="122" customFormat="1" ht="72" customHeight="1" x14ac:dyDescent="0.25">
      <c r="A9" s="103">
        <v>1</v>
      </c>
      <c r="B9" s="115" t="s">
        <v>423</v>
      </c>
      <c r="C9" s="103" t="s">
        <v>98</v>
      </c>
      <c r="D9" s="103" t="s">
        <v>20</v>
      </c>
      <c r="E9" s="106" t="s">
        <v>424</v>
      </c>
      <c r="F9" s="116" t="s">
        <v>23</v>
      </c>
      <c r="G9" s="117" t="s">
        <v>425</v>
      </c>
      <c r="H9" s="103" t="s">
        <v>61</v>
      </c>
      <c r="I9" s="103" t="s">
        <v>23</v>
      </c>
      <c r="J9" s="118" t="s">
        <v>426</v>
      </c>
      <c r="K9" s="103"/>
    </row>
    <row r="10" spans="1:11" s="122" customFormat="1" ht="72" customHeight="1" x14ac:dyDescent="0.25">
      <c r="A10" s="103">
        <v>1</v>
      </c>
      <c r="B10" s="115" t="s">
        <v>423</v>
      </c>
      <c r="C10" s="103" t="s">
        <v>98</v>
      </c>
      <c r="D10" s="103" t="s">
        <v>23</v>
      </c>
      <c r="E10" s="106" t="s">
        <v>424</v>
      </c>
      <c r="F10" s="116" t="s">
        <v>23</v>
      </c>
      <c r="G10" s="117" t="s">
        <v>425</v>
      </c>
      <c r="H10" s="103" t="s">
        <v>39</v>
      </c>
      <c r="I10" s="103" t="s">
        <v>23</v>
      </c>
      <c r="J10" s="118" t="s">
        <v>427</v>
      </c>
      <c r="K10" s="103"/>
    </row>
    <row r="11" spans="1:11" s="71" customFormat="1" ht="15.75" x14ac:dyDescent="0.25">
      <c r="B11" s="6" t="s">
        <v>428</v>
      </c>
      <c r="C11" s="10"/>
      <c r="D11" s="9"/>
      <c r="E11" s="9"/>
      <c r="F11" s="9"/>
      <c r="G11" s="9"/>
      <c r="H11" s="9"/>
      <c r="I11" s="9"/>
      <c r="J11" s="9"/>
      <c r="K11" s="9"/>
    </row>
    <row r="12" spans="1:11" s="71" customFormat="1" ht="63.75" x14ac:dyDescent="0.25">
      <c r="B12" s="69"/>
      <c r="C12" s="69" t="s">
        <v>429</v>
      </c>
      <c r="D12" s="69" t="s">
        <v>430</v>
      </c>
      <c r="E12" s="69" t="s">
        <v>431</v>
      </c>
      <c r="F12" s="69"/>
      <c r="G12" s="69" t="s">
        <v>432</v>
      </c>
      <c r="H12" s="69" t="s">
        <v>61</v>
      </c>
      <c r="I12" s="69" t="s">
        <v>20</v>
      </c>
      <c r="J12" s="69" t="s">
        <v>433</v>
      </c>
      <c r="K12" s="69"/>
    </row>
    <row r="13" spans="1:11" s="71" customFormat="1" ht="63.75" x14ac:dyDescent="0.25">
      <c r="B13" s="69"/>
      <c r="C13" s="69" t="s">
        <v>429</v>
      </c>
      <c r="D13" s="69" t="s">
        <v>430</v>
      </c>
      <c r="E13" s="69" t="s">
        <v>431</v>
      </c>
      <c r="F13" s="69"/>
      <c r="G13" s="69" t="s">
        <v>432</v>
      </c>
      <c r="H13" s="96" t="s">
        <v>434</v>
      </c>
      <c r="I13" s="96" t="s">
        <v>435</v>
      </c>
      <c r="J13" s="96" t="s">
        <v>436</v>
      </c>
      <c r="K13" s="69"/>
    </row>
    <row r="14" spans="1:11" s="71" customFormat="1" ht="51" x14ac:dyDescent="0.25">
      <c r="B14" s="69"/>
      <c r="C14" s="69" t="s">
        <v>429</v>
      </c>
      <c r="D14" s="69" t="s">
        <v>430</v>
      </c>
      <c r="E14" s="69" t="s">
        <v>437</v>
      </c>
      <c r="F14" s="69"/>
      <c r="G14" s="148" t="s">
        <v>438</v>
      </c>
      <c r="H14" s="151" t="s">
        <v>61</v>
      </c>
      <c r="I14" s="151"/>
      <c r="J14" s="151" t="s">
        <v>439</v>
      </c>
      <c r="K14" s="149"/>
    </row>
    <row r="15" spans="1:11" s="71" customFormat="1" ht="51" x14ac:dyDescent="0.25">
      <c r="B15" s="69"/>
      <c r="C15" s="69" t="s">
        <v>429</v>
      </c>
      <c r="D15" s="69" t="s">
        <v>430</v>
      </c>
      <c r="E15" s="69" t="s">
        <v>437</v>
      </c>
      <c r="F15" s="69"/>
      <c r="G15" s="148" t="s">
        <v>440</v>
      </c>
      <c r="H15" s="150" t="s">
        <v>95</v>
      </c>
      <c r="I15" s="150" t="s">
        <v>20</v>
      </c>
      <c r="J15" s="150" t="s">
        <v>441</v>
      </c>
      <c r="K15" s="69"/>
    </row>
    <row r="16" spans="1:11" s="71" customFormat="1" ht="51" x14ac:dyDescent="0.25">
      <c r="B16" s="69"/>
      <c r="C16" s="69" t="s">
        <v>429</v>
      </c>
      <c r="D16" s="69" t="s">
        <v>430</v>
      </c>
      <c r="E16" s="148" t="s">
        <v>442</v>
      </c>
      <c r="F16" s="150"/>
      <c r="G16" s="150" t="s">
        <v>115</v>
      </c>
      <c r="H16" s="150" t="s">
        <v>61</v>
      </c>
      <c r="I16" s="69" t="s">
        <v>23</v>
      </c>
      <c r="J16" s="69" t="s">
        <v>116</v>
      </c>
      <c r="K16" s="69"/>
    </row>
    <row r="17" spans="1:11" ht="51" x14ac:dyDescent="0.25">
      <c r="A17" s="69"/>
      <c r="B17" s="69"/>
      <c r="C17" s="69" t="s">
        <v>429</v>
      </c>
      <c r="D17" s="69" t="s">
        <v>430</v>
      </c>
      <c r="E17" s="148" t="s">
        <v>442</v>
      </c>
      <c r="F17" s="69"/>
      <c r="G17" s="150" t="s">
        <v>115</v>
      </c>
      <c r="H17" s="69" t="s">
        <v>39</v>
      </c>
      <c r="I17" s="69" t="s">
        <v>23</v>
      </c>
      <c r="J17" s="69" t="s">
        <v>118</v>
      </c>
      <c r="K17" s="69"/>
    </row>
    <row r="18" spans="1:11" ht="36" customHeight="1" x14ac:dyDescent="0.25">
      <c r="A18" s="71"/>
      <c r="B18" s="157"/>
      <c r="C18" s="157" t="s">
        <v>443</v>
      </c>
      <c r="D18" s="157" t="s">
        <v>412</v>
      </c>
      <c r="E18" s="159" t="s">
        <v>444</v>
      </c>
      <c r="F18" s="157"/>
      <c r="G18" s="160" t="s">
        <v>123</v>
      </c>
      <c r="H18" s="157" t="s">
        <v>33</v>
      </c>
      <c r="I18" s="157" t="s">
        <v>23</v>
      </c>
      <c r="J18" s="157" t="s">
        <v>439</v>
      </c>
      <c r="K18" s="71"/>
    </row>
    <row r="19" spans="1:11" ht="44.25" customHeight="1" x14ac:dyDescent="0.25">
      <c r="A19" s="71"/>
      <c r="B19" s="157"/>
      <c r="C19" s="157" t="s">
        <v>443</v>
      </c>
      <c r="D19" s="157" t="s">
        <v>412</v>
      </c>
      <c r="E19" s="159" t="s">
        <v>444</v>
      </c>
      <c r="F19" s="157"/>
      <c r="G19" s="160" t="s">
        <v>123</v>
      </c>
      <c r="H19" s="157" t="s">
        <v>39</v>
      </c>
      <c r="I19" s="157" t="s">
        <v>137</v>
      </c>
      <c r="J19" s="158" t="s">
        <v>445</v>
      </c>
      <c r="K19" s="71"/>
    </row>
    <row r="20" spans="1:11" ht="89.25" x14ac:dyDescent="0.25">
      <c r="A20" s="71"/>
      <c r="B20" s="157"/>
      <c r="C20" s="157" t="s">
        <v>443</v>
      </c>
      <c r="D20" s="157" t="s">
        <v>412</v>
      </c>
      <c r="E20" s="159" t="s">
        <v>444</v>
      </c>
      <c r="F20" s="157"/>
      <c r="G20" s="160" t="s">
        <v>123</v>
      </c>
      <c r="H20" s="157" t="s">
        <v>39</v>
      </c>
      <c r="I20" s="157" t="s">
        <v>446</v>
      </c>
      <c r="J20" s="158" t="s">
        <v>447</v>
      </c>
      <c r="K20" s="71"/>
    </row>
    <row r="21" spans="1:11" s="71" customFormat="1" ht="165.75" x14ac:dyDescent="0.25">
      <c r="B21" s="76"/>
      <c r="C21" s="76" t="s">
        <v>448</v>
      </c>
      <c r="D21" s="76" t="s">
        <v>412</v>
      </c>
      <c r="E21" s="76" t="s">
        <v>120</v>
      </c>
      <c r="F21" s="76"/>
      <c r="G21" s="76" t="s">
        <v>449</v>
      </c>
      <c r="H21" s="76" t="s">
        <v>61</v>
      </c>
      <c r="I21" s="76" t="s">
        <v>23</v>
      </c>
      <c r="J21" s="76" t="s">
        <v>433</v>
      </c>
      <c r="K21" s="77"/>
    </row>
    <row r="22" spans="1:11" s="71" customFormat="1" ht="97.5" customHeight="1" x14ac:dyDescent="0.25">
      <c r="B22" s="76"/>
      <c r="C22" s="76" t="s">
        <v>448</v>
      </c>
      <c r="D22" s="76" t="s">
        <v>412</v>
      </c>
      <c r="E22" s="76" t="s">
        <v>120</v>
      </c>
      <c r="F22" s="76"/>
      <c r="G22" s="76" t="s">
        <v>450</v>
      </c>
      <c r="H22" s="76" t="s">
        <v>39</v>
      </c>
      <c r="I22" s="76" t="s">
        <v>137</v>
      </c>
      <c r="J22" s="156" t="s">
        <v>451</v>
      </c>
      <c r="K22" s="77"/>
    </row>
    <row r="23" spans="1:11" s="71" customFormat="1" ht="165.75" x14ac:dyDescent="0.25">
      <c r="B23" s="76"/>
      <c r="C23" s="76" t="s">
        <v>448</v>
      </c>
      <c r="D23" s="76" t="s">
        <v>412</v>
      </c>
      <c r="E23" s="76" t="s">
        <v>120</v>
      </c>
      <c r="F23" s="76"/>
      <c r="G23" s="76" t="s">
        <v>452</v>
      </c>
      <c r="H23" s="157" t="s">
        <v>95</v>
      </c>
      <c r="I23" s="157" t="s">
        <v>446</v>
      </c>
      <c r="J23" s="158" t="s">
        <v>453</v>
      </c>
      <c r="K23" s="77"/>
    </row>
    <row r="24" spans="1:11" s="71" customFormat="1" ht="38.25" x14ac:dyDescent="0.25">
      <c r="B24" s="78"/>
      <c r="C24" s="78" t="s">
        <v>127</v>
      </c>
      <c r="D24" s="78" t="s">
        <v>412</v>
      </c>
      <c r="E24" s="78" t="s">
        <v>127</v>
      </c>
      <c r="F24" s="78"/>
      <c r="G24" s="78" t="s">
        <v>454</v>
      </c>
      <c r="H24" s="78" t="s">
        <v>61</v>
      </c>
      <c r="I24" s="78" t="s">
        <v>23</v>
      </c>
      <c r="J24" s="78" t="s">
        <v>433</v>
      </c>
      <c r="K24" s="79"/>
    </row>
    <row r="25" spans="1:11" s="71" customFormat="1" ht="38.25" x14ac:dyDescent="0.25">
      <c r="B25" s="78"/>
      <c r="C25" s="78" t="s">
        <v>127</v>
      </c>
      <c r="D25" s="78" t="s">
        <v>412</v>
      </c>
      <c r="E25" s="78" t="s">
        <v>127</v>
      </c>
      <c r="F25" s="78"/>
      <c r="G25" s="161" t="s">
        <v>454</v>
      </c>
      <c r="H25" s="161" t="s">
        <v>39</v>
      </c>
      <c r="I25" s="78" t="s">
        <v>137</v>
      </c>
      <c r="J25" s="162" t="s">
        <v>455</v>
      </c>
      <c r="K25" s="80"/>
    </row>
    <row r="26" spans="1:11" s="71" customFormat="1" ht="165.75" x14ac:dyDescent="0.25">
      <c r="B26" s="78"/>
      <c r="C26" s="78" t="s">
        <v>127</v>
      </c>
      <c r="D26" s="78" t="s">
        <v>412</v>
      </c>
      <c r="E26" s="78" t="s">
        <v>127</v>
      </c>
      <c r="F26" s="78"/>
      <c r="G26" s="161" t="s">
        <v>456</v>
      </c>
      <c r="H26" s="78" t="s">
        <v>39</v>
      </c>
      <c r="I26" s="78" t="s">
        <v>446</v>
      </c>
      <c r="J26" s="162" t="s">
        <v>457</v>
      </c>
      <c r="K26" s="79"/>
    </row>
    <row r="27" spans="1:11" s="71" customFormat="1" ht="25.5" x14ac:dyDescent="0.25">
      <c r="B27" s="81"/>
      <c r="C27" s="81" t="s">
        <v>458</v>
      </c>
      <c r="D27" s="81" t="s">
        <v>412</v>
      </c>
      <c r="E27" s="81" t="s">
        <v>129</v>
      </c>
      <c r="F27" s="81"/>
      <c r="G27" s="81" t="s">
        <v>133</v>
      </c>
      <c r="H27" s="81" t="s">
        <v>61</v>
      </c>
      <c r="I27" s="81" t="s">
        <v>459</v>
      </c>
      <c r="J27" s="81" t="s">
        <v>460</v>
      </c>
      <c r="K27" s="82"/>
    </row>
    <row r="28" spans="1:11" s="71" customFormat="1" ht="25.5" x14ac:dyDescent="0.25">
      <c r="B28" s="81"/>
      <c r="C28" s="81" t="s">
        <v>458</v>
      </c>
      <c r="D28" s="81" t="s">
        <v>412</v>
      </c>
      <c r="E28" s="81" t="s">
        <v>129</v>
      </c>
      <c r="F28" s="81"/>
      <c r="G28" s="81" t="s">
        <v>133</v>
      </c>
      <c r="H28" s="81" t="s">
        <v>61</v>
      </c>
      <c r="I28" s="81" t="s">
        <v>461</v>
      </c>
      <c r="J28" s="81" t="s">
        <v>433</v>
      </c>
      <c r="K28" s="82"/>
    </row>
    <row r="29" spans="1:11" s="71" customFormat="1" ht="165.75" x14ac:dyDescent="0.25">
      <c r="B29" s="81"/>
      <c r="C29" s="81" t="s">
        <v>458</v>
      </c>
      <c r="D29" s="81" t="s">
        <v>412</v>
      </c>
      <c r="E29" s="81" t="s">
        <v>129</v>
      </c>
      <c r="F29" s="81"/>
      <c r="G29" s="81" t="s">
        <v>133</v>
      </c>
      <c r="H29" s="81" t="s">
        <v>95</v>
      </c>
      <c r="I29" s="81" t="s">
        <v>20</v>
      </c>
      <c r="J29" s="81" t="s">
        <v>462</v>
      </c>
      <c r="K29" s="82"/>
    </row>
    <row r="30" spans="1:11" s="71" customFormat="1" ht="25.5" x14ac:dyDescent="0.25">
      <c r="B30" s="81"/>
      <c r="C30" s="81" t="s">
        <v>458</v>
      </c>
      <c r="D30" s="81" t="s">
        <v>412</v>
      </c>
      <c r="E30" s="81" t="s">
        <v>129</v>
      </c>
      <c r="F30" s="81"/>
      <c r="G30" s="81" t="s">
        <v>133</v>
      </c>
      <c r="H30" s="81" t="s">
        <v>39</v>
      </c>
      <c r="I30" s="81" t="s">
        <v>23</v>
      </c>
      <c r="J30" s="81" t="s">
        <v>463</v>
      </c>
      <c r="K30" s="82"/>
    </row>
    <row r="31" spans="1:11" s="71" customFormat="1" ht="38.25" x14ac:dyDescent="0.25">
      <c r="B31" s="81"/>
      <c r="C31" s="81" t="s">
        <v>458</v>
      </c>
      <c r="D31" s="81" t="s">
        <v>147</v>
      </c>
      <c r="E31" s="81" t="s">
        <v>140</v>
      </c>
      <c r="F31" s="81"/>
      <c r="G31" s="152" t="s">
        <v>464</v>
      </c>
      <c r="H31" s="152" t="s">
        <v>465</v>
      </c>
      <c r="I31" s="152" t="s">
        <v>466</v>
      </c>
      <c r="J31" s="152" t="s">
        <v>467</v>
      </c>
      <c r="K31" s="82"/>
    </row>
    <row r="32" spans="1:11" s="71" customFormat="1" ht="38.25" x14ac:dyDescent="0.25">
      <c r="B32" s="81"/>
      <c r="C32" s="81" t="s">
        <v>458</v>
      </c>
      <c r="D32" s="81" t="s">
        <v>147</v>
      </c>
      <c r="E32" s="81" t="s">
        <v>140</v>
      </c>
      <c r="F32" s="81"/>
      <c r="G32" s="152" t="s">
        <v>464</v>
      </c>
      <c r="H32" s="152" t="s">
        <v>465</v>
      </c>
      <c r="I32" s="152" t="s">
        <v>468</v>
      </c>
      <c r="J32" s="152" t="s">
        <v>149</v>
      </c>
    </row>
    <row r="33" spans="2:11" s="71" customFormat="1" ht="102" x14ac:dyDescent="0.25">
      <c r="B33" s="81"/>
      <c r="C33" s="81" t="s">
        <v>458</v>
      </c>
      <c r="D33" s="81" t="s">
        <v>147</v>
      </c>
      <c r="E33" s="81" t="s">
        <v>140</v>
      </c>
      <c r="F33" s="81"/>
      <c r="G33" s="152" t="s">
        <v>464</v>
      </c>
      <c r="H33" s="81" t="s">
        <v>95</v>
      </c>
      <c r="I33" s="81" t="s">
        <v>20</v>
      </c>
      <c r="J33" s="152" t="s">
        <v>469</v>
      </c>
      <c r="K33" s="82"/>
    </row>
    <row r="34" spans="2:11" s="71" customFormat="1" ht="127.5" x14ac:dyDescent="0.25">
      <c r="B34" s="81"/>
      <c r="C34" s="81" t="s">
        <v>458</v>
      </c>
      <c r="D34" s="81" t="s">
        <v>147</v>
      </c>
      <c r="E34" s="81" t="s">
        <v>140</v>
      </c>
      <c r="F34" s="81"/>
      <c r="G34" s="152" t="s">
        <v>464</v>
      </c>
      <c r="H34" s="81" t="s">
        <v>95</v>
      </c>
      <c r="I34" s="81" t="s">
        <v>470</v>
      </c>
      <c r="J34" s="152" t="s">
        <v>471</v>
      </c>
      <c r="K34" s="82"/>
    </row>
    <row r="35" spans="2:11" s="71" customFormat="1" ht="38.25" x14ac:dyDescent="0.25">
      <c r="B35" s="81"/>
      <c r="C35" s="81" t="s">
        <v>458</v>
      </c>
      <c r="D35" s="81" t="s">
        <v>472</v>
      </c>
      <c r="E35" s="81" t="s">
        <v>140</v>
      </c>
      <c r="F35" s="81"/>
      <c r="G35" s="152" t="s">
        <v>473</v>
      </c>
      <c r="H35" s="81" t="s">
        <v>33</v>
      </c>
      <c r="I35" s="81" t="s">
        <v>470</v>
      </c>
      <c r="J35" s="81" t="s">
        <v>474</v>
      </c>
      <c r="K35" s="82"/>
    </row>
    <row r="36" spans="2:11" s="71" customFormat="1" ht="38.25" x14ac:dyDescent="0.25">
      <c r="B36" s="81"/>
      <c r="C36" s="81" t="s">
        <v>458</v>
      </c>
      <c r="D36" s="81" t="s">
        <v>475</v>
      </c>
      <c r="E36" s="81" t="s">
        <v>140</v>
      </c>
      <c r="F36" s="81"/>
      <c r="G36" s="152" t="s">
        <v>473</v>
      </c>
      <c r="H36" s="81" t="s">
        <v>33</v>
      </c>
      <c r="I36" s="81" t="s">
        <v>476</v>
      </c>
      <c r="J36" s="81" t="s">
        <v>477</v>
      </c>
      <c r="K36" s="82"/>
    </row>
    <row r="37" spans="2:11" s="71" customFormat="1" ht="38.25" x14ac:dyDescent="0.25">
      <c r="B37" s="81"/>
      <c r="C37" s="81" t="s">
        <v>458</v>
      </c>
      <c r="D37" s="81" t="s">
        <v>478</v>
      </c>
      <c r="E37" s="81" t="s">
        <v>140</v>
      </c>
      <c r="F37" s="81"/>
      <c r="G37" s="152" t="s">
        <v>473</v>
      </c>
      <c r="H37" s="81" t="s">
        <v>19</v>
      </c>
      <c r="I37" s="81" t="s">
        <v>470</v>
      </c>
      <c r="J37" s="81" t="s">
        <v>479</v>
      </c>
      <c r="K37" s="82"/>
    </row>
    <row r="38" spans="2:11" s="71" customFormat="1" ht="38.25" x14ac:dyDescent="0.25">
      <c r="B38" s="81"/>
      <c r="C38" s="81" t="s">
        <v>458</v>
      </c>
      <c r="D38" s="81" t="s">
        <v>480</v>
      </c>
      <c r="E38" s="81" t="s">
        <v>140</v>
      </c>
      <c r="G38" s="152" t="s">
        <v>473</v>
      </c>
      <c r="H38" s="81" t="s">
        <v>19</v>
      </c>
      <c r="I38" s="81" t="s">
        <v>476</v>
      </c>
      <c r="J38" s="81" t="s">
        <v>481</v>
      </c>
      <c r="K38" s="82"/>
    </row>
    <row r="39" spans="2:11" s="71" customFormat="1" ht="89.25" x14ac:dyDescent="0.25">
      <c r="B39" s="81"/>
      <c r="C39" s="81" t="s">
        <v>458</v>
      </c>
      <c r="D39" s="81" t="s">
        <v>482</v>
      </c>
      <c r="E39" s="81" t="s">
        <v>153</v>
      </c>
      <c r="F39" s="81"/>
      <c r="G39" s="152" t="s">
        <v>160</v>
      </c>
      <c r="H39" s="81" t="s">
        <v>95</v>
      </c>
      <c r="I39" s="81" t="s">
        <v>459</v>
      </c>
      <c r="J39" s="152" t="s">
        <v>483</v>
      </c>
      <c r="K39" s="82"/>
    </row>
    <row r="40" spans="2:11" s="71" customFormat="1" ht="51" x14ac:dyDescent="0.25">
      <c r="B40" s="81"/>
      <c r="C40" s="81" t="s">
        <v>458</v>
      </c>
      <c r="D40" s="81" t="s">
        <v>482</v>
      </c>
      <c r="E40" s="81" t="s">
        <v>153</v>
      </c>
      <c r="F40" s="81"/>
      <c r="G40" s="152" t="s">
        <v>160</v>
      </c>
      <c r="H40" s="81" t="s">
        <v>95</v>
      </c>
      <c r="I40" s="81" t="s">
        <v>484</v>
      </c>
      <c r="J40" s="152" t="s">
        <v>163</v>
      </c>
      <c r="K40" s="82"/>
    </row>
    <row r="41" spans="2:11" s="71" customFormat="1" ht="51" x14ac:dyDescent="0.25">
      <c r="B41" s="81"/>
      <c r="C41" s="81" t="s">
        <v>458</v>
      </c>
      <c r="D41" s="81" t="s">
        <v>482</v>
      </c>
      <c r="E41" s="81" t="s">
        <v>153</v>
      </c>
      <c r="F41" s="81"/>
      <c r="G41" s="152" t="s">
        <v>160</v>
      </c>
      <c r="H41" s="81" t="s">
        <v>61</v>
      </c>
      <c r="I41" s="81" t="s">
        <v>137</v>
      </c>
      <c r="J41" s="81" t="s">
        <v>427</v>
      </c>
      <c r="K41" s="82"/>
    </row>
    <row r="42" spans="2:11" s="71" customFormat="1" ht="51" x14ac:dyDescent="0.25">
      <c r="B42" s="81"/>
      <c r="C42" s="81" t="s">
        <v>458</v>
      </c>
      <c r="D42" s="81" t="s">
        <v>482</v>
      </c>
      <c r="E42" s="81" t="s">
        <v>157</v>
      </c>
      <c r="F42" s="81"/>
      <c r="G42" s="152" t="s">
        <v>160</v>
      </c>
      <c r="H42" s="81" t="s">
        <v>61</v>
      </c>
      <c r="I42" s="81" t="s">
        <v>485</v>
      </c>
      <c r="J42" s="152" t="s">
        <v>164</v>
      </c>
      <c r="K42" s="82"/>
    </row>
    <row r="43" spans="2:11" s="71" customFormat="1" ht="191.25" x14ac:dyDescent="0.25">
      <c r="B43" s="81"/>
      <c r="C43" s="81" t="s">
        <v>458</v>
      </c>
      <c r="D43" s="81" t="s">
        <v>412</v>
      </c>
      <c r="E43" s="81" t="s">
        <v>165</v>
      </c>
      <c r="F43" s="81"/>
      <c r="G43" s="81" t="s">
        <v>486</v>
      </c>
      <c r="H43" s="81" t="s">
        <v>22</v>
      </c>
      <c r="I43" s="81" t="s">
        <v>20</v>
      </c>
      <c r="J43" s="152" t="s">
        <v>487</v>
      </c>
      <c r="K43" s="82"/>
    </row>
    <row r="44" spans="2:11" s="71" customFormat="1" ht="38.25" x14ac:dyDescent="0.25">
      <c r="B44" s="81"/>
      <c r="C44" s="81" t="s">
        <v>458</v>
      </c>
      <c r="D44" s="81" t="s">
        <v>412</v>
      </c>
      <c r="E44" s="81" t="s">
        <v>165</v>
      </c>
      <c r="F44" s="81"/>
      <c r="G44" s="81" t="s">
        <v>488</v>
      </c>
      <c r="H44" s="152" t="s">
        <v>19</v>
      </c>
      <c r="I44" s="81" t="s">
        <v>20</v>
      </c>
      <c r="J44" s="152" t="s">
        <v>489</v>
      </c>
      <c r="K44" s="82"/>
    </row>
    <row r="45" spans="2:11" s="71" customFormat="1" ht="76.5" x14ac:dyDescent="0.25">
      <c r="B45" s="81"/>
      <c r="C45" s="81" t="s">
        <v>458</v>
      </c>
      <c r="D45" s="81" t="s">
        <v>412</v>
      </c>
      <c r="E45" s="81" t="s">
        <v>165</v>
      </c>
      <c r="F45" s="81"/>
      <c r="G45" s="81" t="s">
        <v>488</v>
      </c>
      <c r="H45" s="81" t="s">
        <v>95</v>
      </c>
      <c r="I45" s="81" t="s">
        <v>470</v>
      </c>
      <c r="J45" s="81" t="s">
        <v>490</v>
      </c>
      <c r="K45" s="82"/>
    </row>
    <row r="46" spans="2:11" s="71" customFormat="1" ht="25.5" x14ac:dyDescent="0.25">
      <c r="B46" s="81"/>
      <c r="C46" s="81" t="s">
        <v>458</v>
      </c>
      <c r="D46" s="81" t="s">
        <v>412</v>
      </c>
      <c r="E46" s="81" t="s">
        <v>165</v>
      </c>
      <c r="F46" s="155"/>
      <c r="G46" s="81" t="s">
        <v>488</v>
      </c>
      <c r="H46" s="81" t="s">
        <v>95</v>
      </c>
      <c r="I46" s="81" t="s">
        <v>491</v>
      </c>
      <c r="J46" s="81" t="s">
        <v>427</v>
      </c>
      <c r="K46" s="82"/>
    </row>
    <row r="47" spans="2:11" s="2" customFormat="1" ht="25.5" x14ac:dyDescent="0.25">
      <c r="B47" s="66"/>
      <c r="C47" s="66" t="s">
        <v>492</v>
      </c>
      <c r="D47" s="66" t="s">
        <v>493</v>
      </c>
      <c r="E47" s="66" t="s">
        <v>174</v>
      </c>
      <c r="F47" s="66" t="s">
        <v>494</v>
      </c>
      <c r="G47" s="66" t="s">
        <v>495</v>
      </c>
      <c r="H47" s="66" t="s">
        <v>39</v>
      </c>
      <c r="I47" s="66" t="s">
        <v>23</v>
      </c>
      <c r="J47" s="66" t="s">
        <v>433</v>
      </c>
      <c r="K47" s="154"/>
    </row>
    <row r="48" spans="2:11" s="2" customFormat="1" ht="38.25" x14ac:dyDescent="0.25">
      <c r="B48" s="66"/>
      <c r="C48" s="66" t="s">
        <v>492</v>
      </c>
      <c r="D48" s="66" t="s">
        <v>493</v>
      </c>
      <c r="E48" s="66" t="s">
        <v>174</v>
      </c>
      <c r="F48" s="66" t="s">
        <v>494</v>
      </c>
      <c r="G48" s="66" t="s">
        <v>495</v>
      </c>
      <c r="H48" s="66" t="s">
        <v>61</v>
      </c>
      <c r="I48" s="66" t="s">
        <v>20</v>
      </c>
      <c r="J48" s="66" t="s">
        <v>496</v>
      </c>
      <c r="K48" s="154"/>
    </row>
    <row r="49" spans="2:11" s="2" customFormat="1" ht="229.5" x14ac:dyDescent="0.25">
      <c r="B49" s="66"/>
      <c r="C49" s="66" t="s">
        <v>492</v>
      </c>
      <c r="D49" s="66" t="s">
        <v>493</v>
      </c>
      <c r="E49" s="66" t="s">
        <v>174</v>
      </c>
      <c r="F49" s="66" t="s">
        <v>494</v>
      </c>
      <c r="G49" s="66" t="s">
        <v>495</v>
      </c>
      <c r="H49" s="66" t="s">
        <v>61</v>
      </c>
      <c r="I49" s="66" t="s">
        <v>470</v>
      </c>
      <c r="J49" s="66" t="s">
        <v>497</v>
      </c>
      <c r="K49" s="154"/>
    </row>
    <row r="50" spans="2:11" s="2" customFormat="1" ht="15.75" x14ac:dyDescent="0.25">
      <c r="B50" s="66"/>
      <c r="C50" s="66"/>
      <c r="D50" s="66" t="s">
        <v>493</v>
      </c>
      <c r="E50" s="66" t="s">
        <v>183</v>
      </c>
      <c r="F50" s="66" t="s">
        <v>494</v>
      </c>
      <c r="G50" s="66" t="s">
        <v>186</v>
      </c>
      <c r="H50" s="66" t="s">
        <v>39</v>
      </c>
      <c r="I50" s="66" t="s">
        <v>23</v>
      </c>
      <c r="J50" s="66" t="s">
        <v>498</v>
      </c>
      <c r="K50" s="154"/>
    </row>
    <row r="51" spans="2:11" s="2" customFormat="1" ht="127.5" x14ac:dyDescent="0.25">
      <c r="B51" s="66"/>
      <c r="C51" s="66" t="s">
        <v>492</v>
      </c>
      <c r="D51" s="66" t="s">
        <v>493</v>
      </c>
      <c r="E51" s="66" t="s">
        <v>183</v>
      </c>
      <c r="F51" s="66" t="s">
        <v>494</v>
      </c>
      <c r="G51" s="66" t="s">
        <v>186</v>
      </c>
      <c r="H51" s="66" t="s">
        <v>61</v>
      </c>
      <c r="I51" s="66" t="s">
        <v>23</v>
      </c>
      <c r="J51" s="66" t="s">
        <v>499</v>
      </c>
      <c r="K51" s="154"/>
    </row>
    <row r="52" spans="2:11" s="2" customFormat="1" ht="102" x14ac:dyDescent="0.25">
      <c r="B52" s="66"/>
      <c r="C52" s="66"/>
      <c r="D52" s="66" t="s">
        <v>493</v>
      </c>
      <c r="E52" s="66" t="s">
        <v>183</v>
      </c>
      <c r="F52" s="66" t="s">
        <v>494</v>
      </c>
      <c r="G52" s="66" t="s">
        <v>186</v>
      </c>
      <c r="H52" s="66" t="s">
        <v>61</v>
      </c>
      <c r="I52" s="66" t="s">
        <v>470</v>
      </c>
      <c r="J52" s="66" t="s">
        <v>500</v>
      </c>
      <c r="K52" s="154"/>
    </row>
    <row r="53" spans="2:11" s="2" customFormat="1" ht="25.5" x14ac:dyDescent="0.25">
      <c r="B53" s="66"/>
      <c r="C53" s="66" t="s">
        <v>492</v>
      </c>
      <c r="D53" s="66" t="s">
        <v>493</v>
      </c>
      <c r="E53" s="66" t="s">
        <v>188</v>
      </c>
      <c r="F53" s="66" t="s">
        <v>494</v>
      </c>
      <c r="G53" s="66" t="s">
        <v>501</v>
      </c>
      <c r="H53" s="66" t="s">
        <v>95</v>
      </c>
      <c r="I53" s="66" t="s">
        <v>23</v>
      </c>
      <c r="J53" s="66" t="s">
        <v>427</v>
      </c>
      <c r="K53" s="154"/>
    </row>
    <row r="54" spans="2:11" s="2" customFormat="1" ht="89.25" x14ac:dyDescent="0.25">
      <c r="B54" s="66"/>
      <c r="C54" s="66" t="s">
        <v>492</v>
      </c>
      <c r="D54" s="66" t="s">
        <v>493</v>
      </c>
      <c r="E54" s="66" t="s">
        <v>188</v>
      </c>
      <c r="F54" s="66" t="s">
        <v>494</v>
      </c>
      <c r="G54" s="66" t="s">
        <v>501</v>
      </c>
      <c r="H54" s="66" t="s">
        <v>61</v>
      </c>
      <c r="I54" s="66" t="s">
        <v>23</v>
      </c>
      <c r="J54" s="66" t="s">
        <v>502</v>
      </c>
      <c r="K54" s="154"/>
    </row>
    <row r="55" spans="2:11" s="2" customFormat="1" ht="38.25" x14ac:dyDescent="0.25">
      <c r="B55" s="66"/>
      <c r="C55" s="66" t="s">
        <v>492</v>
      </c>
      <c r="D55" s="66" t="s">
        <v>493</v>
      </c>
      <c r="E55" s="66" t="s">
        <v>188</v>
      </c>
      <c r="F55" s="66" t="s">
        <v>494</v>
      </c>
      <c r="G55" s="66" t="s">
        <v>501</v>
      </c>
      <c r="H55" s="66" t="s">
        <v>61</v>
      </c>
      <c r="I55" s="66" t="s">
        <v>470</v>
      </c>
      <c r="J55" s="66" t="s">
        <v>503</v>
      </c>
      <c r="K55" s="154"/>
    </row>
    <row r="56" spans="2:11" s="2" customFormat="1" ht="51" x14ac:dyDescent="0.25">
      <c r="B56" s="66"/>
      <c r="C56" s="66" t="s">
        <v>492</v>
      </c>
      <c r="D56" s="66" t="s">
        <v>504</v>
      </c>
      <c r="E56" s="66" t="s">
        <v>192</v>
      </c>
      <c r="F56" s="66" t="s">
        <v>494</v>
      </c>
      <c r="G56" s="66" t="s">
        <v>505</v>
      </c>
      <c r="H56" s="66" t="s">
        <v>39</v>
      </c>
      <c r="I56" s="66" t="s">
        <v>23</v>
      </c>
      <c r="J56" s="66" t="s">
        <v>506</v>
      </c>
      <c r="K56" s="154"/>
    </row>
    <row r="57" spans="2:11" s="2" customFormat="1" ht="89.25" x14ac:dyDescent="0.25">
      <c r="B57" s="66"/>
      <c r="C57" s="66" t="s">
        <v>492</v>
      </c>
      <c r="D57" s="66" t="s">
        <v>504</v>
      </c>
      <c r="E57" s="66" t="s">
        <v>192</v>
      </c>
      <c r="F57" s="66" t="s">
        <v>494</v>
      </c>
      <c r="G57" s="66" t="s">
        <v>505</v>
      </c>
      <c r="H57" s="66" t="s">
        <v>61</v>
      </c>
      <c r="I57" s="66" t="s">
        <v>23</v>
      </c>
      <c r="J57" s="66" t="s">
        <v>507</v>
      </c>
      <c r="K57" s="154"/>
    </row>
    <row r="58" spans="2:11" s="2" customFormat="1" ht="51" x14ac:dyDescent="0.25">
      <c r="B58" s="66"/>
      <c r="C58" s="66" t="s">
        <v>492</v>
      </c>
      <c r="D58" s="66" t="s">
        <v>504</v>
      </c>
      <c r="E58" s="66" t="s">
        <v>192</v>
      </c>
      <c r="F58" s="66" t="s">
        <v>494</v>
      </c>
      <c r="G58" s="66" t="s">
        <v>505</v>
      </c>
      <c r="H58" s="66" t="s">
        <v>61</v>
      </c>
      <c r="I58" s="66" t="s">
        <v>470</v>
      </c>
      <c r="J58" s="66" t="s">
        <v>508</v>
      </c>
      <c r="K58" s="154"/>
    </row>
    <row r="59" spans="2:11" s="2" customFormat="1" ht="51" x14ac:dyDescent="0.25">
      <c r="B59" s="66"/>
      <c r="C59" s="66" t="s">
        <v>492</v>
      </c>
      <c r="D59" s="66" t="s">
        <v>504</v>
      </c>
      <c r="E59" s="66" t="s">
        <v>195</v>
      </c>
      <c r="F59" s="66" t="s">
        <v>494</v>
      </c>
      <c r="G59" s="66" t="s">
        <v>196</v>
      </c>
      <c r="H59" s="66" t="s">
        <v>39</v>
      </c>
      <c r="I59" s="66" t="s">
        <v>23</v>
      </c>
      <c r="J59" s="66" t="s">
        <v>498</v>
      </c>
      <c r="K59" s="154"/>
    </row>
    <row r="60" spans="2:11" s="2" customFormat="1" ht="51" x14ac:dyDescent="0.25">
      <c r="B60" s="66"/>
      <c r="C60" s="66" t="s">
        <v>492</v>
      </c>
      <c r="D60" s="66" t="s">
        <v>504</v>
      </c>
      <c r="E60" s="66" t="s">
        <v>195</v>
      </c>
      <c r="F60" s="66" t="s">
        <v>494</v>
      </c>
      <c r="G60" s="66" t="s">
        <v>196</v>
      </c>
      <c r="H60" s="66" t="s">
        <v>61</v>
      </c>
      <c r="I60" s="66" t="s">
        <v>23</v>
      </c>
      <c r="J60" s="66" t="s">
        <v>509</v>
      </c>
      <c r="K60" s="154"/>
    </row>
    <row r="61" spans="2:11" s="2" customFormat="1" ht="76.5" x14ac:dyDescent="0.25">
      <c r="B61" s="66"/>
      <c r="C61" s="66" t="s">
        <v>492</v>
      </c>
      <c r="D61" s="66" t="s">
        <v>504</v>
      </c>
      <c r="E61" s="66" t="s">
        <v>195</v>
      </c>
      <c r="F61" s="66" t="s">
        <v>494</v>
      </c>
      <c r="G61" s="66" t="s">
        <v>196</v>
      </c>
      <c r="H61" s="66" t="s">
        <v>61</v>
      </c>
      <c r="I61" s="66" t="s">
        <v>470</v>
      </c>
      <c r="J61" s="66" t="s">
        <v>510</v>
      </c>
      <c r="K61" s="154"/>
    </row>
    <row r="62" spans="2:11" s="71" customFormat="1" ht="38.25" x14ac:dyDescent="0.25">
      <c r="B62" s="69"/>
      <c r="C62" s="69" t="s">
        <v>511</v>
      </c>
      <c r="D62" s="69"/>
      <c r="E62" s="69"/>
      <c r="F62" s="70" t="s">
        <v>512</v>
      </c>
      <c r="G62" s="163" t="s">
        <v>513</v>
      </c>
      <c r="H62" s="163"/>
      <c r="I62" s="163" t="s">
        <v>20</v>
      </c>
      <c r="J62" s="163" t="s">
        <v>514</v>
      </c>
      <c r="K62" s="163"/>
    </row>
    <row r="63" spans="2:11" s="71" customFormat="1" ht="51" x14ac:dyDescent="0.25">
      <c r="B63" s="69"/>
      <c r="C63" s="69" t="s">
        <v>511</v>
      </c>
      <c r="D63" s="69"/>
      <c r="E63" s="69"/>
      <c r="F63" s="70" t="s">
        <v>512</v>
      </c>
      <c r="G63" s="163" t="s">
        <v>515</v>
      </c>
      <c r="H63" s="163"/>
      <c r="I63" s="163" t="s">
        <v>20</v>
      </c>
      <c r="J63" s="163" t="s">
        <v>516</v>
      </c>
      <c r="K63" s="163" t="s">
        <v>517</v>
      </c>
    </row>
    <row r="64" spans="2:11" s="71" customFormat="1" ht="38.25" x14ac:dyDescent="0.25">
      <c r="B64" s="69"/>
      <c r="C64" s="69" t="s">
        <v>511</v>
      </c>
      <c r="D64" s="69"/>
      <c r="E64" s="69"/>
      <c r="F64" s="70" t="s">
        <v>512</v>
      </c>
      <c r="G64" s="163" t="s">
        <v>518</v>
      </c>
      <c r="H64" s="163"/>
      <c r="I64" s="163" t="s">
        <v>20</v>
      </c>
      <c r="J64" s="163" t="s">
        <v>516</v>
      </c>
      <c r="K64" s="163"/>
    </row>
    <row r="65" spans="2:11" s="71" customFormat="1" ht="51" x14ac:dyDescent="0.25">
      <c r="B65" s="69"/>
      <c r="C65" s="69" t="s">
        <v>511</v>
      </c>
      <c r="D65" s="69"/>
      <c r="E65" s="69"/>
      <c r="F65" s="70" t="s">
        <v>512</v>
      </c>
      <c r="G65" s="163" t="s">
        <v>515</v>
      </c>
      <c r="H65" s="163" t="s">
        <v>519</v>
      </c>
      <c r="I65" s="163" t="s">
        <v>20</v>
      </c>
      <c r="J65" s="163" t="s">
        <v>520</v>
      </c>
      <c r="K65" s="163" t="s">
        <v>521</v>
      </c>
    </row>
    <row r="66" spans="2:11" s="71" customFormat="1" ht="38.25" x14ac:dyDescent="0.25">
      <c r="B66" s="69"/>
      <c r="C66" s="69" t="s">
        <v>511</v>
      </c>
      <c r="D66" s="69"/>
      <c r="E66" s="69"/>
      <c r="F66" s="70" t="s">
        <v>512</v>
      </c>
      <c r="G66" s="186" t="s">
        <v>522</v>
      </c>
      <c r="H66" s="163" t="s">
        <v>519</v>
      </c>
      <c r="I66" s="163" t="s">
        <v>20</v>
      </c>
      <c r="J66" s="163" t="s">
        <v>523</v>
      </c>
      <c r="K66" s="163" t="s">
        <v>524</v>
      </c>
    </row>
    <row r="67" spans="2:11" s="71" customFormat="1" ht="89.25" x14ac:dyDescent="0.25">
      <c r="B67" s="69"/>
      <c r="C67" s="69" t="s">
        <v>511</v>
      </c>
      <c r="D67" s="69"/>
      <c r="E67" s="69"/>
      <c r="F67" s="70" t="s">
        <v>512</v>
      </c>
      <c r="G67" s="163" t="s">
        <v>525</v>
      </c>
      <c r="H67" s="163" t="s">
        <v>519</v>
      </c>
      <c r="I67" s="163" t="s">
        <v>20</v>
      </c>
      <c r="J67" s="163" t="s">
        <v>526</v>
      </c>
      <c r="K67" s="163"/>
    </row>
    <row r="68" spans="2:11" s="71" customFormat="1" ht="51" x14ac:dyDescent="0.25">
      <c r="B68" s="69"/>
      <c r="C68" s="69" t="s">
        <v>511</v>
      </c>
      <c r="D68" s="69"/>
      <c r="E68" s="69"/>
      <c r="F68" s="70" t="s">
        <v>512</v>
      </c>
      <c r="G68" s="163" t="s">
        <v>527</v>
      </c>
      <c r="H68" s="163" t="s">
        <v>519</v>
      </c>
      <c r="I68" s="163" t="s">
        <v>20</v>
      </c>
      <c r="J68" s="163" t="s">
        <v>520</v>
      </c>
      <c r="K68" s="163"/>
    </row>
    <row r="69" spans="2:11" s="71" customFormat="1" ht="51" x14ac:dyDescent="0.25">
      <c r="B69" s="69"/>
      <c r="C69" s="69" t="s">
        <v>511</v>
      </c>
      <c r="D69" s="69"/>
      <c r="E69" s="69"/>
      <c r="F69" s="70" t="s">
        <v>512</v>
      </c>
      <c r="G69" s="163" t="s">
        <v>528</v>
      </c>
      <c r="H69" s="163" t="s">
        <v>519</v>
      </c>
      <c r="I69" s="163" t="s">
        <v>20</v>
      </c>
      <c r="J69" s="163" t="s">
        <v>520</v>
      </c>
      <c r="K69" s="163" t="s">
        <v>529</v>
      </c>
    </row>
    <row r="70" spans="2:11" s="71" customFormat="1" ht="38.25" x14ac:dyDescent="0.25">
      <c r="B70" s="69"/>
      <c r="C70" s="69" t="s">
        <v>511</v>
      </c>
      <c r="D70" s="69"/>
      <c r="E70" s="69"/>
      <c r="F70" s="70" t="s">
        <v>512</v>
      </c>
      <c r="G70" s="163" t="s">
        <v>530</v>
      </c>
      <c r="H70" s="163" t="s">
        <v>519</v>
      </c>
      <c r="I70" s="163" t="s">
        <v>20</v>
      </c>
      <c r="J70" s="163" t="s">
        <v>520</v>
      </c>
      <c r="K70" s="163"/>
    </row>
    <row r="71" spans="2:11" s="71" customFormat="1" ht="38.25" x14ac:dyDescent="0.25">
      <c r="B71" s="69"/>
      <c r="C71" s="69" t="s">
        <v>511</v>
      </c>
      <c r="D71" s="69"/>
      <c r="E71" s="69"/>
      <c r="F71" s="70" t="s">
        <v>512</v>
      </c>
      <c r="G71" s="163" t="s">
        <v>531</v>
      </c>
      <c r="H71" s="163" t="s">
        <v>519</v>
      </c>
      <c r="I71" s="163" t="s">
        <v>20</v>
      </c>
      <c r="J71" s="163" t="s">
        <v>520</v>
      </c>
      <c r="K71" s="163"/>
    </row>
    <row r="72" spans="2:11" s="71" customFormat="1" ht="51" x14ac:dyDescent="0.25">
      <c r="B72" s="69"/>
      <c r="C72" s="69" t="s">
        <v>511</v>
      </c>
      <c r="D72" s="69"/>
      <c r="E72" s="69"/>
      <c r="F72" s="70" t="s">
        <v>512</v>
      </c>
      <c r="G72" s="163" t="s">
        <v>532</v>
      </c>
      <c r="H72" s="163" t="s">
        <v>519</v>
      </c>
      <c r="I72" s="163" t="s">
        <v>20</v>
      </c>
      <c r="J72" s="163" t="s">
        <v>520</v>
      </c>
      <c r="K72" s="163"/>
    </row>
    <row r="73" spans="2:11" s="71" customFormat="1" ht="25.5" x14ac:dyDescent="0.25">
      <c r="B73" s="69"/>
      <c r="C73" s="69" t="s">
        <v>511</v>
      </c>
      <c r="D73" s="69"/>
      <c r="E73" s="69"/>
      <c r="F73" s="70" t="s">
        <v>512</v>
      </c>
      <c r="G73" s="163" t="s">
        <v>533</v>
      </c>
      <c r="H73" s="163" t="s">
        <v>519</v>
      </c>
      <c r="I73" s="163" t="s">
        <v>20</v>
      </c>
      <c r="J73" s="163" t="s">
        <v>520</v>
      </c>
      <c r="K73" s="163"/>
    </row>
    <row r="74" spans="2:11" s="71" customFormat="1" ht="79.5" customHeight="1" x14ac:dyDescent="0.25">
      <c r="B74" s="69"/>
      <c r="C74" s="69" t="s">
        <v>511</v>
      </c>
      <c r="D74" s="69"/>
      <c r="E74" s="69"/>
      <c r="F74" s="70" t="s">
        <v>512</v>
      </c>
      <c r="G74" s="163" t="s">
        <v>534</v>
      </c>
      <c r="H74" s="163" t="s">
        <v>519</v>
      </c>
      <c r="I74" s="163" t="s">
        <v>20</v>
      </c>
      <c r="J74" s="163" t="s">
        <v>535</v>
      </c>
      <c r="K74" s="163"/>
    </row>
    <row r="75" spans="2:11" s="71" customFormat="1" ht="63.75" x14ac:dyDescent="0.25">
      <c r="B75" s="69"/>
      <c r="C75" s="69" t="s">
        <v>511</v>
      </c>
      <c r="D75" s="69"/>
      <c r="E75" s="69"/>
      <c r="F75" s="70" t="s">
        <v>512</v>
      </c>
      <c r="G75" s="163" t="s">
        <v>536</v>
      </c>
      <c r="H75" s="163" t="s">
        <v>519</v>
      </c>
      <c r="I75" s="163" t="s">
        <v>20</v>
      </c>
      <c r="J75" s="163" t="s">
        <v>537</v>
      </c>
      <c r="K75" s="163"/>
    </row>
    <row r="76" spans="2:11" s="71" customFormat="1" ht="89.25" x14ac:dyDescent="0.25">
      <c r="B76" s="69"/>
      <c r="C76" s="69" t="s">
        <v>511</v>
      </c>
      <c r="D76" s="69"/>
      <c r="E76" s="69"/>
      <c r="F76" s="70" t="s">
        <v>512</v>
      </c>
      <c r="G76" s="163" t="s">
        <v>538</v>
      </c>
      <c r="H76" s="163" t="s">
        <v>519</v>
      </c>
      <c r="I76" s="163" t="s">
        <v>20</v>
      </c>
      <c r="J76" s="163" t="s">
        <v>539</v>
      </c>
      <c r="K76" s="163"/>
    </row>
    <row r="77" spans="2:11" s="71" customFormat="1" ht="89.25" x14ac:dyDescent="0.25">
      <c r="B77" s="69"/>
      <c r="C77" s="69" t="s">
        <v>511</v>
      </c>
      <c r="D77" s="69"/>
      <c r="E77" s="69"/>
      <c r="F77" s="70" t="s">
        <v>512</v>
      </c>
      <c r="G77" s="163" t="s">
        <v>540</v>
      </c>
      <c r="H77" s="163" t="s">
        <v>519</v>
      </c>
      <c r="I77" s="163" t="s">
        <v>20</v>
      </c>
      <c r="J77" s="163" t="s">
        <v>541</v>
      </c>
      <c r="K77" s="163" t="s">
        <v>542</v>
      </c>
    </row>
    <row r="78" spans="2:11" s="71" customFormat="1" ht="38.25" x14ac:dyDescent="0.25">
      <c r="B78" s="69"/>
      <c r="C78" s="69" t="s">
        <v>543</v>
      </c>
      <c r="D78" s="69" t="s">
        <v>23</v>
      </c>
      <c r="E78" s="69" t="s">
        <v>544</v>
      </c>
      <c r="F78" s="69" t="s">
        <v>23</v>
      </c>
      <c r="G78" s="163" t="s">
        <v>545</v>
      </c>
      <c r="H78" s="163" t="s">
        <v>33</v>
      </c>
      <c r="I78" s="163" t="s">
        <v>20</v>
      </c>
      <c r="J78" s="163" t="s">
        <v>427</v>
      </c>
      <c r="K78" s="163"/>
    </row>
    <row r="79" spans="2:11" s="71" customFormat="1" ht="140.25" x14ac:dyDescent="0.25">
      <c r="B79" s="69"/>
      <c r="C79" s="69" t="s">
        <v>543</v>
      </c>
      <c r="D79" s="69" t="s">
        <v>23</v>
      </c>
      <c r="E79" s="69" t="s">
        <v>544</v>
      </c>
      <c r="F79" s="69" t="s">
        <v>23</v>
      </c>
      <c r="G79" s="163" t="s">
        <v>545</v>
      </c>
      <c r="H79" s="163" t="s">
        <v>39</v>
      </c>
      <c r="I79" s="163" t="s">
        <v>20</v>
      </c>
      <c r="J79" s="163" t="s">
        <v>546</v>
      </c>
      <c r="K79" s="163"/>
    </row>
    <row r="80" spans="2:11" s="71" customFormat="1" ht="38.25" x14ac:dyDescent="0.25">
      <c r="B80" s="69"/>
      <c r="C80" s="69" t="s">
        <v>543</v>
      </c>
      <c r="D80" s="69" t="s">
        <v>23</v>
      </c>
      <c r="E80" s="69" t="s">
        <v>199</v>
      </c>
      <c r="F80" s="69" t="s">
        <v>23</v>
      </c>
      <c r="G80" s="163" t="s">
        <v>547</v>
      </c>
      <c r="H80" s="163" t="s">
        <v>33</v>
      </c>
      <c r="I80" s="163" t="s">
        <v>20</v>
      </c>
      <c r="J80" s="163" t="s">
        <v>427</v>
      </c>
      <c r="K80" s="163"/>
    </row>
    <row r="81" spans="1:11" s="71" customFormat="1" ht="114.75" x14ac:dyDescent="0.25">
      <c r="B81" s="69"/>
      <c r="C81" s="69" t="s">
        <v>543</v>
      </c>
      <c r="D81" s="69" t="s">
        <v>23</v>
      </c>
      <c r="E81" s="69" t="s">
        <v>199</v>
      </c>
      <c r="F81" s="69" t="s">
        <v>23</v>
      </c>
      <c r="G81" s="163" t="s">
        <v>547</v>
      </c>
      <c r="H81" s="163" t="s">
        <v>39</v>
      </c>
      <c r="I81" s="163" t="s">
        <v>20</v>
      </c>
      <c r="J81" s="163" t="s">
        <v>548</v>
      </c>
      <c r="K81" s="163"/>
    </row>
    <row r="82" spans="1:11" s="71" customFormat="1" ht="51" x14ac:dyDescent="0.25">
      <c r="B82" s="69"/>
      <c r="C82" s="69" t="s">
        <v>543</v>
      </c>
      <c r="D82" s="69"/>
      <c r="E82" s="69" t="s">
        <v>207</v>
      </c>
      <c r="F82" s="69" t="s">
        <v>23</v>
      </c>
      <c r="G82" s="163" t="s">
        <v>549</v>
      </c>
      <c r="H82" s="163" t="s">
        <v>33</v>
      </c>
      <c r="I82" s="163" t="s">
        <v>20</v>
      </c>
      <c r="J82" s="163" t="s">
        <v>427</v>
      </c>
      <c r="K82" s="163"/>
    </row>
    <row r="83" spans="1:11" s="71" customFormat="1" ht="114.75" x14ac:dyDescent="0.25">
      <c r="B83" s="69"/>
      <c r="C83" s="69" t="s">
        <v>543</v>
      </c>
      <c r="D83" s="69"/>
      <c r="E83" s="69" t="s">
        <v>207</v>
      </c>
      <c r="F83" s="69" t="s">
        <v>23</v>
      </c>
      <c r="G83" s="163" t="s">
        <v>549</v>
      </c>
      <c r="H83" s="163" t="s">
        <v>19</v>
      </c>
      <c r="I83" s="163" t="s">
        <v>23</v>
      </c>
      <c r="J83" s="164" t="s">
        <v>550</v>
      </c>
      <c r="K83" s="163"/>
    </row>
    <row r="84" spans="1:11" s="71" customFormat="1" ht="38.25" x14ac:dyDescent="0.25">
      <c r="B84" s="69"/>
      <c r="C84" s="69" t="s">
        <v>543</v>
      </c>
      <c r="D84" s="69"/>
      <c r="E84" s="69"/>
      <c r="F84" s="69" t="s">
        <v>23</v>
      </c>
      <c r="G84" s="163" t="s">
        <v>551</v>
      </c>
      <c r="H84" s="163" t="s">
        <v>552</v>
      </c>
      <c r="I84" s="163" t="s">
        <v>23</v>
      </c>
      <c r="J84" s="164" t="s">
        <v>523</v>
      </c>
      <c r="K84" s="163"/>
    </row>
    <row r="85" spans="1:11" s="71" customFormat="1" ht="15.75" x14ac:dyDescent="0.25">
      <c r="A85" s="2"/>
      <c r="B85" s="108" t="s">
        <v>553</v>
      </c>
      <c r="C85" s="109"/>
      <c r="D85" s="110"/>
      <c r="E85" s="110"/>
      <c r="F85" s="110"/>
      <c r="G85" s="110"/>
      <c r="H85" s="110"/>
      <c r="I85" s="110"/>
      <c r="J85" s="110"/>
      <c r="K85" s="144"/>
    </row>
    <row r="86" spans="1:11" s="3" customFormat="1" ht="48" customHeight="1" x14ac:dyDescent="0.25">
      <c r="A86" s="440">
        <v>1</v>
      </c>
      <c r="C86" s="97" t="s">
        <v>554</v>
      </c>
      <c r="D86" s="93" t="s">
        <v>23</v>
      </c>
      <c r="E86" s="138" t="s">
        <v>17</v>
      </c>
      <c r="F86" s="68" t="s">
        <v>23</v>
      </c>
      <c r="G86" s="69" t="s">
        <v>27</v>
      </c>
      <c r="H86" s="66" t="s">
        <v>19</v>
      </c>
      <c r="I86" s="314" t="s">
        <v>20</v>
      </c>
      <c r="J86" s="140" t="s">
        <v>433</v>
      </c>
      <c r="K86" s="121"/>
    </row>
    <row r="87" spans="1:11" s="3" customFormat="1" ht="63.75" customHeight="1" x14ac:dyDescent="0.25">
      <c r="A87" s="441"/>
      <c r="C87" s="248" t="s">
        <v>554</v>
      </c>
      <c r="D87" s="298" t="s">
        <v>23</v>
      </c>
      <c r="E87" s="139" t="s">
        <v>17</v>
      </c>
      <c r="F87" s="68" t="s">
        <v>23</v>
      </c>
      <c r="G87" s="69" t="s">
        <v>27</v>
      </c>
      <c r="H87" s="69" t="s">
        <v>22</v>
      </c>
      <c r="I87" s="137" t="s">
        <v>23</v>
      </c>
      <c r="J87" s="141" t="s">
        <v>555</v>
      </c>
      <c r="K87" s="121"/>
    </row>
    <row r="88" spans="1:11" s="123" customFormat="1" ht="30" x14ac:dyDescent="0.25">
      <c r="A88" s="99"/>
      <c r="B88" s="100" t="s">
        <v>423</v>
      </c>
      <c r="C88" s="100" t="s">
        <v>556</v>
      </c>
      <c r="D88" s="101" t="s">
        <v>557</v>
      </c>
      <c r="E88" s="132" t="s">
        <v>558</v>
      </c>
      <c r="F88" s="142" t="s">
        <v>494</v>
      </c>
      <c r="G88" s="143"/>
      <c r="H88" s="142" t="s">
        <v>33</v>
      </c>
      <c r="I88" s="142" t="s">
        <v>559</v>
      </c>
      <c r="J88" s="153">
        <v>0.3</v>
      </c>
      <c r="K88" s="145"/>
    </row>
    <row r="89" spans="1:11" s="123" customFormat="1" ht="51" x14ac:dyDescent="0.25">
      <c r="A89" s="99"/>
      <c r="B89" s="100" t="s">
        <v>423</v>
      </c>
      <c r="C89" s="100" t="s">
        <v>556</v>
      </c>
      <c r="D89" s="125"/>
      <c r="E89" s="125" t="s">
        <v>558</v>
      </c>
      <c r="F89" s="102"/>
      <c r="G89" s="127" t="s">
        <v>560</v>
      </c>
      <c r="H89" s="88" t="s">
        <v>561</v>
      </c>
      <c r="I89" s="88"/>
      <c r="J89" s="88" t="s">
        <v>562</v>
      </c>
      <c r="K89" s="69" t="s">
        <v>563</v>
      </c>
    </row>
    <row r="90" spans="1:11" s="123" customFormat="1" ht="76.5" x14ac:dyDescent="0.25">
      <c r="A90" s="99"/>
      <c r="B90" s="100" t="s">
        <v>423</v>
      </c>
      <c r="C90" s="100" t="s">
        <v>556</v>
      </c>
      <c r="D90" s="125"/>
      <c r="E90" s="125" t="s">
        <v>558</v>
      </c>
      <c r="F90" s="102"/>
      <c r="G90" s="127" t="s">
        <v>564</v>
      </c>
      <c r="H90" s="88" t="s">
        <v>561</v>
      </c>
      <c r="I90" s="88"/>
      <c r="J90" s="88" t="s">
        <v>565</v>
      </c>
      <c r="K90" s="69" t="s">
        <v>563</v>
      </c>
    </row>
    <row r="91" spans="1:11" s="123" customFormat="1" ht="89.25" x14ac:dyDescent="0.25">
      <c r="A91" s="99"/>
      <c r="B91" s="100" t="s">
        <v>423</v>
      </c>
      <c r="C91" s="100" t="s">
        <v>556</v>
      </c>
      <c r="D91" s="125"/>
      <c r="E91" s="125" t="s">
        <v>558</v>
      </c>
      <c r="F91" s="102"/>
      <c r="G91" s="128" t="s">
        <v>235</v>
      </c>
      <c r="H91" s="66" t="s">
        <v>561</v>
      </c>
      <c r="I91" s="66"/>
      <c r="J91" s="66" t="s">
        <v>236</v>
      </c>
      <c r="K91" s="146"/>
    </row>
    <row r="92" spans="1:11" s="123" customFormat="1" ht="89.25" x14ac:dyDescent="0.25">
      <c r="A92" s="99"/>
      <c r="B92" s="100" t="s">
        <v>423</v>
      </c>
      <c r="C92" s="100" t="s">
        <v>556</v>
      </c>
      <c r="D92" s="125"/>
      <c r="E92" s="132" t="s">
        <v>558</v>
      </c>
      <c r="F92" s="135"/>
      <c r="G92" s="128" t="s">
        <v>566</v>
      </c>
      <c r="H92" s="66" t="s">
        <v>561</v>
      </c>
      <c r="I92" s="66"/>
      <c r="J92" s="66" t="s">
        <v>567</v>
      </c>
      <c r="K92" s="146"/>
    </row>
    <row r="93" spans="1:11" s="123" customFormat="1" ht="167.25" customHeight="1" x14ac:dyDescent="0.25">
      <c r="A93" s="99"/>
      <c r="B93" s="100" t="s">
        <v>423</v>
      </c>
      <c r="C93" s="100" t="s">
        <v>556</v>
      </c>
      <c r="D93" s="125"/>
      <c r="E93" s="100" t="s">
        <v>558</v>
      </c>
      <c r="F93" s="102"/>
      <c r="G93" s="129" t="s">
        <v>568</v>
      </c>
      <c r="H93" s="88" t="s">
        <v>561</v>
      </c>
      <c r="I93" s="88"/>
      <c r="J93" s="88" t="s">
        <v>569</v>
      </c>
      <c r="K93" s="146"/>
    </row>
    <row r="94" spans="1:11" s="123" customFormat="1" ht="72" customHeight="1" x14ac:dyDescent="0.25">
      <c r="A94" s="105">
        <v>1</v>
      </c>
      <c r="B94" s="102" t="s">
        <v>423</v>
      </c>
      <c r="C94" s="111" t="s">
        <v>570</v>
      </c>
      <c r="D94" s="126" t="s">
        <v>23</v>
      </c>
      <c r="E94" s="136" t="s">
        <v>571</v>
      </c>
      <c r="F94" s="131" t="s">
        <v>23</v>
      </c>
      <c r="G94" s="130" t="s">
        <v>572</v>
      </c>
      <c r="H94" s="111" t="s">
        <v>61</v>
      </c>
      <c r="I94" s="111" t="s">
        <v>23</v>
      </c>
      <c r="J94" s="98" t="s">
        <v>573</v>
      </c>
      <c r="K94" s="119"/>
    </row>
    <row r="95" spans="1:11" s="123" customFormat="1" ht="72" customHeight="1" x14ac:dyDescent="0.25">
      <c r="A95" s="105">
        <v>1</v>
      </c>
      <c r="B95" s="102" t="s">
        <v>423</v>
      </c>
      <c r="C95" s="111" t="s">
        <v>570</v>
      </c>
      <c r="D95" s="126" t="s">
        <v>23</v>
      </c>
      <c r="E95" s="126" t="s">
        <v>571</v>
      </c>
      <c r="F95" s="102" t="s">
        <v>23</v>
      </c>
      <c r="G95" s="130" t="s">
        <v>572</v>
      </c>
      <c r="H95" s="111" t="s">
        <v>39</v>
      </c>
      <c r="I95" s="111" t="s">
        <v>23</v>
      </c>
      <c r="J95" s="94" t="s">
        <v>574</v>
      </c>
      <c r="K95" s="119"/>
    </row>
    <row r="96" spans="1:11" s="123" customFormat="1" ht="72" customHeight="1" x14ac:dyDescent="0.25">
      <c r="A96" s="106">
        <v>1</v>
      </c>
      <c r="B96" s="112" t="s">
        <v>423</v>
      </c>
      <c r="C96" s="101" t="s">
        <v>575</v>
      </c>
      <c r="D96" s="101" t="s">
        <v>576</v>
      </c>
      <c r="E96" s="133" t="s">
        <v>264</v>
      </c>
      <c r="F96" s="102" t="s">
        <v>23</v>
      </c>
      <c r="G96" s="134" t="s">
        <v>577</v>
      </c>
      <c r="H96" s="101" t="s">
        <v>61</v>
      </c>
      <c r="I96" s="101" t="s">
        <v>23</v>
      </c>
      <c r="J96" s="95" t="s">
        <v>427</v>
      </c>
      <c r="K96" s="119"/>
    </row>
    <row r="97" spans="1:11" s="123" customFormat="1" ht="72" customHeight="1" x14ac:dyDescent="0.25">
      <c r="A97" s="106">
        <v>1</v>
      </c>
      <c r="B97" s="112" t="s">
        <v>423</v>
      </c>
      <c r="C97" s="101" t="s">
        <v>575</v>
      </c>
      <c r="D97" s="101" t="s">
        <v>576</v>
      </c>
      <c r="E97" s="101" t="s">
        <v>264</v>
      </c>
      <c r="F97" s="131" t="s">
        <v>23</v>
      </c>
      <c r="G97" s="101" t="s">
        <v>577</v>
      </c>
      <c r="H97" s="101" t="s">
        <v>39</v>
      </c>
      <c r="I97" s="101" t="s">
        <v>23</v>
      </c>
      <c r="J97" s="95" t="s">
        <v>267</v>
      </c>
      <c r="K97" s="119"/>
    </row>
    <row r="98" spans="1:11" s="123" customFormat="1" ht="72" customHeight="1" x14ac:dyDescent="0.25">
      <c r="A98" s="106">
        <v>2</v>
      </c>
      <c r="B98" s="112" t="s">
        <v>423</v>
      </c>
      <c r="C98" s="101" t="s">
        <v>575</v>
      </c>
      <c r="D98" s="101" t="s">
        <v>578</v>
      </c>
      <c r="E98" s="101" t="s">
        <v>270</v>
      </c>
      <c r="F98" s="102" t="s">
        <v>23</v>
      </c>
      <c r="G98" s="101" t="s">
        <v>579</v>
      </c>
      <c r="H98" s="101" t="s">
        <v>61</v>
      </c>
      <c r="I98" s="101" t="s">
        <v>23</v>
      </c>
      <c r="J98" s="95" t="s">
        <v>272</v>
      </c>
      <c r="K98" s="119"/>
    </row>
    <row r="99" spans="1:11" s="123" customFormat="1" ht="72" customHeight="1" x14ac:dyDescent="0.25">
      <c r="A99" s="106">
        <v>2</v>
      </c>
      <c r="B99" s="112" t="s">
        <v>423</v>
      </c>
      <c r="C99" s="101" t="s">
        <v>575</v>
      </c>
      <c r="D99" s="101" t="s">
        <v>578</v>
      </c>
      <c r="E99" s="101" t="s">
        <v>270</v>
      </c>
      <c r="F99" s="102" t="s">
        <v>23</v>
      </c>
      <c r="G99" s="101" t="s">
        <v>579</v>
      </c>
      <c r="H99" s="101" t="s">
        <v>39</v>
      </c>
      <c r="I99" s="101" t="s">
        <v>23</v>
      </c>
      <c r="J99" s="95" t="s">
        <v>427</v>
      </c>
      <c r="K99" s="119"/>
    </row>
    <row r="100" spans="1:11" s="123" customFormat="1" ht="72" customHeight="1" x14ac:dyDescent="0.25">
      <c r="A100" s="105">
        <v>3</v>
      </c>
      <c r="B100" s="102" t="s">
        <v>423</v>
      </c>
      <c r="C100" s="101" t="s">
        <v>575</v>
      </c>
      <c r="D100" s="101" t="s">
        <v>580</v>
      </c>
      <c r="E100" s="101" t="s">
        <v>276</v>
      </c>
      <c r="F100" s="102" t="s">
        <v>23</v>
      </c>
      <c r="G100" s="101" t="s">
        <v>581</v>
      </c>
      <c r="H100" s="101" t="s">
        <v>61</v>
      </c>
      <c r="I100" s="101" t="s">
        <v>23</v>
      </c>
      <c r="J100" s="95" t="s">
        <v>278</v>
      </c>
      <c r="K100" s="119"/>
    </row>
    <row r="101" spans="1:11" s="123" customFormat="1" ht="72" customHeight="1" x14ac:dyDescent="0.25">
      <c r="A101" s="105">
        <v>3</v>
      </c>
      <c r="B101" s="102" t="s">
        <v>423</v>
      </c>
      <c r="C101" s="101" t="s">
        <v>575</v>
      </c>
      <c r="D101" s="101" t="s">
        <v>580</v>
      </c>
      <c r="E101" s="101" t="s">
        <v>276</v>
      </c>
      <c r="F101" s="102" t="s">
        <v>23</v>
      </c>
      <c r="G101" s="101" t="s">
        <v>581</v>
      </c>
      <c r="H101" s="101" t="s">
        <v>39</v>
      </c>
      <c r="I101" s="101" t="s">
        <v>23</v>
      </c>
      <c r="J101" s="95" t="s">
        <v>280</v>
      </c>
      <c r="K101" s="119"/>
    </row>
    <row r="102" spans="1:11" s="124" customFormat="1" ht="72" customHeight="1" x14ac:dyDescent="0.25">
      <c r="A102" s="107">
        <v>4</v>
      </c>
      <c r="B102" s="114" t="s">
        <v>423</v>
      </c>
      <c r="C102" s="101" t="s">
        <v>575</v>
      </c>
      <c r="D102" s="101" t="s">
        <v>582</v>
      </c>
      <c r="E102" s="101" t="s">
        <v>282</v>
      </c>
      <c r="F102" s="102" t="s">
        <v>23</v>
      </c>
      <c r="G102" s="101" t="s">
        <v>583</v>
      </c>
      <c r="H102" s="101" t="s">
        <v>61</v>
      </c>
      <c r="I102" s="101" t="s">
        <v>23</v>
      </c>
      <c r="J102" s="95" t="s">
        <v>427</v>
      </c>
      <c r="K102" s="147"/>
    </row>
    <row r="103" spans="1:11" s="124" customFormat="1" ht="72" customHeight="1" x14ac:dyDescent="0.25">
      <c r="A103" s="107">
        <v>4</v>
      </c>
      <c r="B103" s="114" t="s">
        <v>423</v>
      </c>
      <c r="C103" s="101" t="s">
        <v>575</v>
      </c>
      <c r="D103" s="101" t="s">
        <v>582</v>
      </c>
      <c r="E103" s="101" t="s">
        <v>282</v>
      </c>
      <c r="F103" s="102" t="s">
        <v>23</v>
      </c>
      <c r="G103" s="101" t="s">
        <v>583</v>
      </c>
      <c r="H103" s="101" t="s">
        <v>39</v>
      </c>
      <c r="I103" s="101" t="s">
        <v>23</v>
      </c>
      <c r="J103" s="95" t="s">
        <v>286</v>
      </c>
      <c r="K103" s="147"/>
    </row>
    <row r="104" spans="1:11" s="123" customFormat="1" ht="72" customHeight="1" x14ac:dyDescent="0.25">
      <c r="A104" s="105">
        <v>5</v>
      </c>
      <c r="B104" s="102" t="s">
        <v>423</v>
      </c>
      <c r="C104" s="111" t="s">
        <v>575</v>
      </c>
      <c r="D104" s="111" t="s">
        <v>584</v>
      </c>
      <c r="E104" s="111" t="s">
        <v>246</v>
      </c>
      <c r="F104" s="102" t="s">
        <v>23</v>
      </c>
      <c r="G104" s="111" t="s">
        <v>585</v>
      </c>
      <c r="H104" s="111" t="s">
        <v>61</v>
      </c>
      <c r="I104" s="111" t="s">
        <v>23</v>
      </c>
      <c r="J104" s="94" t="s">
        <v>427</v>
      </c>
      <c r="K104" s="119"/>
    </row>
    <row r="105" spans="1:11" s="123" customFormat="1" ht="72" customHeight="1" x14ac:dyDescent="0.25">
      <c r="A105" s="105">
        <v>5</v>
      </c>
      <c r="B105" s="102" t="s">
        <v>423</v>
      </c>
      <c r="C105" s="111" t="s">
        <v>575</v>
      </c>
      <c r="D105" s="111" t="s">
        <v>584</v>
      </c>
      <c r="E105" s="111" t="s">
        <v>246</v>
      </c>
      <c r="F105" s="102" t="s">
        <v>23</v>
      </c>
      <c r="G105" s="111" t="s">
        <v>585</v>
      </c>
      <c r="H105" s="111" t="s">
        <v>39</v>
      </c>
      <c r="I105" s="111" t="s">
        <v>23</v>
      </c>
      <c r="J105" s="94" t="s">
        <v>586</v>
      </c>
      <c r="K105" s="119"/>
    </row>
    <row r="106" spans="1:11" s="123" customFormat="1" ht="72" customHeight="1" x14ac:dyDescent="0.25">
      <c r="A106" s="106">
        <v>1</v>
      </c>
      <c r="B106" s="112" t="s">
        <v>423</v>
      </c>
      <c r="C106" s="101" t="s">
        <v>587</v>
      </c>
      <c r="D106" s="101" t="s">
        <v>576</v>
      </c>
      <c r="E106" s="101" t="s">
        <v>588</v>
      </c>
      <c r="F106" s="102" t="s">
        <v>23</v>
      </c>
      <c r="G106" s="101" t="s">
        <v>589</v>
      </c>
      <c r="H106" s="101" t="s">
        <v>39</v>
      </c>
      <c r="I106" s="101" t="s">
        <v>23</v>
      </c>
      <c r="J106" s="113" t="s">
        <v>427</v>
      </c>
      <c r="K106" s="104"/>
    </row>
    <row r="107" spans="1:11" s="123" customFormat="1" ht="72" customHeight="1" x14ac:dyDescent="0.25">
      <c r="A107" s="106">
        <v>1</v>
      </c>
      <c r="B107" s="112" t="s">
        <v>423</v>
      </c>
      <c r="C107" s="101" t="s">
        <v>587</v>
      </c>
      <c r="D107" s="101" t="s">
        <v>576</v>
      </c>
      <c r="E107" s="101" t="s">
        <v>588</v>
      </c>
      <c r="F107" s="102" t="s">
        <v>23</v>
      </c>
      <c r="G107" s="101" t="s">
        <v>589</v>
      </c>
      <c r="H107" s="101" t="s">
        <v>61</v>
      </c>
      <c r="I107" s="101" t="s">
        <v>23</v>
      </c>
      <c r="J107" s="113" t="s">
        <v>590</v>
      </c>
      <c r="K107" s="104"/>
    </row>
    <row r="108" spans="1:11" ht="38.25" x14ac:dyDescent="0.25">
      <c r="B108" s="67"/>
      <c r="C108" s="439" t="s">
        <v>287</v>
      </c>
      <c r="D108" s="84" t="s">
        <v>23</v>
      </c>
      <c r="E108" s="85"/>
      <c r="F108" s="67"/>
      <c r="G108" s="182" t="s">
        <v>591</v>
      </c>
      <c r="H108" s="182" t="s">
        <v>592</v>
      </c>
      <c r="I108" s="84" t="s">
        <v>23</v>
      </c>
      <c r="J108" s="182" t="s">
        <v>593</v>
      </c>
    </row>
    <row r="109" spans="1:11" ht="51" x14ac:dyDescent="0.25">
      <c r="B109" s="67"/>
      <c r="C109" s="439"/>
      <c r="D109" s="84" t="s">
        <v>23</v>
      </c>
      <c r="E109" s="85"/>
      <c r="F109" s="67"/>
      <c r="G109" s="182" t="s">
        <v>594</v>
      </c>
      <c r="H109" s="182" t="s">
        <v>592</v>
      </c>
      <c r="I109" s="84" t="s">
        <v>23</v>
      </c>
      <c r="J109" s="182" t="s">
        <v>595</v>
      </c>
    </row>
    <row r="110" spans="1:11" ht="76.5" x14ac:dyDescent="0.25">
      <c r="B110" s="67"/>
      <c r="C110" s="439"/>
      <c r="D110" s="84" t="s">
        <v>23</v>
      </c>
      <c r="E110" s="85"/>
      <c r="F110" s="67"/>
      <c r="G110" s="182" t="s">
        <v>596</v>
      </c>
      <c r="H110" s="182" t="s">
        <v>592</v>
      </c>
      <c r="I110" s="84" t="s">
        <v>23</v>
      </c>
      <c r="J110" s="182" t="s">
        <v>597</v>
      </c>
    </row>
    <row r="111" spans="1:11" ht="38.25" x14ac:dyDescent="0.25">
      <c r="B111" s="67"/>
      <c r="C111" s="439"/>
      <c r="D111" s="84" t="s">
        <v>23</v>
      </c>
      <c r="E111" s="85"/>
      <c r="F111" s="67"/>
      <c r="G111" s="182" t="s">
        <v>598</v>
      </c>
      <c r="H111" s="182" t="s">
        <v>592</v>
      </c>
      <c r="I111" s="84" t="s">
        <v>23</v>
      </c>
      <c r="J111" s="182" t="s">
        <v>296</v>
      </c>
    </row>
    <row r="112" spans="1:11" ht="38.25" x14ac:dyDescent="0.25">
      <c r="B112" s="67"/>
      <c r="C112" s="439"/>
      <c r="D112" s="84" t="s">
        <v>23</v>
      </c>
      <c r="E112" s="85"/>
      <c r="F112" s="67"/>
      <c r="G112" s="182" t="s">
        <v>297</v>
      </c>
      <c r="H112" s="182" t="s">
        <v>592</v>
      </c>
      <c r="I112" s="84" t="s">
        <v>23</v>
      </c>
      <c r="J112" s="182" t="s">
        <v>298</v>
      </c>
    </row>
  </sheetData>
  <mergeCells count="2">
    <mergeCell ref="C108:C112"/>
    <mergeCell ref="A86:A87"/>
  </mergeCells>
  <phoneticPr fontId="21" type="noConversion"/>
  <pageMargins left="0.7" right="0.7" top="0.75" bottom="0.75" header="0.3" footer="0.3"/>
  <pageSetup orientation="portrait" horizontalDpi="360" verticalDpi="36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B7A9-0591-4C95-A958-7B93F9E9769D}">
  <sheetPr codeName="Sheet9"/>
  <dimension ref="A2:Q64"/>
  <sheetViews>
    <sheetView topLeftCell="A33" workbookViewId="0"/>
  </sheetViews>
  <sheetFormatPr defaultColWidth="9.140625" defaultRowHeight="12.75" x14ac:dyDescent="0.2"/>
  <cols>
    <col min="1" max="1" width="14.5703125" style="1" customWidth="1"/>
    <col min="2" max="2" width="4.5703125" style="4" customWidth="1"/>
    <col min="3" max="4" width="48.85546875" style="1" customWidth="1"/>
    <col min="5" max="5" width="15.5703125" style="1" customWidth="1"/>
    <col min="6" max="6" width="69.28515625" style="1" customWidth="1"/>
    <col min="7" max="7" width="14" style="1" customWidth="1"/>
    <col min="8" max="8" width="78.85546875" style="1" customWidth="1"/>
    <col min="9" max="9" width="49.5703125" style="1" customWidth="1"/>
    <col min="10" max="13" width="50.5703125" style="1" customWidth="1"/>
    <col min="14" max="14" width="9.5703125" style="17" customWidth="1"/>
    <col min="15" max="16" width="9.5703125" style="30" customWidth="1"/>
    <col min="17" max="17" width="9.5703125" style="17" customWidth="1"/>
    <col min="18" max="16384" width="9.140625" style="1"/>
  </cols>
  <sheetData>
    <row r="2" spans="1:17" x14ac:dyDescent="0.2">
      <c r="A2" s="450" t="s">
        <v>599</v>
      </c>
      <c r="B2" s="450"/>
      <c r="C2" s="450"/>
      <c r="D2" s="450"/>
      <c r="E2" s="450"/>
      <c r="F2" s="450"/>
      <c r="G2" s="450"/>
      <c r="H2" s="450"/>
      <c r="I2" s="450"/>
      <c r="J2" s="450"/>
      <c r="K2" s="450"/>
      <c r="L2" s="450"/>
    </row>
    <row r="3" spans="1:17" x14ac:dyDescent="0.2">
      <c r="A3" s="450"/>
      <c r="B3" s="450"/>
      <c r="C3" s="450"/>
      <c r="D3" s="450"/>
      <c r="E3" s="450"/>
      <c r="F3" s="450"/>
      <c r="G3" s="450"/>
      <c r="H3" s="450"/>
      <c r="I3" s="450"/>
      <c r="J3" s="450"/>
      <c r="K3" s="450"/>
      <c r="L3" s="450"/>
    </row>
    <row r="4" spans="1:17" ht="65.25" customHeight="1" x14ac:dyDescent="0.2">
      <c r="A4" s="451"/>
      <c r="B4" s="451"/>
      <c r="C4" s="451"/>
      <c r="D4" s="451"/>
      <c r="E4" s="451"/>
      <c r="F4" s="451"/>
      <c r="G4" s="451"/>
      <c r="H4" s="451"/>
      <c r="I4" s="451"/>
      <c r="J4" s="451"/>
      <c r="K4" s="451"/>
      <c r="L4" s="451"/>
    </row>
    <row r="5" spans="1:17" s="4" customFormat="1" ht="26.25" customHeight="1" x14ac:dyDescent="0.2">
      <c r="A5" s="46"/>
      <c r="B5" s="452" t="s">
        <v>600</v>
      </c>
      <c r="C5" s="453"/>
      <c r="D5" s="38" t="s">
        <v>601</v>
      </c>
      <c r="E5" s="38" t="s">
        <v>602</v>
      </c>
      <c r="F5" s="38" t="s">
        <v>603</v>
      </c>
      <c r="G5" s="38"/>
      <c r="H5" s="38"/>
      <c r="I5" s="5" t="s">
        <v>604</v>
      </c>
      <c r="J5" s="5" t="s">
        <v>605</v>
      </c>
      <c r="K5" s="5" t="s">
        <v>606</v>
      </c>
      <c r="L5" s="5" t="s">
        <v>607</v>
      </c>
      <c r="N5" s="15"/>
      <c r="O5" s="31"/>
      <c r="P5" s="31"/>
      <c r="Q5" s="15"/>
    </row>
    <row r="6" spans="1:17" s="2" customFormat="1" ht="159.75" customHeight="1" x14ac:dyDescent="0.2">
      <c r="A6" s="46"/>
      <c r="B6" s="454" t="s">
        <v>608</v>
      </c>
      <c r="C6" s="455"/>
      <c r="D6" s="39" t="s">
        <v>609</v>
      </c>
      <c r="E6" s="39"/>
      <c r="F6" s="39" t="s">
        <v>610</v>
      </c>
      <c r="G6" s="39"/>
      <c r="H6" s="39"/>
      <c r="I6" s="456" t="s">
        <v>611</v>
      </c>
      <c r="J6" s="458" t="s">
        <v>612</v>
      </c>
      <c r="K6" s="460" t="s">
        <v>613</v>
      </c>
      <c r="L6" s="462" t="s">
        <v>614</v>
      </c>
      <c r="M6" s="27" t="s">
        <v>615</v>
      </c>
      <c r="N6" s="14"/>
      <c r="O6" s="18"/>
      <c r="P6" s="18"/>
      <c r="Q6" s="14"/>
    </row>
    <row r="7" spans="1:17" s="2" customFormat="1" ht="21" customHeight="1" x14ac:dyDescent="0.25">
      <c r="A7" s="46"/>
      <c r="B7" s="46"/>
      <c r="C7" s="46"/>
      <c r="D7" s="40"/>
      <c r="E7" s="40"/>
      <c r="F7" s="40"/>
      <c r="G7" s="40"/>
      <c r="H7" s="40"/>
      <c r="I7" s="457"/>
      <c r="J7" s="459"/>
      <c r="K7" s="461"/>
      <c r="L7" s="463"/>
      <c r="M7" s="28">
        <f>COUNTA(N9:N64)</f>
        <v>13</v>
      </c>
      <c r="N7" s="14"/>
      <c r="O7" s="18"/>
      <c r="P7" s="18"/>
      <c r="Q7" s="14"/>
    </row>
    <row r="8" spans="1:17" s="2" customFormat="1" ht="73.5" customHeight="1" x14ac:dyDescent="0.25">
      <c r="A8" s="6" t="s">
        <v>616</v>
      </c>
      <c r="B8" s="9"/>
      <c r="C8" s="10" t="s">
        <v>617</v>
      </c>
      <c r="D8" s="42" t="s">
        <v>618</v>
      </c>
      <c r="E8" s="42"/>
      <c r="F8" s="9" t="s">
        <v>5</v>
      </c>
      <c r="G8" s="9" t="s">
        <v>519</v>
      </c>
      <c r="H8" s="9" t="s">
        <v>619</v>
      </c>
      <c r="I8" s="7"/>
      <c r="J8" s="7"/>
      <c r="K8" s="7"/>
      <c r="L8" s="8"/>
      <c r="M8" s="29" t="s">
        <v>620</v>
      </c>
      <c r="N8" s="20" t="s">
        <v>621</v>
      </c>
      <c r="O8" s="19" t="s">
        <v>622</v>
      </c>
      <c r="P8" s="19">
        <f>AVERAGE(P9:P64)</f>
        <v>0.38430769230769241</v>
      </c>
      <c r="Q8" s="20" t="s">
        <v>623</v>
      </c>
    </row>
    <row r="9" spans="1:17" s="2" customFormat="1" ht="42" hidden="1" customHeight="1" x14ac:dyDescent="0.25">
      <c r="A9" s="442" t="s">
        <v>624</v>
      </c>
      <c r="B9" s="465">
        <v>1</v>
      </c>
      <c r="C9" s="467" t="s">
        <v>625</v>
      </c>
      <c r="D9" s="47"/>
      <c r="E9" s="47"/>
      <c r="F9" s="47"/>
      <c r="G9" s="47"/>
      <c r="H9" s="47"/>
      <c r="I9" s="26"/>
      <c r="J9" s="26"/>
      <c r="K9" s="26"/>
      <c r="L9" s="26"/>
      <c r="M9" s="469"/>
      <c r="N9" s="14"/>
      <c r="O9" s="18"/>
      <c r="P9" s="18"/>
      <c r="Q9" s="14"/>
    </row>
    <row r="10" spans="1:17" s="2" customFormat="1" ht="36" hidden="1" customHeight="1" x14ac:dyDescent="0.25">
      <c r="A10" s="464"/>
      <c r="B10" s="466"/>
      <c r="C10" s="468"/>
      <c r="D10" s="47"/>
      <c r="E10" s="47"/>
      <c r="F10" s="47"/>
      <c r="G10" s="47"/>
      <c r="H10" s="47"/>
      <c r="I10" s="24"/>
      <c r="J10" s="23"/>
      <c r="K10" s="23"/>
      <c r="L10" s="25"/>
      <c r="M10" s="470"/>
      <c r="N10" s="14">
        <v>4</v>
      </c>
      <c r="O10" s="18">
        <f>IF(N10=1,0)+IF(N10=2,0.333)+IF(N10=3,0.666)+IF(N10=4,100%)</f>
        <v>1</v>
      </c>
      <c r="P10" s="18">
        <f>O10*Q10/100</f>
        <v>1</v>
      </c>
      <c r="Q10" s="14">
        <v>100</v>
      </c>
    </row>
    <row r="11" spans="1:17" s="2" customFormat="1" ht="42" hidden="1" customHeight="1" x14ac:dyDescent="0.25">
      <c r="A11" s="58" t="s">
        <v>624</v>
      </c>
      <c r="B11" s="60">
        <v>2</v>
      </c>
      <c r="C11" s="306" t="s">
        <v>626</v>
      </c>
      <c r="D11" s="47"/>
      <c r="E11" s="47"/>
      <c r="F11" s="47"/>
      <c r="G11" s="47"/>
      <c r="H11" s="47"/>
      <c r="I11" s="21"/>
      <c r="J11" s="26"/>
      <c r="K11" s="26"/>
      <c r="L11" s="26"/>
      <c r="M11" s="469"/>
      <c r="N11" s="14"/>
      <c r="O11" s="18"/>
      <c r="P11" s="18"/>
      <c r="Q11" s="14"/>
    </row>
    <row r="12" spans="1:17" s="2" customFormat="1" ht="60.75" customHeight="1" x14ac:dyDescent="0.25">
      <c r="A12" s="58" t="s">
        <v>624</v>
      </c>
      <c r="B12" s="61">
        <v>3</v>
      </c>
      <c r="C12" s="306" t="s">
        <v>411</v>
      </c>
      <c r="D12" s="47" t="s">
        <v>627</v>
      </c>
      <c r="E12" s="47"/>
      <c r="F12" s="47" t="s">
        <v>628</v>
      </c>
      <c r="G12" s="47"/>
      <c r="H12" s="47" t="s">
        <v>629</v>
      </c>
      <c r="I12" s="63"/>
      <c r="J12" s="41"/>
      <c r="K12" s="41"/>
      <c r="L12" s="307"/>
      <c r="M12" s="471"/>
      <c r="N12" s="14"/>
      <c r="O12" s="18"/>
      <c r="P12" s="18"/>
      <c r="Q12" s="14"/>
    </row>
    <row r="13" spans="1:17" s="2" customFormat="1" ht="24.95" customHeight="1" x14ac:dyDescent="0.25">
      <c r="A13" s="6" t="s">
        <v>417</v>
      </c>
      <c r="B13" s="9"/>
      <c r="C13" s="10"/>
      <c r="D13" s="9"/>
      <c r="E13" s="9"/>
      <c r="F13" s="9"/>
      <c r="G13" s="9"/>
      <c r="H13" s="9"/>
      <c r="I13" s="7"/>
      <c r="J13" s="7"/>
      <c r="K13" s="7"/>
      <c r="L13" s="8"/>
      <c r="M13" s="29" t="s">
        <v>620</v>
      </c>
      <c r="N13" s="20" t="s">
        <v>621</v>
      </c>
      <c r="O13" s="19" t="s">
        <v>622</v>
      </c>
      <c r="P13" s="19">
        <f>AVERAGE(P14:P71)</f>
        <v>0.33300000000000007</v>
      </c>
      <c r="Q13" s="20" t="s">
        <v>623</v>
      </c>
    </row>
    <row r="14" spans="1:17" s="3" customFormat="1" ht="91.5" customHeight="1" x14ac:dyDescent="0.25">
      <c r="A14" s="304" t="s">
        <v>630</v>
      </c>
      <c r="B14" s="305">
        <v>4</v>
      </c>
      <c r="C14" s="44" t="s">
        <v>631</v>
      </c>
      <c r="D14" s="49" t="s">
        <v>632</v>
      </c>
      <c r="E14" s="49"/>
      <c r="F14" s="49" t="s">
        <v>633</v>
      </c>
      <c r="G14" s="49"/>
      <c r="H14" s="49" t="s">
        <v>634</v>
      </c>
      <c r="I14" s="309"/>
      <c r="J14" s="309"/>
      <c r="K14" s="309"/>
      <c r="L14" s="309"/>
      <c r="M14" s="43"/>
      <c r="N14" s="16"/>
      <c r="O14" s="32"/>
      <c r="P14" s="32"/>
      <c r="Q14" s="14"/>
    </row>
    <row r="15" spans="1:17" s="3" customFormat="1" ht="36" customHeight="1" x14ac:dyDescent="0.25">
      <c r="A15" s="442" t="s">
        <v>630</v>
      </c>
      <c r="B15" s="444">
        <v>5</v>
      </c>
      <c r="C15" s="446"/>
      <c r="D15" s="48"/>
      <c r="E15" s="48"/>
      <c r="F15" s="48"/>
      <c r="G15" s="48"/>
      <c r="H15" s="48"/>
      <c r="I15" s="309"/>
      <c r="J15" s="309"/>
      <c r="K15" s="309"/>
      <c r="L15" s="309"/>
      <c r="M15" s="448"/>
      <c r="N15" s="16"/>
      <c r="O15" s="16"/>
      <c r="P15" s="16"/>
      <c r="Q15" s="16"/>
    </row>
    <row r="16" spans="1:17" s="3" customFormat="1" ht="36" customHeight="1" x14ac:dyDescent="0.25">
      <c r="A16" s="443"/>
      <c r="B16" s="445"/>
      <c r="C16" s="447"/>
      <c r="D16" s="48"/>
      <c r="E16" s="48"/>
      <c r="F16" s="48"/>
      <c r="G16" s="48"/>
      <c r="H16" s="48"/>
      <c r="I16" s="22"/>
      <c r="J16" s="23"/>
      <c r="K16" s="23"/>
      <c r="L16" s="25"/>
      <c r="M16" s="449"/>
      <c r="N16" s="16">
        <v>2</v>
      </c>
      <c r="O16" s="18">
        <f>IF(N16=1,0)+IF(N16=2,0.333)+IF(N16=3,0.666)+IF(N16=4,100%)</f>
        <v>0.33300000000000002</v>
      </c>
      <c r="P16" s="18">
        <f>O16*Q16/100</f>
        <v>0.33300000000000002</v>
      </c>
      <c r="Q16" s="14">
        <v>100</v>
      </c>
    </row>
    <row r="17" spans="1:17" s="2" customFormat="1" ht="42" customHeight="1" x14ac:dyDescent="0.25">
      <c r="A17" s="442" t="s">
        <v>630</v>
      </c>
      <c r="B17" s="465">
        <v>6</v>
      </c>
      <c r="C17" s="446"/>
      <c r="D17" s="48"/>
      <c r="E17" s="48"/>
      <c r="F17" s="48"/>
      <c r="G17" s="48"/>
      <c r="H17" s="48"/>
      <c r="I17" s="26"/>
      <c r="J17" s="26"/>
      <c r="K17" s="26"/>
      <c r="L17" s="26"/>
      <c r="M17" s="469"/>
      <c r="N17" s="14"/>
      <c r="O17" s="18"/>
      <c r="P17" s="18"/>
      <c r="Q17" s="14"/>
    </row>
    <row r="18" spans="1:17" s="2" customFormat="1" ht="36" customHeight="1" x14ac:dyDescent="0.25">
      <c r="A18" s="443"/>
      <c r="B18" s="466"/>
      <c r="C18" s="447"/>
      <c r="D18" s="48"/>
      <c r="E18" s="48"/>
      <c r="F18" s="48"/>
      <c r="G18" s="48"/>
      <c r="H18" s="48"/>
      <c r="I18" s="22"/>
      <c r="J18" s="23"/>
      <c r="K18" s="23"/>
      <c r="L18" s="25"/>
      <c r="M18" s="470"/>
      <c r="N18" s="14">
        <v>2</v>
      </c>
      <c r="O18" s="18">
        <f>IF(N18=1,0)+IF(N18=2,0.333)+IF(N18=3,0.666)+IF(N18=4,100%)</f>
        <v>0.33300000000000002</v>
      </c>
      <c r="P18" s="18">
        <f>O18*Q18/100</f>
        <v>0.33300000000000002</v>
      </c>
      <c r="Q18" s="14">
        <v>100</v>
      </c>
    </row>
    <row r="19" spans="1:17" s="2" customFormat="1" ht="24.95" customHeight="1" x14ac:dyDescent="0.25">
      <c r="A19" s="6" t="s">
        <v>635</v>
      </c>
      <c r="B19" s="9"/>
      <c r="C19" s="10"/>
      <c r="D19" s="9"/>
      <c r="E19" s="9"/>
      <c r="F19" s="9"/>
      <c r="G19" s="9"/>
      <c r="H19" s="9"/>
      <c r="I19" s="7"/>
      <c r="J19" s="7"/>
      <c r="K19" s="7"/>
      <c r="L19" s="8"/>
      <c r="M19" s="29" t="s">
        <v>620</v>
      </c>
      <c r="N19" s="20" t="s">
        <v>621</v>
      </c>
      <c r="O19" s="19" t="s">
        <v>622</v>
      </c>
      <c r="P19" s="19">
        <f>AVERAGE(P20:P78)</f>
        <v>0.33300000000000002</v>
      </c>
      <c r="Q19" s="20" t="s">
        <v>623</v>
      </c>
    </row>
    <row r="20" spans="1:17" s="2" customFormat="1" ht="48.75" customHeight="1" x14ac:dyDescent="0.25">
      <c r="A20" s="442" t="s">
        <v>636</v>
      </c>
      <c r="B20" s="465">
        <v>7</v>
      </c>
      <c r="C20" s="446" t="s">
        <v>443</v>
      </c>
      <c r="D20" s="48" t="s">
        <v>637</v>
      </c>
      <c r="E20" s="48"/>
      <c r="F20" s="51" t="s">
        <v>638</v>
      </c>
      <c r="G20" s="51"/>
      <c r="H20" s="51" t="s">
        <v>639</v>
      </c>
      <c r="I20" s="306"/>
      <c r="J20" s="26"/>
      <c r="K20" s="26"/>
      <c r="L20" s="26"/>
      <c r="M20" s="469"/>
      <c r="N20" s="14"/>
      <c r="O20" s="18"/>
      <c r="P20" s="18"/>
      <c r="Q20" s="14"/>
    </row>
    <row r="21" spans="1:17" s="2" customFormat="1" ht="48.75" customHeight="1" x14ac:dyDescent="0.25">
      <c r="A21" s="443"/>
      <c r="B21" s="472"/>
      <c r="C21" s="473"/>
      <c r="D21" s="48" t="s">
        <v>637</v>
      </c>
      <c r="E21" s="48"/>
      <c r="F21" s="52" t="s">
        <v>640</v>
      </c>
      <c r="G21" s="52"/>
      <c r="H21" s="52"/>
      <c r="I21" s="41"/>
      <c r="J21" s="41"/>
      <c r="K21" s="41"/>
      <c r="L21" s="307"/>
      <c r="M21" s="471"/>
      <c r="N21" s="14"/>
      <c r="O21" s="18"/>
      <c r="P21" s="18"/>
      <c r="Q21" s="14"/>
    </row>
    <row r="22" spans="1:17" s="2" customFormat="1" ht="48.75" customHeight="1" x14ac:dyDescent="0.25">
      <c r="A22" s="443"/>
      <c r="B22" s="472"/>
      <c r="C22" s="473"/>
      <c r="D22" s="48" t="s">
        <v>627</v>
      </c>
      <c r="E22" s="48"/>
      <c r="F22" s="51" t="s">
        <v>641</v>
      </c>
      <c r="G22" s="51"/>
      <c r="H22" s="51" t="s">
        <v>642</v>
      </c>
      <c r="I22" s="41"/>
      <c r="J22" s="41"/>
      <c r="K22" s="41"/>
      <c r="L22" s="307"/>
      <c r="M22" s="471"/>
      <c r="N22" s="14"/>
      <c r="O22" s="18"/>
      <c r="P22" s="18"/>
      <c r="Q22" s="14"/>
    </row>
    <row r="23" spans="1:17" s="2" customFormat="1" ht="64.5" customHeight="1" x14ac:dyDescent="0.25">
      <c r="A23" s="443"/>
      <c r="B23" s="472"/>
      <c r="C23" s="473"/>
      <c r="D23" s="48" t="s">
        <v>637</v>
      </c>
      <c r="E23" s="48"/>
      <c r="F23" s="52" t="s">
        <v>643</v>
      </c>
      <c r="G23" s="52"/>
      <c r="H23" s="52"/>
      <c r="I23" s="41"/>
      <c r="J23" s="41"/>
      <c r="K23" s="41"/>
      <c r="L23" s="307"/>
      <c r="M23" s="471"/>
      <c r="N23" s="14"/>
      <c r="O23" s="18"/>
      <c r="P23" s="18"/>
      <c r="Q23" s="14"/>
    </row>
    <row r="24" spans="1:17" s="2" customFormat="1" ht="37.5" customHeight="1" x14ac:dyDescent="0.25">
      <c r="A24" s="442" t="s">
        <v>636</v>
      </c>
      <c r="B24" s="465">
        <v>8</v>
      </c>
      <c r="C24" s="446" t="s">
        <v>644</v>
      </c>
      <c r="D24" s="48" t="s">
        <v>637</v>
      </c>
      <c r="E24" s="48"/>
      <c r="F24" s="51" t="s">
        <v>645</v>
      </c>
      <c r="G24" s="51"/>
      <c r="H24" s="51" t="s">
        <v>646</v>
      </c>
      <c r="I24" s="306"/>
      <c r="J24" s="26"/>
      <c r="K24" s="26"/>
      <c r="L24" s="26"/>
      <c r="M24" s="469"/>
      <c r="N24" s="14"/>
      <c r="O24" s="18"/>
      <c r="P24" s="18"/>
      <c r="Q24" s="14"/>
    </row>
    <row r="25" spans="1:17" s="2" customFormat="1" ht="85.5" customHeight="1" x14ac:dyDescent="0.25">
      <c r="A25" s="443"/>
      <c r="B25" s="472"/>
      <c r="C25" s="473"/>
      <c r="D25" s="48" t="s">
        <v>637</v>
      </c>
      <c r="E25" s="48"/>
      <c r="F25" s="51" t="s">
        <v>647</v>
      </c>
      <c r="G25" s="51"/>
      <c r="H25" s="51" t="s">
        <v>648</v>
      </c>
      <c r="I25" s="41"/>
      <c r="J25" s="41"/>
      <c r="K25" s="41"/>
      <c r="L25" s="307"/>
      <c r="M25" s="471"/>
      <c r="N25" s="14"/>
      <c r="O25" s="18"/>
      <c r="P25" s="18"/>
      <c r="Q25" s="14"/>
    </row>
    <row r="26" spans="1:17" s="2" customFormat="1" ht="37.5" customHeight="1" x14ac:dyDescent="0.25">
      <c r="A26" s="443"/>
      <c r="B26" s="472"/>
      <c r="C26" s="473"/>
      <c r="D26" s="48" t="s">
        <v>637</v>
      </c>
      <c r="E26" s="48"/>
      <c r="F26" s="51" t="s">
        <v>649</v>
      </c>
      <c r="G26" s="51"/>
      <c r="H26" s="51" t="s">
        <v>650</v>
      </c>
      <c r="I26" s="41"/>
      <c r="J26" s="41"/>
      <c r="K26" s="41"/>
      <c r="L26" s="307"/>
      <c r="M26" s="471"/>
      <c r="N26" s="14"/>
      <c r="O26" s="18"/>
      <c r="P26" s="18"/>
      <c r="Q26" s="14"/>
    </row>
    <row r="27" spans="1:17" s="2" customFormat="1" ht="37.5" customHeight="1" x14ac:dyDescent="0.25">
      <c r="A27" s="443"/>
      <c r="B27" s="472"/>
      <c r="C27" s="473"/>
      <c r="D27" s="48" t="s">
        <v>637</v>
      </c>
      <c r="E27" s="48"/>
      <c r="F27" s="51" t="s">
        <v>651</v>
      </c>
      <c r="G27" s="51"/>
      <c r="H27" s="51" t="s">
        <v>652</v>
      </c>
      <c r="I27" s="41"/>
      <c r="J27" s="41"/>
      <c r="K27" s="41"/>
      <c r="L27" s="307"/>
      <c r="M27" s="471"/>
      <c r="N27" s="14"/>
      <c r="O27" s="18"/>
      <c r="P27" s="18"/>
      <c r="Q27" s="14"/>
    </row>
    <row r="28" spans="1:17" s="2" customFormat="1" ht="37.5" customHeight="1" x14ac:dyDescent="0.25">
      <c r="A28" s="443"/>
      <c r="B28" s="472"/>
      <c r="C28" s="473"/>
      <c r="D28" s="48" t="s">
        <v>637</v>
      </c>
      <c r="E28" s="48"/>
      <c r="F28" s="51" t="s">
        <v>653</v>
      </c>
      <c r="G28" s="51"/>
      <c r="H28" s="51" t="s">
        <v>652</v>
      </c>
      <c r="I28" s="41"/>
      <c r="J28" s="41"/>
      <c r="K28" s="41"/>
      <c r="L28" s="307"/>
      <c r="M28" s="471"/>
      <c r="N28" s="14"/>
      <c r="O28" s="18"/>
      <c r="P28" s="18"/>
      <c r="Q28" s="14"/>
    </row>
    <row r="29" spans="1:17" s="2" customFormat="1" ht="37.5" customHeight="1" x14ac:dyDescent="0.25">
      <c r="A29" s="443"/>
      <c r="B29" s="472"/>
      <c r="C29" s="473"/>
      <c r="D29" s="48" t="s">
        <v>637</v>
      </c>
      <c r="E29" s="48"/>
      <c r="F29" s="51" t="s">
        <v>654</v>
      </c>
      <c r="G29" s="51"/>
      <c r="H29" s="51" t="s">
        <v>655</v>
      </c>
      <c r="I29" s="41"/>
      <c r="J29" s="41"/>
      <c r="K29" s="41"/>
      <c r="L29" s="307"/>
      <c r="M29" s="471"/>
      <c r="N29" s="14"/>
      <c r="O29" s="18"/>
      <c r="P29" s="18"/>
      <c r="Q29" s="14"/>
    </row>
    <row r="30" spans="1:17" s="2" customFormat="1" ht="37.5" customHeight="1" x14ac:dyDescent="0.25">
      <c r="A30" s="443"/>
      <c r="B30" s="472"/>
      <c r="C30" s="473"/>
      <c r="D30" s="48" t="s">
        <v>637</v>
      </c>
      <c r="E30" s="48"/>
      <c r="F30" s="51" t="s">
        <v>656</v>
      </c>
      <c r="G30" s="51"/>
      <c r="H30" s="51" t="s">
        <v>657</v>
      </c>
      <c r="I30" s="41"/>
      <c r="J30" s="41"/>
      <c r="K30" s="41"/>
      <c r="L30" s="307"/>
      <c r="M30" s="471"/>
      <c r="N30" s="14"/>
      <c r="O30" s="18"/>
      <c r="P30" s="18"/>
      <c r="Q30" s="14"/>
    </row>
    <row r="31" spans="1:17" s="2" customFormat="1" ht="37.5" customHeight="1" x14ac:dyDescent="0.25">
      <c r="A31" s="443"/>
      <c r="B31" s="472"/>
      <c r="C31" s="473"/>
      <c r="D31" s="48" t="s">
        <v>637</v>
      </c>
      <c r="E31" s="48"/>
      <c r="F31" s="51" t="s">
        <v>658</v>
      </c>
      <c r="G31" s="51"/>
      <c r="H31" s="51" t="s">
        <v>659</v>
      </c>
      <c r="I31" s="41"/>
      <c r="J31" s="41"/>
      <c r="K31" s="41"/>
      <c r="L31" s="307"/>
      <c r="M31" s="471"/>
      <c r="N31" s="14"/>
      <c r="O31" s="18"/>
      <c r="P31" s="18"/>
      <c r="Q31" s="14"/>
    </row>
    <row r="32" spans="1:17" ht="120.75" customHeight="1" x14ac:dyDescent="0.2">
      <c r="A32" s="464"/>
      <c r="B32" s="472"/>
      <c r="C32" s="473"/>
      <c r="D32" s="48" t="s">
        <v>637</v>
      </c>
      <c r="E32" s="48"/>
      <c r="F32" s="51" t="s">
        <v>660</v>
      </c>
      <c r="G32" s="51"/>
      <c r="H32" s="51" t="s">
        <v>661</v>
      </c>
      <c r="I32" s="23"/>
      <c r="J32" s="23"/>
      <c r="K32" s="23"/>
      <c r="L32" s="25"/>
      <c r="M32" s="470"/>
      <c r="N32" s="14">
        <v>2</v>
      </c>
      <c r="O32" s="18">
        <f>IF(N32=1,0)+IF(N32=2,0.333)+IF(N32=3,0.666)+IF(N32=4,100%)</f>
        <v>0.33300000000000002</v>
      </c>
      <c r="P32" s="18">
        <f>O32*Q32/100</f>
        <v>0.33300000000000002</v>
      </c>
      <c r="Q32" s="14">
        <v>100</v>
      </c>
    </row>
    <row r="33" spans="1:17" s="2" customFormat="1" ht="69" customHeight="1" x14ac:dyDescent="0.25">
      <c r="A33" s="442" t="s">
        <v>636</v>
      </c>
      <c r="B33" s="465">
        <v>9</v>
      </c>
      <c r="C33" s="446" t="s">
        <v>662</v>
      </c>
      <c r="D33" s="48"/>
      <c r="E33" s="48"/>
      <c r="F33" s="474" t="s">
        <v>663</v>
      </c>
      <c r="G33" s="308"/>
      <c r="H33" s="308" t="s">
        <v>664</v>
      </c>
      <c r="I33" s="306"/>
      <c r="J33" s="26"/>
      <c r="K33" s="26"/>
      <c r="L33" s="26"/>
      <c r="M33" s="469"/>
      <c r="N33" s="14"/>
      <c r="O33" s="18"/>
      <c r="P33" s="18"/>
      <c r="Q33" s="14"/>
    </row>
    <row r="34" spans="1:17" s="2" customFormat="1" ht="69" customHeight="1" x14ac:dyDescent="0.25">
      <c r="A34" s="443"/>
      <c r="B34" s="472"/>
      <c r="C34" s="473"/>
      <c r="D34" s="48"/>
      <c r="E34" s="48"/>
      <c r="F34" s="474"/>
      <c r="G34" s="308"/>
      <c r="H34" s="308" t="s">
        <v>665</v>
      </c>
      <c r="I34" s="41"/>
      <c r="J34" s="41"/>
      <c r="K34" s="41"/>
      <c r="L34" s="307"/>
      <c r="M34" s="471"/>
      <c r="N34" s="14"/>
      <c r="O34" s="18"/>
      <c r="P34" s="18"/>
      <c r="Q34" s="14"/>
    </row>
    <row r="35" spans="1:17" s="2" customFormat="1" ht="69" customHeight="1" x14ac:dyDescent="0.25">
      <c r="A35" s="443"/>
      <c r="B35" s="472"/>
      <c r="C35" s="473"/>
      <c r="D35" s="48"/>
      <c r="E35" s="48"/>
      <c r="F35" s="53" t="s">
        <v>666</v>
      </c>
      <c r="G35" s="53"/>
      <c r="H35" s="53" t="s">
        <v>667</v>
      </c>
      <c r="I35" s="41"/>
      <c r="J35" s="41"/>
      <c r="K35" s="41"/>
      <c r="L35" s="307"/>
      <c r="M35" s="471"/>
      <c r="N35" s="14"/>
      <c r="O35" s="18"/>
      <c r="P35" s="18"/>
      <c r="Q35" s="14"/>
    </row>
    <row r="36" spans="1:17" s="2" customFormat="1" ht="69" customHeight="1" x14ac:dyDescent="0.25">
      <c r="A36" s="443"/>
      <c r="B36" s="472"/>
      <c r="C36" s="473"/>
      <c r="D36" s="48"/>
      <c r="E36" s="48"/>
      <c r="F36" s="51" t="s">
        <v>668</v>
      </c>
      <c r="G36" s="51"/>
      <c r="H36" s="51" t="s">
        <v>669</v>
      </c>
      <c r="I36" s="41"/>
      <c r="J36" s="41"/>
      <c r="K36" s="41"/>
      <c r="L36" s="307"/>
      <c r="M36" s="471"/>
      <c r="N36" s="14"/>
      <c r="O36" s="18"/>
      <c r="P36" s="18"/>
      <c r="Q36" s="14"/>
    </row>
    <row r="37" spans="1:17" s="2" customFormat="1" ht="69" customHeight="1" x14ac:dyDescent="0.25">
      <c r="A37" s="443"/>
      <c r="B37" s="472"/>
      <c r="C37" s="473"/>
      <c r="D37" s="48"/>
      <c r="E37" s="48"/>
      <c r="F37" s="54" t="s">
        <v>670</v>
      </c>
      <c r="G37" s="54"/>
      <c r="H37" s="53" t="s">
        <v>671</v>
      </c>
      <c r="I37" s="41"/>
      <c r="J37" s="41"/>
      <c r="K37" s="41"/>
      <c r="L37" s="307"/>
      <c r="M37" s="471"/>
      <c r="N37" s="14"/>
      <c r="O37" s="18"/>
      <c r="P37" s="18"/>
      <c r="Q37" s="14"/>
    </row>
    <row r="38" spans="1:17" ht="46.5" customHeight="1" x14ac:dyDescent="0.2">
      <c r="A38" s="464"/>
      <c r="B38" s="466"/>
      <c r="C38" s="447"/>
      <c r="D38" s="48"/>
      <c r="E38" s="48"/>
      <c r="F38" s="51" t="s">
        <v>672</v>
      </c>
      <c r="G38" s="51"/>
      <c r="H38" s="51" t="s">
        <v>671</v>
      </c>
      <c r="I38" s="23"/>
      <c r="J38" s="23"/>
      <c r="K38" s="23"/>
      <c r="L38" s="25"/>
      <c r="M38" s="470"/>
      <c r="N38" s="14">
        <v>2</v>
      </c>
      <c r="O38" s="18">
        <f>IF(N38=1,0)+IF(N38=2,0.333)+IF(N38=3,0.666)+IF(N38=4,100%)</f>
        <v>0.33300000000000002</v>
      </c>
      <c r="P38" s="18">
        <f>O38*Q38/100</f>
        <v>0.33300000000000002</v>
      </c>
      <c r="Q38" s="14">
        <v>100</v>
      </c>
    </row>
    <row r="39" spans="1:17" s="2" customFormat="1" ht="57" customHeight="1" x14ac:dyDescent="0.25">
      <c r="A39" s="442" t="s">
        <v>636</v>
      </c>
      <c r="B39" s="465">
        <v>10</v>
      </c>
      <c r="C39" s="446" t="s">
        <v>673</v>
      </c>
      <c r="D39" s="48"/>
      <c r="E39" s="48"/>
      <c r="F39" s="53" t="s">
        <v>674</v>
      </c>
      <c r="G39" s="53"/>
      <c r="H39" s="53" t="s">
        <v>675</v>
      </c>
      <c r="I39" s="306"/>
      <c r="J39" s="26"/>
      <c r="K39" s="26"/>
      <c r="L39" s="26"/>
      <c r="M39" s="469"/>
      <c r="N39" s="14"/>
      <c r="O39" s="18"/>
      <c r="P39" s="18"/>
      <c r="Q39" s="14"/>
    </row>
    <row r="40" spans="1:17" s="2" customFormat="1" ht="57" customHeight="1" x14ac:dyDescent="0.25">
      <c r="A40" s="443"/>
      <c r="B40" s="472"/>
      <c r="C40" s="473"/>
      <c r="D40" s="48"/>
      <c r="E40" s="48"/>
      <c r="F40" s="51" t="s">
        <v>676</v>
      </c>
      <c r="G40" s="51"/>
      <c r="H40" s="51" t="s">
        <v>677</v>
      </c>
      <c r="I40" s="41"/>
      <c r="J40" s="41"/>
      <c r="K40" s="41"/>
      <c r="L40" s="307"/>
      <c r="M40" s="471"/>
      <c r="N40" s="14"/>
      <c r="O40" s="18"/>
      <c r="P40" s="18"/>
      <c r="Q40" s="14"/>
    </row>
    <row r="41" spans="1:17" s="2" customFormat="1" ht="57" customHeight="1" x14ac:dyDescent="0.25">
      <c r="A41" s="443"/>
      <c r="B41" s="472"/>
      <c r="C41" s="473"/>
      <c r="D41" s="48"/>
      <c r="E41" s="48"/>
      <c r="F41" s="53" t="s">
        <v>678</v>
      </c>
      <c r="G41" s="53"/>
      <c r="H41" s="53" t="s">
        <v>679</v>
      </c>
      <c r="I41" s="41"/>
      <c r="J41" s="41"/>
      <c r="K41" s="41"/>
      <c r="L41" s="307"/>
      <c r="M41" s="471"/>
      <c r="N41" s="14"/>
      <c r="O41" s="18"/>
      <c r="P41" s="18"/>
      <c r="Q41" s="14"/>
    </row>
    <row r="42" spans="1:17" s="2" customFormat="1" ht="57" customHeight="1" x14ac:dyDescent="0.25">
      <c r="A42" s="443"/>
      <c r="B42" s="472"/>
      <c r="C42" s="473"/>
      <c r="D42" s="48"/>
      <c r="E42" s="48"/>
      <c r="F42" s="51" t="s">
        <v>680</v>
      </c>
      <c r="G42" s="51"/>
      <c r="H42" s="51" t="s">
        <v>681</v>
      </c>
      <c r="I42" s="41"/>
      <c r="J42" s="41"/>
      <c r="K42" s="41"/>
      <c r="L42" s="307"/>
      <c r="M42" s="471"/>
      <c r="N42" s="14"/>
      <c r="O42" s="18"/>
      <c r="P42" s="18"/>
      <c r="Q42" s="14"/>
    </row>
    <row r="43" spans="1:17" ht="45.75" customHeight="1" x14ac:dyDescent="0.2">
      <c r="A43" s="464"/>
      <c r="B43" s="466"/>
      <c r="C43" s="447"/>
      <c r="D43" s="48"/>
      <c r="E43" s="48"/>
      <c r="F43" s="53" t="s">
        <v>682</v>
      </c>
      <c r="G43" s="53"/>
      <c r="H43" s="53" t="s">
        <v>683</v>
      </c>
      <c r="I43" s="23"/>
      <c r="J43" s="23"/>
      <c r="K43" s="23"/>
      <c r="L43" s="25"/>
      <c r="M43" s="470"/>
      <c r="N43" s="14">
        <v>2</v>
      </c>
      <c r="O43" s="18">
        <f>IF(N43=1,0)+IF(N43=2,0.333)+IF(N43=3,0.666)+IF(N43=4,100%)</f>
        <v>0.33300000000000002</v>
      </c>
      <c r="P43" s="18">
        <f>O43*Q43/100</f>
        <v>0.33300000000000002</v>
      </c>
      <c r="Q43" s="14">
        <v>100</v>
      </c>
    </row>
    <row r="44" spans="1:17" s="2" customFormat="1" ht="57.75" customHeight="1" x14ac:dyDescent="0.25">
      <c r="A44" s="442" t="s">
        <v>636</v>
      </c>
      <c r="B44" s="465">
        <v>11</v>
      </c>
      <c r="C44" s="475" t="s">
        <v>23</v>
      </c>
      <c r="D44" s="48"/>
      <c r="E44" s="48"/>
      <c r="F44" s="51" t="s">
        <v>684</v>
      </c>
      <c r="G44" s="51"/>
      <c r="H44" s="55" t="s">
        <v>685</v>
      </c>
      <c r="I44" s="306"/>
      <c r="J44" s="26"/>
      <c r="K44" s="26"/>
      <c r="L44" s="26"/>
      <c r="M44" s="469"/>
      <c r="N44" s="14"/>
      <c r="O44" s="18"/>
      <c r="P44" s="18"/>
      <c r="Q44" s="14"/>
    </row>
    <row r="45" spans="1:17" s="2" customFormat="1" ht="46.5" customHeight="1" x14ac:dyDescent="0.25">
      <c r="A45" s="443"/>
      <c r="B45" s="472"/>
      <c r="C45" s="476"/>
      <c r="D45" s="48"/>
      <c r="E45" s="48"/>
      <c r="F45" s="54" t="s">
        <v>686</v>
      </c>
      <c r="G45" s="54"/>
      <c r="H45" s="54" t="s">
        <v>687</v>
      </c>
      <c r="I45" s="23"/>
      <c r="J45" s="23"/>
      <c r="K45" s="23"/>
      <c r="L45" s="25"/>
      <c r="M45" s="471"/>
      <c r="N45" s="14">
        <v>2</v>
      </c>
      <c r="O45" s="18">
        <f>IF(N45=1,0)+IF(N45=2,0.333)+IF(N45=3,0.666)+IF(N45=4,100%)</f>
        <v>0.33300000000000002</v>
      </c>
      <c r="P45" s="18">
        <f>O45*Q45/100</f>
        <v>0.33300000000000002</v>
      </c>
      <c r="Q45" s="14">
        <v>100</v>
      </c>
    </row>
    <row r="46" spans="1:17" s="2" customFormat="1" ht="46.5" customHeight="1" x14ac:dyDescent="0.25">
      <c r="A46" s="443" t="s">
        <v>688</v>
      </c>
      <c r="B46" s="472">
        <v>12</v>
      </c>
      <c r="C46" s="476" t="s">
        <v>543</v>
      </c>
      <c r="D46" s="478" t="s">
        <v>627</v>
      </c>
      <c r="E46" s="48"/>
      <c r="F46" s="480" t="s">
        <v>689</v>
      </c>
      <c r="G46" s="54" t="s">
        <v>39</v>
      </c>
      <c r="H46" s="54" t="s">
        <v>690</v>
      </c>
      <c r="I46" s="23"/>
      <c r="J46" s="23"/>
      <c r="K46" s="23"/>
      <c r="L46" s="25"/>
      <c r="M46" s="471"/>
      <c r="N46" s="14"/>
      <c r="O46" s="18"/>
      <c r="P46" s="18"/>
      <c r="Q46" s="14"/>
    </row>
    <row r="47" spans="1:17" s="2" customFormat="1" ht="46.5" customHeight="1" x14ac:dyDescent="0.25">
      <c r="A47" s="443"/>
      <c r="B47" s="472"/>
      <c r="C47" s="476"/>
      <c r="D47" s="479"/>
      <c r="E47" s="48"/>
      <c r="F47" s="481"/>
      <c r="G47" s="54" t="s">
        <v>61</v>
      </c>
      <c r="H47" s="54" t="s">
        <v>691</v>
      </c>
      <c r="I47" s="23"/>
      <c r="J47" s="23"/>
      <c r="K47" s="23"/>
      <c r="L47" s="25"/>
      <c r="M47" s="471"/>
      <c r="N47" s="14"/>
      <c r="O47" s="18"/>
      <c r="P47" s="18"/>
      <c r="Q47" s="14"/>
    </row>
    <row r="48" spans="1:17" s="2" customFormat="1" ht="46.5" customHeight="1" x14ac:dyDescent="0.25">
      <c r="A48" s="443"/>
      <c r="B48" s="472"/>
      <c r="C48" s="476"/>
      <c r="D48" s="478" t="s">
        <v>627</v>
      </c>
      <c r="E48" s="48"/>
      <c r="F48" s="49" t="s">
        <v>692</v>
      </c>
      <c r="G48" s="54"/>
      <c r="H48" s="62" t="s">
        <v>693</v>
      </c>
      <c r="I48" s="23"/>
      <c r="J48" s="23"/>
      <c r="K48" s="23"/>
      <c r="L48" s="25"/>
      <c r="M48" s="471"/>
      <c r="N48" s="14"/>
      <c r="O48" s="18"/>
      <c r="P48" s="18"/>
      <c r="Q48" s="14"/>
    </row>
    <row r="49" spans="1:17" s="2" customFormat="1" ht="74.25" customHeight="1" x14ac:dyDescent="0.25">
      <c r="A49" s="443"/>
      <c r="B49" s="472"/>
      <c r="C49" s="476"/>
      <c r="D49" s="479"/>
      <c r="E49" s="48"/>
      <c r="F49" s="49" t="s">
        <v>694</v>
      </c>
      <c r="G49" s="54"/>
      <c r="H49" s="49" t="s">
        <v>695</v>
      </c>
      <c r="I49" s="23"/>
      <c r="J49" s="23"/>
      <c r="K49" s="23"/>
      <c r="L49" s="25"/>
      <c r="M49" s="471"/>
      <c r="N49" s="14"/>
      <c r="O49" s="18"/>
      <c r="P49" s="18"/>
      <c r="Q49" s="14"/>
    </row>
    <row r="50" spans="1:17" s="2" customFormat="1" ht="46.5" customHeight="1" x14ac:dyDescent="0.25">
      <c r="A50" s="443"/>
      <c r="B50" s="472"/>
      <c r="C50" s="476"/>
      <c r="D50" s="48" t="s">
        <v>627</v>
      </c>
      <c r="E50" s="48"/>
      <c r="F50" s="49" t="s">
        <v>696</v>
      </c>
      <c r="G50" s="54"/>
      <c r="H50" s="49" t="s">
        <v>697</v>
      </c>
      <c r="I50" s="23"/>
      <c r="J50" s="23"/>
      <c r="K50" s="23"/>
      <c r="L50" s="25"/>
      <c r="M50" s="471"/>
      <c r="N50" s="14"/>
      <c r="O50" s="18"/>
      <c r="P50" s="18"/>
      <c r="Q50" s="14"/>
    </row>
    <row r="51" spans="1:17" s="2" customFormat="1" ht="46.5" customHeight="1" x14ac:dyDescent="0.25">
      <c r="A51" s="443"/>
      <c r="B51" s="472"/>
      <c r="C51" s="476"/>
      <c r="D51" s="48" t="s">
        <v>627</v>
      </c>
      <c r="E51" s="48"/>
      <c r="F51" s="49" t="s">
        <v>698</v>
      </c>
      <c r="G51" s="54"/>
      <c r="H51" s="49" t="s">
        <v>699</v>
      </c>
      <c r="I51" s="23"/>
      <c r="J51" s="23"/>
      <c r="K51" s="23"/>
      <c r="L51" s="25"/>
      <c r="M51" s="471"/>
      <c r="N51" s="14"/>
      <c r="O51" s="18"/>
      <c r="P51" s="18"/>
      <c r="Q51" s="14"/>
    </row>
    <row r="52" spans="1:17" s="2" customFormat="1" ht="46.5" customHeight="1" x14ac:dyDescent="0.25">
      <c r="A52" s="443"/>
      <c r="B52" s="472"/>
      <c r="C52" s="476"/>
      <c r="D52" s="48" t="s">
        <v>700</v>
      </c>
      <c r="E52" s="48"/>
      <c r="F52" s="49" t="s">
        <v>701</v>
      </c>
      <c r="G52" s="54"/>
      <c r="H52" s="49" t="s">
        <v>702</v>
      </c>
      <c r="I52" s="23"/>
      <c r="J52" s="23"/>
      <c r="K52" s="23"/>
      <c r="L52" s="25"/>
      <c r="M52" s="471"/>
      <c r="N52" s="14"/>
      <c r="O52" s="18"/>
      <c r="P52" s="18"/>
      <c r="Q52" s="14"/>
    </row>
    <row r="53" spans="1:17" s="2" customFormat="1" ht="46.5" customHeight="1" x14ac:dyDescent="0.25">
      <c r="A53" s="443"/>
      <c r="B53" s="472"/>
      <c r="C53" s="476"/>
      <c r="D53" s="48" t="s">
        <v>627</v>
      </c>
      <c r="E53" s="48"/>
      <c r="F53" s="49" t="s">
        <v>703</v>
      </c>
      <c r="G53" s="54"/>
      <c r="H53" s="49" t="s">
        <v>704</v>
      </c>
      <c r="I53" s="23"/>
      <c r="J53" s="23"/>
      <c r="K53" s="23"/>
      <c r="L53" s="25"/>
      <c r="M53" s="471"/>
      <c r="N53" s="14"/>
      <c r="O53" s="18"/>
      <c r="P53" s="18"/>
      <c r="Q53" s="14"/>
    </row>
    <row r="54" spans="1:17" s="2" customFormat="1" ht="46.5" customHeight="1" x14ac:dyDescent="0.25">
      <c r="A54" s="443"/>
      <c r="B54" s="472"/>
      <c r="C54" s="476"/>
      <c r="D54" s="48" t="s">
        <v>637</v>
      </c>
      <c r="E54" s="48"/>
      <c r="F54" s="49" t="s">
        <v>705</v>
      </c>
      <c r="G54" s="54"/>
      <c r="H54" s="49" t="s">
        <v>706</v>
      </c>
      <c r="I54" s="23"/>
      <c r="J54" s="23"/>
      <c r="K54" s="23"/>
      <c r="L54" s="25"/>
      <c r="M54" s="471"/>
      <c r="N54" s="14"/>
      <c r="O54" s="18"/>
      <c r="P54" s="18"/>
      <c r="Q54" s="14"/>
    </row>
    <row r="55" spans="1:17" s="2" customFormat="1" ht="46.5" customHeight="1" x14ac:dyDescent="0.25">
      <c r="A55" s="443"/>
      <c r="B55" s="472"/>
      <c r="C55" s="476"/>
      <c r="D55" s="48" t="s">
        <v>627</v>
      </c>
      <c r="E55" s="48"/>
      <c r="F55" s="49" t="s">
        <v>707</v>
      </c>
      <c r="G55" s="54"/>
      <c r="H55" s="49" t="s">
        <v>708</v>
      </c>
      <c r="I55" s="23"/>
      <c r="J55" s="23"/>
      <c r="K55" s="23"/>
      <c r="L55" s="25"/>
      <c r="M55" s="471"/>
      <c r="N55" s="14"/>
      <c r="O55" s="18"/>
      <c r="P55" s="18"/>
      <c r="Q55" s="14"/>
    </row>
    <row r="56" spans="1:17" s="2" customFormat="1" ht="46.5" customHeight="1" x14ac:dyDescent="0.25">
      <c r="A56" s="443"/>
      <c r="B56" s="472"/>
      <c r="C56" s="476"/>
      <c r="D56" s="48" t="s">
        <v>637</v>
      </c>
      <c r="E56" s="48"/>
      <c r="F56" s="49" t="s">
        <v>709</v>
      </c>
      <c r="G56" s="54"/>
      <c r="H56" s="49" t="s">
        <v>710</v>
      </c>
      <c r="I56" s="23"/>
      <c r="J56" s="23"/>
      <c r="K56" s="23"/>
      <c r="L56" s="25"/>
      <c r="M56" s="471"/>
      <c r="N56" s="14"/>
      <c r="O56" s="18"/>
      <c r="P56" s="18"/>
      <c r="Q56" s="14"/>
    </row>
    <row r="57" spans="1:17" s="2" customFormat="1" ht="62.25" customHeight="1" x14ac:dyDescent="0.25">
      <c r="A57" s="464"/>
      <c r="B57" s="466"/>
      <c r="C57" s="477"/>
      <c r="D57" s="48" t="s">
        <v>627</v>
      </c>
      <c r="E57" s="48"/>
      <c r="F57" s="49" t="s">
        <v>711</v>
      </c>
      <c r="G57" s="54"/>
      <c r="H57" s="49" t="s">
        <v>712</v>
      </c>
      <c r="I57" s="23"/>
      <c r="J57" s="23"/>
      <c r="K57" s="23"/>
      <c r="L57" s="25"/>
      <c r="M57" s="470"/>
      <c r="N57" s="14">
        <v>2</v>
      </c>
      <c r="O57" s="18">
        <f>IF(N57=1,0)+IF(N57=2,0.333)+IF(N57=3,0.666)+IF(N57=4,100%)</f>
        <v>0.33300000000000002</v>
      </c>
      <c r="P57" s="18">
        <f>O57*Q57/100</f>
        <v>0.33300000000000002</v>
      </c>
      <c r="Q57" s="14">
        <v>100</v>
      </c>
    </row>
    <row r="58" spans="1:17" s="2" customFormat="1" ht="24.95" customHeight="1" x14ac:dyDescent="0.25">
      <c r="A58" s="6" t="s">
        <v>553</v>
      </c>
      <c r="B58" s="9"/>
      <c r="C58" s="10"/>
      <c r="D58" s="50"/>
      <c r="E58" s="50"/>
      <c r="F58" s="50"/>
      <c r="G58" s="50"/>
      <c r="H58" s="50"/>
      <c r="I58" s="7"/>
      <c r="J58" s="7"/>
      <c r="K58" s="7"/>
      <c r="L58" s="8"/>
      <c r="M58" s="29" t="s">
        <v>620</v>
      </c>
      <c r="N58" s="20" t="s">
        <v>621</v>
      </c>
      <c r="O58" s="19" t="s">
        <v>622</v>
      </c>
      <c r="P58" s="19">
        <f>AVERAGE(P59:P89)</f>
        <v>0.33300000000000002</v>
      </c>
      <c r="Q58" s="20" t="s">
        <v>623</v>
      </c>
    </row>
    <row r="59" spans="1:17" s="3" customFormat="1" ht="51.75" customHeight="1" x14ac:dyDescent="0.25">
      <c r="A59" s="442" t="s">
        <v>713</v>
      </c>
      <c r="B59" s="444">
        <v>12</v>
      </c>
      <c r="C59" s="490" t="s">
        <v>714</v>
      </c>
      <c r="D59" s="49" t="s">
        <v>715</v>
      </c>
      <c r="E59" s="2"/>
      <c r="F59" s="56" t="s">
        <v>716</v>
      </c>
      <c r="G59" s="49"/>
      <c r="H59" s="49"/>
      <c r="I59" s="485"/>
      <c r="J59" s="485"/>
      <c r="K59" s="309"/>
      <c r="L59" s="309"/>
      <c r="M59" s="482"/>
      <c r="N59" s="16"/>
      <c r="O59" s="32"/>
      <c r="P59" s="32"/>
      <c r="Q59" s="14"/>
    </row>
    <row r="60" spans="1:17" s="3" customFormat="1" ht="39.950000000000003" customHeight="1" x14ac:dyDescent="0.25">
      <c r="A60" s="443"/>
      <c r="B60" s="489"/>
      <c r="C60" s="491"/>
      <c r="D60" s="49" t="s">
        <v>717</v>
      </c>
      <c r="E60" s="49"/>
      <c r="F60" s="49" t="s">
        <v>718</v>
      </c>
      <c r="G60" s="49"/>
      <c r="H60" s="49" t="s">
        <v>719</v>
      </c>
      <c r="I60" s="492"/>
      <c r="J60" s="492"/>
      <c r="K60" s="311"/>
      <c r="L60" s="311"/>
      <c r="M60" s="483"/>
      <c r="N60" s="16"/>
      <c r="O60" s="32"/>
      <c r="P60" s="32"/>
      <c r="Q60" s="14"/>
    </row>
    <row r="61" spans="1:17" s="3" customFormat="1" ht="36" customHeight="1" x14ac:dyDescent="0.25">
      <c r="A61" s="443"/>
      <c r="B61" s="489"/>
      <c r="C61" s="491"/>
      <c r="D61" s="49" t="s">
        <v>717</v>
      </c>
      <c r="E61" s="49"/>
      <c r="F61" s="49" t="s">
        <v>720</v>
      </c>
      <c r="G61" s="49"/>
      <c r="H61" s="49" t="s">
        <v>721</v>
      </c>
      <c r="I61" s="22"/>
      <c r="J61" s="23"/>
      <c r="K61" s="23"/>
      <c r="L61" s="25"/>
      <c r="M61" s="484"/>
      <c r="N61" s="14">
        <v>2</v>
      </c>
      <c r="O61" s="18">
        <f>IF(N61=1,0)+IF(N61=2,0.333)+IF(N61=3,0.666)+IF(N61=4,100%)</f>
        <v>0.33300000000000002</v>
      </c>
      <c r="P61" s="18">
        <f>O61*Q61/100</f>
        <v>0.33300000000000002</v>
      </c>
      <c r="Q61" s="14">
        <v>100</v>
      </c>
    </row>
    <row r="62" spans="1:17" s="3" customFormat="1" ht="30" customHeight="1" x14ac:dyDescent="0.25">
      <c r="A62" s="443"/>
      <c r="B62" s="489"/>
      <c r="C62" s="491"/>
      <c r="D62" s="49" t="s">
        <v>717</v>
      </c>
      <c r="E62" s="49"/>
      <c r="F62" s="49" t="s">
        <v>722</v>
      </c>
      <c r="G62" s="49"/>
      <c r="H62" s="49" t="s">
        <v>723</v>
      </c>
      <c r="I62" s="485"/>
      <c r="J62" s="487"/>
      <c r="K62" s="309"/>
      <c r="L62" s="309"/>
      <c r="M62" s="482"/>
      <c r="N62" s="14"/>
      <c r="O62" s="18"/>
      <c r="P62" s="18"/>
      <c r="Q62" s="14"/>
    </row>
    <row r="63" spans="1:17" s="3" customFormat="1" ht="39.75" customHeight="1" x14ac:dyDescent="0.25">
      <c r="A63" s="443"/>
      <c r="B63" s="489"/>
      <c r="C63" s="491"/>
      <c r="D63" s="49" t="s">
        <v>717</v>
      </c>
      <c r="E63" s="49"/>
      <c r="F63" s="49" t="s">
        <v>724</v>
      </c>
      <c r="G63" s="49"/>
      <c r="H63" s="49" t="s">
        <v>725</v>
      </c>
      <c r="I63" s="486"/>
      <c r="J63" s="488"/>
      <c r="K63" s="310"/>
      <c r="L63" s="310"/>
      <c r="M63" s="483"/>
      <c r="N63" s="16"/>
      <c r="O63" s="32"/>
      <c r="P63" s="32"/>
      <c r="Q63" s="14"/>
    </row>
    <row r="64" spans="1:17" s="3" customFormat="1" ht="36" customHeight="1" x14ac:dyDescent="0.25">
      <c r="A64" s="59"/>
      <c r="B64" s="57"/>
      <c r="C64" s="45"/>
      <c r="D64" s="49"/>
      <c r="E64" s="49"/>
      <c r="F64" s="49"/>
      <c r="G64" s="49"/>
      <c r="H64" s="49"/>
      <c r="I64" s="22"/>
      <c r="J64" s="23"/>
      <c r="K64" s="23"/>
      <c r="L64" s="25"/>
      <c r="M64" s="484"/>
      <c r="N64" s="14">
        <v>2</v>
      </c>
      <c r="O64" s="18">
        <f>IF(N64=1,0)+IF(N64=2,0.333)+IF(N64=3,0.666)+IF(N64=4,100%)</f>
        <v>0.33300000000000002</v>
      </c>
      <c r="P64" s="18">
        <f>O64*Q64/100</f>
        <v>0.33300000000000002</v>
      </c>
      <c r="Q64" s="14">
        <v>100</v>
      </c>
    </row>
  </sheetData>
  <mergeCells count="56">
    <mergeCell ref="M59:M61"/>
    <mergeCell ref="I62:I63"/>
    <mergeCell ref="J62:J63"/>
    <mergeCell ref="M62:M64"/>
    <mergeCell ref="A59:A63"/>
    <mergeCell ref="B59:B63"/>
    <mergeCell ref="C59:C63"/>
    <mergeCell ref="I59:I60"/>
    <mergeCell ref="J59:J60"/>
    <mergeCell ref="A39:A43"/>
    <mergeCell ref="B39:B43"/>
    <mergeCell ref="C39:C43"/>
    <mergeCell ref="M39:M43"/>
    <mergeCell ref="A44:A45"/>
    <mergeCell ref="B44:B45"/>
    <mergeCell ref="C44:C45"/>
    <mergeCell ref="M44:M57"/>
    <mergeCell ref="A46:A57"/>
    <mergeCell ref="B46:B57"/>
    <mergeCell ref="C46:C57"/>
    <mergeCell ref="D46:D47"/>
    <mergeCell ref="F46:F47"/>
    <mergeCell ref="D48:D49"/>
    <mergeCell ref="A24:A32"/>
    <mergeCell ref="B24:B32"/>
    <mergeCell ref="C24:C32"/>
    <mergeCell ref="M24:M32"/>
    <mergeCell ref="A33:A38"/>
    <mergeCell ref="B33:B38"/>
    <mergeCell ref="C33:C38"/>
    <mergeCell ref="F33:F34"/>
    <mergeCell ref="M33:M38"/>
    <mergeCell ref="A17:A18"/>
    <mergeCell ref="B17:B18"/>
    <mergeCell ref="C17:C18"/>
    <mergeCell ref="M17:M18"/>
    <mergeCell ref="A20:A23"/>
    <mergeCell ref="B20:B23"/>
    <mergeCell ref="C20:C23"/>
    <mergeCell ref="M20:M23"/>
    <mergeCell ref="A15:A16"/>
    <mergeCell ref="B15:B16"/>
    <mergeCell ref="C15:C16"/>
    <mergeCell ref="M15:M16"/>
    <mergeCell ref="A2:L4"/>
    <mergeCell ref="B5:C5"/>
    <mergeCell ref="B6:C6"/>
    <mergeCell ref="I6:I7"/>
    <mergeCell ref="J6:J7"/>
    <mergeCell ref="K6:K7"/>
    <mergeCell ref="L6:L7"/>
    <mergeCell ref="A9:A10"/>
    <mergeCell ref="B9:B10"/>
    <mergeCell ref="C9:C10"/>
    <mergeCell ref="M9:M10"/>
    <mergeCell ref="M11:M1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02E6-D885-4C9A-91C4-DAA9325365C9}">
  <sheetPr codeName="Sheet10"/>
  <dimension ref="A1:B13"/>
  <sheetViews>
    <sheetView workbookViewId="0">
      <selection activeCell="N24" sqref="N24"/>
    </sheetView>
  </sheetViews>
  <sheetFormatPr defaultRowHeight="15" x14ac:dyDescent="0.25"/>
  <sheetData>
    <row r="1" spans="1:2" x14ac:dyDescent="0.25">
      <c r="A1" t="s">
        <v>726</v>
      </c>
    </row>
    <row r="2" spans="1:2" x14ac:dyDescent="0.25">
      <c r="A2" t="s">
        <v>727</v>
      </c>
    </row>
    <row r="3" spans="1:2" x14ac:dyDescent="0.25">
      <c r="A3" t="s">
        <v>728</v>
      </c>
    </row>
    <row r="4" spans="1:2" x14ac:dyDescent="0.25">
      <c r="A4" t="s">
        <v>729</v>
      </c>
    </row>
    <row r="5" spans="1:2" x14ac:dyDescent="0.25">
      <c r="A5" t="s">
        <v>730</v>
      </c>
    </row>
    <row r="6" spans="1:2" x14ac:dyDescent="0.25">
      <c r="A6" t="s">
        <v>731</v>
      </c>
    </row>
    <row r="7" spans="1:2" x14ac:dyDescent="0.25">
      <c r="A7" t="s">
        <v>732</v>
      </c>
    </row>
    <row r="8" spans="1:2" x14ac:dyDescent="0.25">
      <c r="A8" t="s">
        <v>733</v>
      </c>
    </row>
    <row r="10" spans="1:2" x14ac:dyDescent="0.25">
      <c r="A10" s="11" t="s">
        <v>734</v>
      </c>
      <c r="B10" t="s">
        <v>735</v>
      </c>
    </row>
    <row r="11" spans="1:2" x14ac:dyDescent="0.25">
      <c r="A11" s="12" t="s">
        <v>736</v>
      </c>
      <c r="B11" t="s">
        <v>737</v>
      </c>
    </row>
    <row r="12" spans="1:2" x14ac:dyDescent="0.25">
      <c r="A12" t="s">
        <v>738</v>
      </c>
      <c r="B12" t="s">
        <v>739</v>
      </c>
    </row>
    <row r="13" spans="1:2" x14ac:dyDescent="0.25">
      <c r="A13" s="13" t="s">
        <v>740</v>
      </c>
      <c r="B13" t="s">
        <v>741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7E29-DD7C-465F-8C69-F302499E275C}">
  <sheetPr codeName="Sheet1"/>
  <dimension ref="A1:J137"/>
  <sheetViews>
    <sheetView zoomScale="80" zoomScaleNormal="80" workbookViewId="0">
      <pane xSplit="1" ySplit="1" topLeftCell="C6" activePane="bottomRight" state="frozen"/>
      <selection pane="topRight" activeCell="C1" sqref="C1"/>
      <selection pane="bottomLeft" activeCell="A8" sqref="A8"/>
      <selection pane="bottomRight" activeCell="I14" sqref="I14:I15"/>
    </sheetView>
  </sheetViews>
  <sheetFormatPr defaultColWidth="9.140625" defaultRowHeight="12.75" x14ac:dyDescent="0.2"/>
  <cols>
    <col min="1" max="1" width="9.85546875" style="85" customWidth="1"/>
    <col min="2" max="3" width="18.42578125" style="92" customWidth="1"/>
    <col min="4" max="4" width="23.140625" style="92" customWidth="1"/>
    <col min="5" max="5" width="15.42578125" style="92" customWidth="1"/>
    <col min="6" max="6" width="58.85546875" style="85" customWidth="1"/>
    <col min="7" max="7" width="11.5703125" style="85" customWidth="1"/>
    <col min="8" max="8" width="15.85546875" style="85" customWidth="1"/>
    <col min="9" max="9" width="91.28515625" style="85" customWidth="1"/>
    <col min="10" max="10" width="27" style="85" customWidth="1"/>
    <col min="11" max="16384" width="9.140625" style="85"/>
  </cols>
  <sheetData>
    <row r="1" spans="1:10" ht="47.25" x14ac:dyDescent="0.2">
      <c r="A1" s="86" t="s">
        <v>5</v>
      </c>
      <c r="B1" s="91" t="s">
        <v>407</v>
      </c>
      <c r="C1" s="89" t="s">
        <v>742</v>
      </c>
      <c r="D1" s="89" t="s">
        <v>743</v>
      </c>
      <c r="E1" s="91" t="s">
        <v>9</v>
      </c>
      <c r="F1" s="87" t="s">
        <v>10</v>
      </c>
      <c r="G1" s="86" t="s">
        <v>11</v>
      </c>
      <c r="H1" s="86" t="s">
        <v>12</v>
      </c>
      <c r="I1" s="87" t="s">
        <v>13</v>
      </c>
      <c r="J1" s="74" t="s">
        <v>14</v>
      </c>
    </row>
    <row r="2" spans="1:10" s="66" customFormat="1" ht="73.5" customHeight="1" x14ac:dyDescent="0.25">
      <c r="A2" s="165"/>
      <c r="B2" s="166" t="s">
        <v>15</v>
      </c>
      <c r="C2" s="166"/>
      <c r="D2" s="166"/>
      <c r="E2" s="167"/>
      <c r="F2" s="165"/>
      <c r="G2" s="165"/>
      <c r="H2" s="165"/>
      <c r="I2" s="165"/>
      <c r="J2" s="72"/>
    </row>
    <row r="3" spans="1:10" s="66" customFormat="1" ht="24" customHeight="1" x14ac:dyDescent="0.25">
      <c r="A3" s="439">
        <v>1</v>
      </c>
      <c r="B3" s="493" t="s">
        <v>625</v>
      </c>
      <c r="C3" s="312" t="s">
        <v>16</v>
      </c>
      <c r="D3" s="312" t="s">
        <v>744</v>
      </c>
      <c r="E3" s="493" t="s">
        <v>745</v>
      </c>
      <c r="F3" s="493" t="s">
        <v>746</v>
      </c>
      <c r="G3" s="313"/>
      <c r="H3" s="168" t="s">
        <v>20</v>
      </c>
      <c r="I3" s="312">
        <v>1</v>
      </c>
      <c r="J3" s="312"/>
    </row>
    <row r="4" spans="1:10" s="66" customFormat="1" ht="25.5" customHeight="1" x14ac:dyDescent="0.25">
      <c r="A4" s="439"/>
      <c r="B4" s="493"/>
      <c r="C4" s="312" t="s">
        <v>16</v>
      </c>
      <c r="D4" s="312" t="s">
        <v>744</v>
      </c>
      <c r="E4" s="493"/>
      <c r="F4" s="493"/>
      <c r="G4" s="313"/>
      <c r="H4" s="168" t="s">
        <v>20</v>
      </c>
      <c r="I4" s="312">
        <v>2</v>
      </c>
      <c r="J4" s="312"/>
    </row>
    <row r="5" spans="1:10" s="66" customFormat="1" ht="22.5" customHeight="1" x14ac:dyDescent="0.25">
      <c r="A5" s="439"/>
      <c r="B5" s="493"/>
      <c r="C5" s="312" t="s">
        <v>16</v>
      </c>
      <c r="D5" s="312" t="s">
        <v>744</v>
      </c>
      <c r="E5" s="493"/>
      <c r="F5" s="493"/>
      <c r="G5" s="313"/>
      <c r="H5" s="168" t="s">
        <v>20</v>
      </c>
      <c r="I5" s="312">
        <v>3</v>
      </c>
      <c r="J5" s="312"/>
    </row>
    <row r="6" spans="1:10" s="66" customFormat="1" ht="22.5" customHeight="1" x14ac:dyDescent="0.25">
      <c r="A6" s="439"/>
      <c r="B6" s="493"/>
      <c r="C6" s="312" t="s">
        <v>16</v>
      </c>
      <c r="D6" s="312" t="s">
        <v>744</v>
      </c>
      <c r="E6" s="493"/>
      <c r="F6" s="493"/>
      <c r="G6" s="313"/>
      <c r="H6" s="168" t="s">
        <v>20</v>
      </c>
      <c r="I6" s="312">
        <v>4</v>
      </c>
      <c r="J6" s="312"/>
    </row>
    <row r="7" spans="1:10" s="66" customFormat="1" ht="21" customHeight="1" x14ac:dyDescent="0.25">
      <c r="A7" s="439"/>
      <c r="B7" s="493"/>
      <c r="C7" s="312" t="s">
        <v>16</v>
      </c>
      <c r="D7" s="312" t="s">
        <v>744</v>
      </c>
      <c r="E7" s="493"/>
      <c r="F7" s="493"/>
      <c r="G7" s="313"/>
      <c r="H7" s="168" t="s">
        <v>20</v>
      </c>
      <c r="I7" s="312">
        <v>5</v>
      </c>
      <c r="J7" s="312"/>
    </row>
    <row r="8" spans="1:10" s="66" customFormat="1" ht="21" customHeight="1" x14ac:dyDescent="0.25">
      <c r="A8" s="439"/>
      <c r="B8" s="493"/>
      <c r="C8" s="312" t="s">
        <v>16</v>
      </c>
      <c r="D8" s="312" t="s">
        <v>744</v>
      </c>
      <c r="E8" s="493"/>
      <c r="F8" s="493"/>
      <c r="G8" s="313"/>
      <c r="H8" s="168" t="s">
        <v>20</v>
      </c>
      <c r="I8" s="312">
        <v>6</v>
      </c>
      <c r="J8" s="312"/>
    </row>
    <row r="9" spans="1:10" s="66" customFormat="1" ht="21.75" customHeight="1" x14ac:dyDescent="0.25">
      <c r="A9" s="439"/>
      <c r="B9" s="493"/>
      <c r="C9" s="312" t="s">
        <v>16</v>
      </c>
      <c r="D9" s="312" t="s">
        <v>744</v>
      </c>
      <c r="E9" s="493"/>
      <c r="F9" s="493"/>
      <c r="G9" s="313"/>
      <c r="H9" s="168" t="s">
        <v>20</v>
      </c>
      <c r="I9" s="312">
        <v>7</v>
      </c>
      <c r="J9" s="312"/>
    </row>
    <row r="10" spans="1:10" s="66" customFormat="1" ht="51.75" customHeight="1" x14ac:dyDescent="0.25">
      <c r="A10" s="439">
        <v>1</v>
      </c>
      <c r="B10" s="356" t="s">
        <v>411</v>
      </c>
      <c r="C10" s="312" t="s">
        <v>16</v>
      </c>
      <c r="D10" s="312" t="s">
        <v>744</v>
      </c>
      <c r="E10" s="312" t="s">
        <v>31</v>
      </c>
      <c r="F10" s="312" t="s">
        <v>747</v>
      </c>
      <c r="G10" s="312" t="s">
        <v>33</v>
      </c>
      <c r="H10" s="168" t="s">
        <v>20</v>
      </c>
      <c r="I10" s="169" t="s">
        <v>748</v>
      </c>
      <c r="J10" s="312"/>
    </row>
    <row r="11" spans="1:10" s="66" customFormat="1" ht="25.5" customHeight="1" x14ac:dyDescent="0.25">
      <c r="A11" s="439"/>
      <c r="B11" s="373"/>
      <c r="C11" s="312" t="s">
        <v>16</v>
      </c>
      <c r="D11" s="312" t="s">
        <v>744</v>
      </c>
      <c r="E11" s="312" t="s">
        <v>31</v>
      </c>
      <c r="F11" s="312" t="s">
        <v>747</v>
      </c>
      <c r="G11" s="312" t="s">
        <v>19</v>
      </c>
      <c r="H11" s="168" t="s">
        <v>20</v>
      </c>
      <c r="I11" s="169" t="s">
        <v>47</v>
      </c>
      <c r="J11" s="312"/>
    </row>
    <row r="12" spans="1:10" s="66" customFormat="1" ht="24.75" customHeight="1" x14ac:dyDescent="0.25">
      <c r="A12" s="439">
        <v>1</v>
      </c>
      <c r="B12" s="373"/>
      <c r="C12" s="312" t="s">
        <v>16</v>
      </c>
      <c r="D12" s="312" t="s">
        <v>744</v>
      </c>
      <c r="E12" s="312" t="s">
        <v>41</v>
      </c>
      <c r="F12" s="169" t="s">
        <v>42</v>
      </c>
      <c r="G12" s="312" t="s">
        <v>33</v>
      </c>
      <c r="H12" s="168" t="s">
        <v>20</v>
      </c>
      <c r="I12" s="169" t="s">
        <v>749</v>
      </c>
      <c r="J12" s="312"/>
    </row>
    <row r="13" spans="1:10" s="66" customFormat="1" ht="25.5" customHeight="1" x14ac:dyDescent="0.25">
      <c r="A13" s="439"/>
      <c r="B13" s="373"/>
      <c r="C13" s="312" t="s">
        <v>16</v>
      </c>
      <c r="D13" s="312" t="s">
        <v>744</v>
      </c>
      <c r="E13" s="312" t="s">
        <v>41</v>
      </c>
      <c r="F13" s="169" t="s">
        <v>750</v>
      </c>
      <c r="G13" s="312" t="s">
        <v>19</v>
      </c>
      <c r="H13" s="168" t="s">
        <v>20</v>
      </c>
      <c r="I13" s="169" t="s">
        <v>47</v>
      </c>
      <c r="J13" s="312"/>
    </row>
    <row r="14" spans="1:10" s="66" customFormat="1" ht="42" customHeight="1" x14ac:dyDescent="0.25">
      <c r="A14" s="439">
        <v>1</v>
      </c>
      <c r="B14" s="373"/>
      <c r="C14" s="312" t="s">
        <v>751</v>
      </c>
      <c r="D14" s="312" t="s">
        <v>20</v>
      </c>
      <c r="E14" s="312" t="s">
        <v>45</v>
      </c>
      <c r="F14" s="312" t="s">
        <v>46</v>
      </c>
      <c r="G14" s="312" t="s">
        <v>33</v>
      </c>
      <c r="H14" s="168" t="s">
        <v>20</v>
      </c>
      <c r="I14" s="312" t="s">
        <v>47</v>
      </c>
      <c r="J14" s="312"/>
    </row>
    <row r="15" spans="1:10" s="66" customFormat="1" ht="42" customHeight="1" x14ac:dyDescent="0.25">
      <c r="A15" s="439"/>
      <c r="B15" s="373"/>
      <c r="C15" s="312" t="s">
        <v>751</v>
      </c>
      <c r="D15" s="312" t="s">
        <v>20</v>
      </c>
      <c r="E15" s="312" t="s">
        <v>45</v>
      </c>
      <c r="F15" s="312" t="s">
        <v>46</v>
      </c>
      <c r="G15" s="312" t="s">
        <v>19</v>
      </c>
      <c r="H15" s="168" t="s">
        <v>20</v>
      </c>
      <c r="I15" s="312" t="s">
        <v>752</v>
      </c>
      <c r="J15" s="312"/>
    </row>
    <row r="16" spans="1:10" s="66" customFormat="1" ht="42" customHeight="1" x14ac:dyDescent="0.25">
      <c r="A16" s="439">
        <v>1</v>
      </c>
      <c r="B16" s="373"/>
      <c r="C16" s="312" t="s">
        <v>16</v>
      </c>
      <c r="D16" s="312" t="s">
        <v>744</v>
      </c>
      <c r="E16" s="312" t="s">
        <v>753</v>
      </c>
      <c r="F16" s="312" t="s">
        <v>754</v>
      </c>
      <c r="G16" s="312" t="s">
        <v>33</v>
      </c>
      <c r="H16" s="168" t="s">
        <v>23</v>
      </c>
      <c r="I16" s="312" t="s">
        <v>755</v>
      </c>
      <c r="J16" s="312"/>
    </row>
    <row r="17" spans="1:10" s="66" customFormat="1" ht="42" customHeight="1" x14ac:dyDescent="0.25">
      <c r="A17" s="439"/>
      <c r="B17" s="373"/>
      <c r="C17" s="312" t="s">
        <v>16</v>
      </c>
      <c r="D17" s="312" t="s">
        <v>744</v>
      </c>
      <c r="E17" s="312" t="s">
        <v>753</v>
      </c>
      <c r="F17" s="312" t="s">
        <v>754</v>
      </c>
      <c r="G17" s="312" t="s">
        <v>19</v>
      </c>
      <c r="H17" s="168" t="s">
        <v>23</v>
      </c>
      <c r="I17" s="312" t="s">
        <v>47</v>
      </c>
      <c r="J17" s="312"/>
    </row>
    <row r="18" spans="1:10" s="66" customFormat="1" ht="42" customHeight="1" x14ac:dyDescent="0.25">
      <c r="A18" s="439">
        <v>1</v>
      </c>
      <c r="B18" s="373"/>
      <c r="C18" s="312" t="s">
        <v>16</v>
      </c>
      <c r="D18" s="312" t="s">
        <v>744</v>
      </c>
      <c r="E18" s="312" t="s">
        <v>41</v>
      </c>
      <c r="F18" s="312" t="s">
        <v>49</v>
      </c>
      <c r="G18" s="312" t="s">
        <v>33</v>
      </c>
      <c r="H18" s="168" t="s">
        <v>23</v>
      </c>
      <c r="I18" s="312" t="s">
        <v>756</v>
      </c>
      <c r="J18" s="312"/>
    </row>
    <row r="19" spans="1:10" s="66" customFormat="1" ht="42" customHeight="1" x14ac:dyDescent="0.25">
      <c r="A19" s="439"/>
      <c r="B19" s="373"/>
      <c r="C19" s="312" t="s">
        <v>16</v>
      </c>
      <c r="D19" s="312" t="s">
        <v>744</v>
      </c>
      <c r="E19" s="312" t="s">
        <v>41</v>
      </c>
      <c r="F19" s="312" t="s">
        <v>49</v>
      </c>
      <c r="G19" s="312" t="s">
        <v>19</v>
      </c>
      <c r="H19" s="168" t="s">
        <v>23</v>
      </c>
      <c r="I19" s="312" t="s">
        <v>47</v>
      </c>
      <c r="J19" s="312"/>
    </row>
    <row r="20" spans="1:10" s="66" customFormat="1" ht="42" customHeight="1" x14ac:dyDescent="0.25">
      <c r="A20" s="439">
        <v>1</v>
      </c>
      <c r="B20" s="373"/>
      <c r="C20" s="312" t="s">
        <v>16</v>
      </c>
      <c r="D20" s="312" t="s">
        <v>744</v>
      </c>
      <c r="E20" s="312" t="s">
        <v>45</v>
      </c>
      <c r="F20" s="312" t="s">
        <v>53</v>
      </c>
      <c r="G20" s="312" t="s">
        <v>33</v>
      </c>
      <c r="H20" s="168" t="s">
        <v>54</v>
      </c>
      <c r="I20" s="312" t="s">
        <v>757</v>
      </c>
      <c r="J20" s="312"/>
    </row>
    <row r="21" spans="1:10" s="66" customFormat="1" ht="42" customHeight="1" x14ac:dyDescent="0.25">
      <c r="A21" s="439"/>
      <c r="B21" s="373"/>
      <c r="C21" s="312" t="s">
        <v>16</v>
      </c>
      <c r="D21" s="312" t="s">
        <v>744</v>
      </c>
      <c r="E21" s="312" t="s">
        <v>45</v>
      </c>
      <c r="F21" s="312" t="s">
        <v>53</v>
      </c>
      <c r="G21" s="312" t="s">
        <v>19</v>
      </c>
      <c r="H21" s="168" t="s">
        <v>23</v>
      </c>
      <c r="I21" s="312" t="s">
        <v>47</v>
      </c>
      <c r="J21" s="312"/>
    </row>
    <row r="22" spans="1:10" s="66" customFormat="1" ht="42" customHeight="1" x14ac:dyDescent="0.25">
      <c r="A22" s="366">
        <v>1</v>
      </c>
      <c r="B22" s="373"/>
      <c r="C22" s="312" t="s">
        <v>751</v>
      </c>
      <c r="D22" s="312" t="s">
        <v>20</v>
      </c>
      <c r="E22" s="312" t="s">
        <v>45</v>
      </c>
      <c r="F22" s="312" t="s">
        <v>758</v>
      </c>
      <c r="G22" s="312" t="s">
        <v>33</v>
      </c>
      <c r="H22" s="168" t="s">
        <v>23</v>
      </c>
      <c r="I22" s="312" t="s">
        <v>759</v>
      </c>
      <c r="J22" s="312"/>
    </row>
    <row r="23" spans="1:10" s="66" customFormat="1" ht="42" customHeight="1" x14ac:dyDescent="0.25">
      <c r="A23" s="367"/>
      <c r="B23" s="357"/>
      <c r="C23" s="312" t="s">
        <v>751</v>
      </c>
      <c r="D23" s="312" t="s">
        <v>20</v>
      </c>
      <c r="E23" s="312" t="s">
        <v>45</v>
      </c>
      <c r="F23" s="312" t="s">
        <v>758</v>
      </c>
      <c r="G23" s="312" t="s">
        <v>19</v>
      </c>
      <c r="H23" s="168" t="s">
        <v>23</v>
      </c>
      <c r="I23" s="312" t="s">
        <v>47</v>
      </c>
      <c r="J23" s="312"/>
    </row>
    <row r="24" spans="1:10" s="66" customFormat="1" ht="24.95" customHeight="1" x14ac:dyDescent="0.25">
      <c r="A24" s="165"/>
      <c r="B24" s="166" t="s">
        <v>73</v>
      </c>
      <c r="C24" s="166"/>
      <c r="D24" s="166"/>
      <c r="E24" s="166"/>
      <c r="F24" s="165"/>
      <c r="G24" s="165"/>
      <c r="H24" s="165"/>
      <c r="I24" s="165"/>
      <c r="J24" s="72"/>
    </row>
    <row r="25" spans="1:10" s="68" customFormat="1" ht="91.5" customHeight="1" x14ac:dyDescent="0.25">
      <c r="A25" s="439">
        <v>1</v>
      </c>
      <c r="B25" s="347" t="s">
        <v>631</v>
      </c>
      <c r="C25" s="292"/>
      <c r="D25" s="312" t="s">
        <v>744</v>
      </c>
      <c r="E25" s="182" t="s">
        <v>760</v>
      </c>
      <c r="F25" s="170" t="s">
        <v>761</v>
      </c>
      <c r="G25" s="312" t="s">
        <v>61</v>
      </c>
      <c r="H25" s="168" t="s">
        <v>20</v>
      </c>
      <c r="I25" s="78" t="s">
        <v>762</v>
      </c>
      <c r="J25" s="66"/>
    </row>
    <row r="26" spans="1:10" s="68" customFormat="1" ht="91.5" customHeight="1" x14ac:dyDescent="0.25">
      <c r="A26" s="439"/>
      <c r="B26" s="348"/>
      <c r="C26" s="293"/>
      <c r="D26" s="312" t="s">
        <v>744</v>
      </c>
      <c r="E26" s="182" t="s">
        <v>760</v>
      </c>
      <c r="F26" s="170" t="s">
        <v>763</v>
      </c>
      <c r="G26" s="312" t="s">
        <v>39</v>
      </c>
      <c r="H26" s="168" t="s">
        <v>20</v>
      </c>
      <c r="I26" s="78" t="s">
        <v>764</v>
      </c>
      <c r="J26" s="66"/>
    </row>
    <row r="27" spans="1:10" s="68" customFormat="1" ht="102.75" customHeight="1" x14ac:dyDescent="0.25">
      <c r="A27" s="366">
        <v>2</v>
      </c>
      <c r="B27" s="348"/>
      <c r="C27" s="293"/>
      <c r="D27" s="312" t="s">
        <v>744</v>
      </c>
      <c r="E27" s="182" t="s">
        <v>760</v>
      </c>
      <c r="F27" s="170" t="s">
        <v>765</v>
      </c>
      <c r="G27" s="312" t="s">
        <v>61</v>
      </c>
      <c r="H27" s="168" t="s">
        <v>20</v>
      </c>
      <c r="I27" s="78" t="s">
        <v>766</v>
      </c>
      <c r="J27" s="66"/>
    </row>
    <row r="28" spans="1:10" s="68" customFormat="1" ht="91.5" customHeight="1" x14ac:dyDescent="0.25">
      <c r="A28" s="367"/>
      <c r="B28" s="348"/>
      <c r="C28" s="293"/>
      <c r="D28" s="312" t="s">
        <v>744</v>
      </c>
      <c r="E28" s="182" t="s">
        <v>760</v>
      </c>
      <c r="F28" s="170" t="s">
        <v>765</v>
      </c>
      <c r="G28" s="312" t="s">
        <v>39</v>
      </c>
      <c r="H28" s="168" t="s">
        <v>20</v>
      </c>
      <c r="I28" s="78" t="s">
        <v>764</v>
      </c>
      <c r="J28" s="66"/>
    </row>
    <row r="29" spans="1:10" s="68" customFormat="1" ht="45" customHeight="1" x14ac:dyDescent="0.25">
      <c r="A29" s="439">
        <v>3</v>
      </c>
      <c r="B29" s="348"/>
      <c r="C29" s="293"/>
      <c r="D29" s="312" t="s">
        <v>744</v>
      </c>
      <c r="E29" s="182" t="s">
        <v>86</v>
      </c>
      <c r="F29" s="168" t="s">
        <v>767</v>
      </c>
      <c r="G29" s="312" t="s">
        <v>61</v>
      </c>
      <c r="H29" s="168" t="s">
        <v>20</v>
      </c>
      <c r="I29" s="78" t="s">
        <v>768</v>
      </c>
      <c r="J29" s="168"/>
    </row>
    <row r="30" spans="1:10" s="68" customFormat="1" ht="70.5" customHeight="1" x14ac:dyDescent="0.25">
      <c r="A30" s="439"/>
      <c r="B30" s="348"/>
      <c r="C30" s="293"/>
      <c r="D30" s="312" t="s">
        <v>744</v>
      </c>
      <c r="E30" s="182" t="s">
        <v>86</v>
      </c>
      <c r="F30" s="168" t="s">
        <v>767</v>
      </c>
      <c r="G30" s="312" t="s">
        <v>39</v>
      </c>
      <c r="H30" s="168" t="s">
        <v>20</v>
      </c>
      <c r="I30" s="171" t="s">
        <v>769</v>
      </c>
      <c r="J30" s="168"/>
    </row>
    <row r="31" spans="1:10" s="68" customFormat="1" ht="54" customHeight="1" x14ac:dyDescent="0.25">
      <c r="A31" s="366">
        <v>4</v>
      </c>
      <c r="B31" s="348"/>
      <c r="C31" s="293"/>
      <c r="D31" s="312" t="s">
        <v>744</v>
      </c>
      <c r="E31" s="182" t="s">
        <v>770</v>
      </c>
      <c r="F31" s="168" t="s">
        <v>771</v>
      </c>
      <c r="G31" s="312" t="s">
        <v>61</v>
      </c>
      <c r="H31" s="168" t="s">
        <v>20</v>
      </c>
      <c r="I31" s="171" t="s">
        <v>772</v>
      </c>
      <c r="J31" s="168"/>
    </row>
    <row r="32" spans="1:10" s="68" customFormat="1" ht="54" customHeight="1" x14ac:dyDescent="0.25">
      <c r="A32" s="367"/>
      <c r="B32" s="348"/>
      <c r="C32" s="293"/>
      <c r="D32" s="312" t="s">
        <v>744</v>
      </c>
      <c r="E32" s="182" t="s">
        <v>770</v>
      </c>
      <c r="F32" s="168" t="s">
        <v>771</v>
      </c>
      <c r="G32" s="312" t="s">
        <v>95</v>
      </c>
      <c r="H32" s="168" t="s">
        <v>20</v>
      </c>
      <c r="I32" s="171" t="s">
        <v>773</v>
      </c>
      <c r="J32" s="168"/>
    </row>
    <row r="33" spans="1:10" s="68" customFormat="1" ht="42.75" customHeight="1" x14ac:dyDescent="0.25">
      <c r="A33" s="366">
        <v>5</v>
      </c>
      <c r="B33" s="348"/>
      <c r="C33" s="293"/>
      <c r="D33" s="312" t="s">
        <v>744</v>
      </c>
      <c r="E33" s="182" t="s">
        <v>89</v>
      </c>
      <c r="F33" s="168" t="s">
        <v>774</v>
      </c>
      <c r="G33" s="312" t="s">
        <v>61</v>
      </c>
      <c r="H33" s="168" t="s">
        <v>20</v>
      </c>
      <c r="I33" s="78" t="s">
        <v>764</v>
      </c>
      <c r="J33" s="168"/>
    </row>
    <row r="34" spans="1:10" s="68" customFormat="1" ht="81.75" customHeight="1" x14ac:dyDescent="0.25">
      <c r="A34" s="367"/>
      <c r="B34" s="349"/>
      <c r="C34" s="294"/>
      <c r="D34" s="312" t="s">
        <v>744</v>
      </c>
      <c r="E34" s="182" t="s">
        <v>89</v>
      </c>
      <c r="F34" s="168" t="s">
        <v>774</v>
      </c>
      <c r="G34" s="312" t="s">
        <v>95</v>
      </c>
      <c r="H34" s="168" t="s">
        <v>20</v>
      </c>
      <c r="I34" s="78" t="s">
        <v>775</v>
      </c>
      <c r="J34" s="168"/>
    </row>
    <row r="35" spans="1:10" s="66" customFormat="1" ht="60" customHeight="1" x14ac:dyDescent="0.25">
      <c r="A35" s="496">
        <v>1</v>
      </c>
      <c r="B35" s="182" t="s">
        <v>776</v>
      </c>
      <c r="C35" s="182"/>
      <c r="D35" s="66" t="s">
        <v>20</v>
      </c>
      <c r="E35" s="66" t="s">
        <v>98</v>
      </c>
      <c r="F35" s="66" t="s">
        <v>99</v>
      </c>
      <c r="G35" s="66" t="s">
        <v>61</v>
      </c>
      <c r="H35" s="66" t="s">
        <v>23</v>
      </c>
      <c r="I35" s="172" t="s">
        <v>100</v>
      </c>
    </row>
    <row r="36" spans="1:10" s="66" customFormat="1" ht="60" customHeight="1" x14ac:dyDescent="0.25">
      <c r="A36" s="496"/>
      <c r="B36" s="182" t="s">
        <v>776</v>
      </c>
      <c r="C36" s="182"/>
      <c r="D36" s="66" t="s">
        <v>23</v>
      </c>
      <c r="E36" s="66" t="s">
        <v>98</v>
      </c>
      <c r="F36" s="66" t="s">
        <v>99</v>
      </c>
      <c r="G36" s="66" t="s">
        <v>39</v>
      </c>
      <c r="H36" s="66" t="s">
        <v>23</v>
      </c>
      <c r="I36" s="172" t="s">
        <v>101</v>
      </c>
    </row>
    <row r="37" spans="1:10" s="66" customFormat="1" ht="60" customHeight="1" x14ac:dyDescent="0.25">
      <c r="A37" s="347">
        <v>1</v>
      </c>
      <c r="B37" s="66" t="s">
        <v>777</v>
      </c>
      <c r="D37" s="66" t="s">
        <v>23</v>
      </c>
      <c r="E37" s="182" t="s">
        <v>102</v>
      </c>
      <c r="F37" s="66" t="s">
        <v>103</v>
      </c>
      <c r="G37" s="66" t="s">
        <v>61</v>
      </c>
      <c r="H37" s="66" t="s">
        <v>23</v>
      </c>
      <c r="I37" s="172" t="s">
        <v>104</v>
      </c>
    </row>
    <row r="38" spans="1:10" s="66" customFormat="1" ht="60" customHeight="1" x14ac:dyDescent="0.25">
      <c r="A38" s="349"/>
      <c r="B38" s="66" t="s">
        <v>777</v>
      </c>
      <c r="D38" s="66" t="s">
        <v>23</v>
      </c>
      <c r="E38" s="182" t="s">
        <v>102</v>
      </c>
      <c r="F38" s="66" t="s">
        <v>103</v>
      </c>
      <c r="G38" s="66" t="s">
        <v>39</v>
      </c>
      <c r="H38" s="66" t="s">
        <v>23</v>
      </c>
      <c r="I38" s="172" t="s">
        <v>427</v>
      </c>
    </row>
    <row r="39" spans="1:10" s="66" customFormat="1" ht="60" customHeight="1" x14ac:dyDescent="0.25">
      <c r="A39" s="347">
        <v>2</v>
      </c>
      <c r="B39" s="66" t="s">
        <v>777</v>
      </c>
      <c r="D39" s="66" t="s">
        <v>23</v>
      </c>
      <c r="E39" s="182" t="s">
        <v>102</v>
      </c>
      <c r="F39" s="66" t="s">
        <v>105</v>
      </c>
      <c r="G39" s="66" t="s">
        <v>61</v>
      </c>
      <c r="H39" s="66" t="s">
        <v>23</v>
      </c>
      <c r="I39" s="172" t="s">
        <v>106</v>
      </c>
    </row>
    <row r="40" spans="1:10" s="66" customFormat="1" ht="60" customHeight="1" x14ac:dyDescent="0.25">
      <c r="A40" s="349"/>
      <c r="B40" s="66" t="s">
        <v>777</v>
      </c>
      <c r="D40" s="66" t="s">
        <v>23</v>
      </c>
      <c r="E40" s="182" t="s">
        <v>102</v>
      </c>
      <c r="F40" s="66" t="s">
        <v>105</v>
      </c>
      <c r="G40" s="66" t="s">
        <v>39</v>
      </c>
      <c r="H40" s="66" t="s">
        <v>23</v>
      </c>
      <c r="I40" s="172" t="s">
        <v>427</v>
      </c>
    </row>
    <row r="41" spans="1:10" s="66" customFormat="1" ht="67.5" customHeight="1" x14ac:dyDescent="0.25">
      <c r="A41" s="347">
        <v>3</v>
      </c>
      <c r="B41" s="66" t="s">
        <v>777</v>
      </c>
      <c r="D41" s="66" t="s">
        <v>23</v>
      </c>
      <c r="E41" s="182" t="s">
        <v>107</v>
      </c>
      <c r="F41" s="66" t="s">
        <v>108</v>
      </c>
      <c r="G41" s="66" t="s">
        <v>61</v>
      </c>
      <c r="H41" s="66" t="s">
        <v>23</v>
      </c>
      <c r="I41" s="172" t="s">
        <v>109</v>
      </c>
    </row>
    <row r="42" spans="1:10" s="66" customFormat="1" ht="60" customHeight="1" x14ac:dyDescent="0.25">
      <c r="A42" s="349"/>
      <c r="B42" s="66" t="s">
        <v>777</v>
      </c>
      <c r="D42" s="66" t="s">
        <v>23</v>
      </c>
      <c r="E42" s="182" t="s">
        <v>107</v>
      </c>
      <c r="F42" s="66" t="s">
        <v>108</v>
      </c>
      <c r="G42" s="66" t="s">
        <v>39</v>
      </c>
      <c r="H42" s="66" t="s">
        <v>23</v>
      </c>
      <c r="I42" s="172" t="s">
        <v>111</v>
      </c>
    </row>
    <row r="43" spans="1:10" s="66" customFormat="1" ht="60" customHeight="1" x14ac:dyDescent="0.25">
      <c r="A43" s="347">
        <v>1</v>
      </c>
      <c r="B43" s="66" t="s">
        <v>778</v>
      </c>
      <c r="D43" s="66" t="s">
        <v>23</v>
      </c>
      <c r="E43" s="182" t="s">
        <v>779</v>
      </c>
      <c r="F43" s="66" t="s">
        <v>780</v>
      </c>
      <c r="G43" s="66" t="s">
        <v>61</v>
      </c>
      <c r="H43" s="66" t="s">
        <v>23</v>
      </c>
      <c r="I43" s="172" t="s">
        <v>781</v>
      </c>
    </row>
    <row r="44" spans="1:10" s="66" customFormat="1" ht="60" customHeight="1" x14ac:dyDescent="0.25">
      <c r="A44" s="349"/>
      <c r="B44" s="66" t="s">
        <v>778</v>
      </c>
      <c r="D44" s="66" t="s">
        <v>23</v>
      </c>
      <c r="E44" s="182" t="s">
        <v>779</v>
      </c>
      <c r="F44" s="66" t="s">
        <v>780</v>
      </c>
      <c r="G44" s="66" t="s">
        <v>39</v>
      </c>
      <c r="H44" s="66" t="s">
        <v>23</v>
      </c>
      <c r="I44" s="172" t="s">
        <v>782</v>
      </c>
    </row>
    <row r="45" spans="1:10" s="66" customFormat="1" ht="24.95" customHeight="1" x14ac:dyDescent="0.25">
      <c r="A45" s="165"/>
      <c r="B45" s="166" t="s">
        <v>112</v>
      </c>
      <c r="C45" s="166"/>
      <c r="D45" s="166"/>
      <c r="E45" s="166"/>
      <c r="F45" s="165"/>
      <c r="G45" s="165"/>
      <c r="H45" s="165"/>
      <c r="I45" s="165"/>
      <c r="J45" s="72"/>
    </row>
    <row r="46" spans="1:10" s="185" customFormat="1" ht="53.25" customHeight="1" x14ac:dyDescent="0.25">
      <c r="A46" s="495"/>
      <c r="B46" s="183" t="s">
        <v>429</v>
      </c>
      <c r="C46" s="183"/>
      <c r="D46" s="184"/>
      <c r="E46" s="184" t="s">
        <v>114</v>
      </c>
      <c r="F46" s="184" t="s">
        <v>115</v>
      </c>
      <c r="G46" s="184" t="s">
        <v>61</v>
      </c>
      <c r="H46" s="184" t="s">
        <v>23</v>
      </c>
      <c r="I46" s="184" t="s">
        <v>116</v>
      </c>
      <c r="J46" s="185" t="s">
        <v>783</v>
      </c>
    </row>
    <row r="47" spans="1:10" s="185" customFormat="1" ht="56.25" customHeight="1" x14ac:dyDescent="0.25">
      <c r="A47" s="495"/>
      <c r="B47" s="183" t="s">
        <v>429</v>
      </c>
      <c r="C47" s="183"/>
      <c r="D47" s="184"/>
      <c r="E47" s="184" t="s">
        <v>117</v>
      </c>
      <c r="F47" s="184" t="s">
        <v>115</v>
      </c>
      <c r="G47" s="184" t="s">
        <v>39</v>
      </c>
      <c r="H47" s="184" t="s">
        <v>23</v>
      </c>
      <c r="I47" s="184" t="s">
        <v>118</v>
      </c>
    </row>
    <row r="48" spans="1:10" s="168" customFormat="1" ht="133.5" customHeight="1" x14ac:dyDescent="0.25">
      <c r="A48" s="495">
        <v>1</v>
      </c>
      <c r="B48" s="312" t="s">
        <v>448</v>
      </c>
      <c r="C48" s="312"/>
      <c r="D48" s="312" t="s">
        <v>412</v>
      </c>
      <c r="E48" s="312" t="s">
        <v>120</v>
      </c>
      <c r="F48" s="168" t="s">
        <v>784</v>
      </c>
      <c r="G48" s="168" t="s">
        <v>33</v>
      </c>
      <c r="H48" s="168" t="s">
        <v>23</v>
      </c>
      <c r="I48" s="168" t="s">
        <v>785</v>
      </c>
      <c r="J48" s="168" t="s">
        <v>786</v>
      </c>
    </row>
    <row r="49" spans="1:10" s="168" customFormat="1" ht="133.5" customHeight="1" x14ac:dyDescent="0.25">
      <c r="A49" s="495"/>
      <c r="B49" s="312" t="s">
        <v>448</v>
      </c>
      <c r="C49" s="312"/>
      <c r="D49" s="312" t="s">
        <v>412</v>
      </c>
      <c r="E49" s="312" t="s">
        <v>120</v>
      </c>
      <c r="F49" s="168" t="s">
        <v>784</v>
      </c>
      <c r="G49" s="168" t="s">
        <v>19</v>
      </c>
      <c r="H49" s="168" t="s">
        <v>23</v>
      </c>
      <c r="I49" s="168" t="s">
        <v>427</v>
      </c>
    </row>
    <row r="50" spans="1:10" s="168" customFormat="1" ht="134.25" customHeight="1" x14ac:dyDescent="0.25">
      <c r="A50" s="495"/>
      <c r="B50" s="312" t="s">
        <v>448</v>
      </c>
      <c r="C50" s="312"/>
      <c r="D50" s="312" t="s">
        <v>412</v>
      </c>
      <c r="E50" s="312" t="s">
        <v>120</v>
      </c>
      <c r="F50" s="168" t="s">
        <v>787</v>
      </c>
      <c r="G50" s="168" t="s">
        <v>95</v>
      </c>
      <c r="H50" s="168" t="s">
        <v>788</v>
      </c>
      <c r="I50" s="173" t="s">
        <v>789</v>
      </c>
      <c r="J50" s="313"/>
    </row>
    <row r="51" spans="1:10" s="168" customFormat="1" ht="100.5" customHeight="1" x14ac:dyDescent="0.25">
      <c r="A51" s="495">
        <v>1</v>
      </c>
      <c r="B51" s="312" t="s">
        <v>127</v>
      </c>
      <c r="C51" s="312"/>
      <c r="D51" s="312" t="s">
        <v>412</v>
      </c>
      <c r="E51" s="312" t="s">
        <v>125</v>
      </c>
      <c r="F51" s="168" t="s">
        <v>790</v>
      </c>
      <c r="G51" s="168" t="s">
        <v>61</v>
      </c>
      <c r="H51" s="168" t="s">
        <v>23</v>
      </c>
      <c r="I51" s="168" t="s">
        <v>433</v>
      </c>
      <c r="J51" s="168" t="s">
        <v>791</v>
      </c>
    </row>
    <row r="52" spans="1:10" s="168" customFormat="1" ht="100.5" customHeight="1" x14ac:dyDescent="0.25">
      <c r="A52" s="495"/>
      <c r="B52" s="312" t="s">
        <v>127</v>
      </c>
      <c r="C52" s="312"/>
      <c r="D52" s="312" t="s">
        <v>412</v>
      </c>
      <c r="E52" s="312" t="s">
        <v>125</v>
      </c>
      <c r="F52" s="168" t="s">
        <v>790</v>
      </c>
      <c r="G52" s="168" t="s">
        <v>19</v>
      </c>
      <c r="H52" s="168" t="s">
        <v>137</v>
      </c>
      <c r="I52" s="168" t="s">
        <v>427</v>
      </c>
    </row>
    <row r="53" spans="1:10" s="168" customFormat="1" ht="88.5" customHeight="1" x14ac:dyDescent="0.25">
      <c r="A53" s="495"/>
      <c r="B53" s="312" t="s">
        <v>127</v>
      </c>
      <c r="C53" s="312"/>
      <c r="D53" s="312" t="s">
        <v>412</v>
      </c>
      <c r="E53" s="312" t="s">
        <v>127</v>
      </c>
      <c r="F53" s="168" t="s">
        <v>790</v>
      </c>
      <c r="G53" s="168" t="s">
        <v>95</v>
      </c>
      <c r="H53" s="168" t="s">
        <v>792</v>
      </c>
      <c r="I53" s="173" t="s">
        <v>793</v>
      </c>
    </row>
    <row r="54" spans="1:10" s="168" customFormat="1" ht="76.5" x14ac:dyDescent="0.25">
      <c r="A54" s="495">
        <v>1</v>
      </c>
      <c r="B54" s="312" t="s">
        <v>458</v>
      </c>
      <c r="C54" s="312"/>
      <c r="D54" s="312" t="s">
        <v>412</v>
      </c>
      <c r="E54" s="312" t="s">
        <v>129</v>
      </c>
      <c r="F54" s="168" t="s">
        <v>794</v>
      </c>
      <c r="G54" s="168" t="s">
        <v>61</v>
      </c>
      <c r="H54" s="168" t="s">
        <v>54</v>
      </c>
      <c r="I54" s="168" t="s">
        <v>795</v>
      </c>
      <c r="J54" s="168" t="s">
        <v>796</v>
      </c>
    </row>
    <row r="55" spans="1:10" s="168" customFormat="1" ht="46.5" customHeight="1" x14ac:dyDescent="0.25">
      <c r="A55" s="495"/>
      <c r="B55" s="312" t="s">
        <v>458</v>
      </c>
      <c r="C55" s="312"/>
      <c r="D55" s="312" t="s">
        <v>412</v>
      </c>
      <c r="E55" s="312" t="s">
        <v>129</v>
      </c>
      <c r="F55" s="168" t="s">
        <v>794</v>
      </c>
      <c r="G55" s="168" t="s">
        <v>61</v>
      </c>
      <c r="H55" s="168" t="s">
        <v>461</v>
      </c>
      <c r="I55" s="168" t="s">
        <v>433</v>
      </c>
    </row>
    <row r="56" spans="1:10" s="168" customFormat="1" ht="57" customHeight="1" x14ac:dyDescent="0.25">
      <c r="A56" s="495"/>
      <c r="B56" s="312" t="s">
        <v>458</v>
      </c>
      <c r="C56" s="312"/>
      <c r="D56" s="312" t="s">
        <v>412</v>
      </c>
      <c r="E56" s="312" t="s">
        <v>129</v>
      </c>
      <c r="F56" s="168" t="s">
        <v>794</v>
      </c>
      <c r="G56" s="168" t="s">
        <v>95</v>
      </c>
      <c r="H56" s="168" t="s">
        <v>459</v>
      </c>
      <c r="I56" s="168" t="s">
        <v>797</v>
      </c>
    </row>
    <row r="57" spans="1:10" s="168" customFormat="1" ht="63.75" x14ac:dyDescent="0.25">
      <c r="A57" s="495"/>
      <c r="B57" s="312" t="s">
        <v>458</v>
      </c>
      <c r="C57" s="312"/>
      <c r="D57" s="312" t="s">
        <v>412</v>
      </c>
      <c r="E57" s="312" t="s">
        <v>129</v>
      </c>
      <c r="F57" s="168" t="s">
        <v>794</v>
      </c>
      <c r="G57" s="168" t="s">
        <v>39</v>
      </c>
      <c r="H57" s="168" t="s">
        <v>23</v>
      </c>
      <c r="I57" s="168" t="s">
        <v>798</v>
      </c>
    </row>
    <row r="58" spans="1:10" s="168" customFormat="1" ht="57" customHeight="1" x14ac:dyDescent="0.25">
      <c r="A58" s="495">
        <v>1</v>
      </c>
      <c r="B58" s="312" t="s">
        <v>458</v>
      </c>
      <c r="C58" s="312"/>
      <c r="D58" s="312" t="s">
        <v>412</v>
      </c>
      <c r="E58" s="312" t="s">
        <v>140</v>
      </c>
      <c r="F58" s="152" t="s">
        <v>464</v>
      </c>
      <c r="G58" s="168" t="s">
        <v>465</v>
      </c>
      <c r="H58" s="168" t="s">
        <v>466</v>
      </c>
      <c r="I58" s="168" t="s">
        <v>799</v>
      </c>
    </row>
    <row r="59" spans="1:10" s="168" customFormat="1" ht="57" customHeight="1" x14ac:dyDescent="0.25">
      <c r="A59" s="495"/>
      <c r="B59" s="312" t="s">
        <v>458</v>
      </c>
      <c r="C59" s="312"/>
      <c r="D59" s="312" t="s">
        <v>412</v>
      </c>
      <c r="E59" s="312" t="s">
        <v>140</v>
      </c>
      <c r="F59" s="152" t="s">
        <v>464</v>
      </c>
      <c r="G59" s="168" t="s">
        <v>465</v>
      </c>
      <c r="H59" s="168" t="s">
        <v>468</v>
      </c>
      <c r="I59" s="152" t="s">
        <v>800</v>
      </c>
    </row>
    <row r="60" spans="1:10" s="168" customFormat="1" ht="127.5" x14ac:dyDescent="0.25">
      <c r="A60" s="495"/>
      <c r="B60" s="312" t="s">
        <v>458</v>
      </c>
      <c r="C60" s="312"/>
      <c r="D60" s="312" t="s">
        <v>412</v>
      </c>
      <c r="E60" s="312" t="s">
        <v>140</v>
      </c>
      <c r="F60" s="152" t="s">
        <v>464</v>
      </c>
      <c r="G60" s="168" t="s">
        <v>95</v>
      </c>
      <c r="H60" s="168" t="s">
        <v>23</v>
      </c>
      <c r="I60" s="168" t="s">
        <v>801</v>
      </c>
    </row>
    <row r="61" spans="1:10" s="168" customFormat="1" ht="57.75" customHeight="1" x14ac:dyDescent="0.25">
      <c r="A61" s="495"/>
      <c r="B61" s="312" t="s">
        <v>458</v>
      </c>
      <c r="C61" s="312"/>
      <c r="D61" s="312" t="s">
        <v>412</v>
      </c>
      <c r="E61" s="312" t="s">
        <v>140</v>
      </c>
      <c r="F61" s="152" t="s">
        <v>464</v>
      </c>
      <c r="G61" s="168" t="s">
        <v>95</v>
      </c>
      <c r="H61" s="168" t="s">
        <v>470</v>
      </c>
      <c r="I61" s="168" t="s">
        <v>802</v>
      </c>
    </row>
    <row r="62" spans="1:10" s="168" customFormat="1" ht="57.75" customHeight="1" x14ac:dyDescent="0.25">
      <c r="A62" s="495"/>
      <c r="B62" s="312" t="s">
        <v>458</v>
      </c>
      <c r="C62" s="312"/>
      <c r="D62" s="312" t="s">
        <v>412</v>
      </c>
      <c r="E62" s="312" t="s">
        <v>140</v>
      </c>
      <c r="F62" s="152" t="s">
        <v>803</v>
      </c>
      <c r="G62" s="168" t="s">
        <v>33</v>
      </c>
      <c r="H62" s="168" t="s">
        <v>470</v>
      </c>
      <c r="I62" s="168" t="s">
        <v>804</v>
      </c>
    </row>
    <row r="63" spans="1:10" s="168" customFormat="1" ht="57.75" customHeight="1" x14ac:dyDescent="0.25">
      <c r="A63" s="495"/>
      <c r="B63" s="312" t="s">
        <v>458</v>
      </c>
      <c r="C63" s="312"/>
      <c r="D63" s="312" t="s">
        <v>412</v>
      </c>
      <c r="E63" s="312" t="s">
        <v>140</v>
      </c>
      <c r="F63" s="152" t="s">
        <v>803</v>
      </c>
      <c r="G63" s="168" t="s">
        <v>33</v>
      </c>
      <c r="H63" s="168" t="s">
        <v>476</v>
      </c>
      <c r="I63" s="168" t="s">
        <v>477</v>
      </c>
    </row>
    <row r="64" spans="1:10" s="168" customFormat="1" ht="57.75" customHeight="1" x14ac:dyDescent="0.25">
      <c r="A64" s="495"/>
      <c r="B64" s="312" t="s">
        <v>458</v>
      </c>
      <c r="C64" s="312"/>
      <c r="D64" s="312" t="s">
        <v>412</v>
      </c>
      <c r="E64" s="312" t="s">
        <v>140</v>
      </c>
      <c r="F64" s="152" t="s">
        <v>803</v>
      </c>
      <c r="G64" s="168" t="s">
        <v>19</v>
      </c>
      <c r="H64" s="168" t="s">
        <v>470</v>
      </c>
      <c r="I64" s="168" t="s">
        <v>805</v>
      </c>
    </row>
    <row r="65" spans="1:10" s="168" customFormat="1" ht="57.75" customHeight="1" x14ac:dyDescent="0.25">
      <c r="A65" s="495"/>
      <c r="B65" s="312" t="s">
        <v>458</v>
      </c>
      <c r="C65" s="312"/>
      <c r="D65" s="312" t="s">
        <v>412</v>
      </c>
      <c r="E65" s="312" t="s">
        <v>140</v>
      </c>
      <c r="F65" s="152" t="s">
        <v>803</v>
      </c>
      <c r="G65" s="168" t="s">
        <v>19</v>
      </c>
      <c r="H65" s="168" t="s">
        <v>476</v>
      </c>
      <c r="I65" s="168" t="s">
        <v>806</v>
      </c>
    </row>
    <row r="66" spans="1:10" s="168" customFormat="1" ht="102" x14ac:dyDescent="0.25">
      <c r="A66" s="495">
        <v>1</v>
      </c>
      <c r="B66" s="312" t="s">
        <v>458</v>
      </c>
      <c r="C66" s="312"/>
      <c r="D66" s="312" t="s">
        <v>412</v>
      </c>
      <c r="E66" s="312" t="s">
        <v>153</v>
      </c>
      <c r="F66" s="152" t="s">
        <v>807</v>
      </c>
      <c r="G66" s="168" t="s">
        <v>95</v>
      </c>
      <c r="H66" s="168" t="s">
        <v>470</v>
      </c>
      <c r="I66" s="152" t="s">
        <v>808</v>
      </c>
      <c r="J66" s="168" t="s">
        <v>809</v>
      </c>
    </row>
    <row r="67" spans="1:10" s="168" customFormat="1" ht="114.75" x14ac:dyDescent="0.25">
      <c r="A67" s="495"/>
      <c r="B67" s="312" t="s">
        <v>458</v>
      </c>
      <c r="C67" s="312"/>
      <c r="D67" s="312" t="s">
        <v>412</v>
      </c>
      <c r="E67" s="312" t="s">
        <v>153</v>
      </c>
      <c r="F67" s="152" t="s">
        <v>807</v>
      </c>
      <c r="G67" s="168" t="s">
        <v>95</v>
      </c>
      <c r="H67" s="168" t="s">
        <v>491</v>
      </c>
      <c r="I67" s="152" t="s">
        <v>808</v>
      </c>
      <c r="J67" s="168" t="s">
        <v>810</v>
      </c>
    </row>
    <row r="68" spans="1:10" s="168" customFormat="1" ht="46.5" customHeight="1" x14ac:dyDescent="0.25">
      <c r="A68" s="495"/>
      <c r="B68" s="312" t="s">
        <v>458</v>
      </c>
      <c r="C68" s="312"/>
      <c r="D68" s="312" t="s">
        <v>412</v>
      </c>
      <c r="E68" s="312" t="s">
        <v>153</v>
      </c>
      <c r="F68" s="152" t="s">
        <v>807</v>
      </c>
      <c r="G68" s="168" t="s">
        <v>61</v>
      </c>
      <c r="H68" s="168" t="s">
        <v>491</v>
      </c>
      <c r="I68" s="168" t="s">
        <v>427</v>
      </c>
    </row>
    <row r="69" spans="1:10" s="168" customFormat="1" ht="46.5" customHeight="1" x14ac:dyDescent="0.25">
      <c r="A69" s="495"/>
      <c r="B69" s="312" t="s">
        <v>458</v>
      </c>
      <c r="C69" s="312"/>
      <c r="D69" s="312" t="s">
        <v>412</v>
      </c>
      <c r="E69" s="312" t="s">
        <v>157</v>
      </c>
      <c r="F69" s="152" t="s">
        <v>807</v>
      </c>
      <c r="G69" s="168" t="s">
        <v>61</v>
      </c>
      <c r="H69" s="168" t="s">
        <v>468</v>
      </c>
      <c r="I69" s="174" t="s">
        <v>811</v>
      </c>
    </row>
    <row r="70" spans="1:10" s="168" customFormat="1" ht="102" x14ac:dyDescent="0.25">
      <c r="A70" s="495">
        <v>1</v>
      </c>
      <c r="B70" s="312" t="s">
        <v>458</v>
      </c>
      <c r="C70" s="312"/>
      <c r="D70" s="312" t="s">
        <v>412</v>
      </c>
      <c r="E70" s="312" t="s">
        <v>165</v>
      </c>
      <c r="F70" s="168" t="s">
        <v>812</v>
      </c>
      <c r="G70" s="168" t="s">
        <v>61</v>
      </c>
      <c r="H70" s="168" t="s">
        <v>788</v>
      </c>
      <c r="I70" s="168" t="s">
        <v>813</v>
      </c>
    </row>
    <row r="71" spans="1:10" s="168" customFormat="1" ht="74.25" customHeight="1" x14ac:dyDescent="0.25">
      <c r="A71" s="495"/>
      <c r="B71" s="312" t="s">
        <v>458</v>
      </c>
      <c r="C71" s="312"/>
      <c r="D71" s="312" t="s">
        <v>412</v>
      </c>
      <c r="E71" s="312" t="s">
        <v>165</v>
      </c>
      <c r="F71" s="168" t="s">
        <v>812</v>
      </c>
      <c r="G71" s="168" t="s">
        <v>61</v>
      </c>
      <c r="H71" s="168" t="s">
        <v>20</v>
      </c>
      <c r="I71" s="152" t="s">
        <v>814</v>
      </c>
    </row>
    <row r="72" spans="1:10" s="168" customFormat="1" ht="46.5" customHeight="1" x14ac:dyDescent="0.25">
      <c r="A72" s="495"/>
      <c r="B72" s="312"/>
      <c r="C72" s="312"/>
      <c r="D72" s="312" t="s">
        <v>412</v>
      </c>
      <c r="E72" s="312" t="s">
        <v>165</v>
      </c>
      <c r="F72" s="168" t="s">
        <v>812</v>
      </c>
      <c r="G72" s="168" t="s">
        <v>61</v>
      </c>
      <c r="H72" s="168" t="s">
        <v>20</v>
      </c>
      <c r="I72" s="168" t="s">
        <v>815</v>
      </c>
    </row>
    <row r="73" spans="1:10" s="168" customFormat="1" ht="46.5" customHeight="1" x14ac:dyDescent="0.25">
      <c r="A73" s="495"/>
      <c r="B73" s="312" t="s">
        <v>458</v>
      </c>
      <c r="C73" s="312"/>
      <c r="D73" s="312" t="s">
        <v>412</v>
      </c>
      <c r="E73" s="312" t="s">
        <v>165</v>
      </c>
      <c r="F73" s="168" t="s">
        <v>812</v>
      </c>
      <c r="G73" s="168" t="s">
        <v>95</v>
      </c>
      <c r="H73" s="168" t="s">
        <v>470</v>
      </c>
      <c r="I73" s="168" t="s">
        <v>173</v>
      </c>
    </row>
    <row r="74" spans="1:10" s="168" customFormat="1" ht="46.5" customHeight="1" x14ac:dyDescent="0.25">
      <c r="A74" s="495"/>
      <c r="B74" s="312" t="s">
        <v>458</v>
      </c>
      <c r="C74" s="312"/>
      <c r="D74" s="312" t="s">
        <v>412</v>
      </c>
      <c r="E74" s="312" t="s">
        <v>165</v>
      </c>
      <c r="F74" s="168" t="s">
        <v>812</v>
      </c>
      <c r="G74" s="168" t="s">
        <v>95</v>
      </c>
      <c r="H74" s="168" t="s">
        <v>491</v>
      </c>
      <c r="I74" s="168" t="s">
        <v>427</v>
      </c>
    </row>
    <row r="75" spans="1:10" s="168" customFormat="1" ht="46.5" customHeight="1" x14ac:dyDescent="0.25">
      <c r="A75" s="495">
        <v>1</v>
      </c>
      <c r="B75" s="182" t="s">
        <v>492</v>
      </c>
      <c r="C75" s="182"/>
      <c r="D75" s="66" t="s">
        <v>493</v>
      </c>
      <c r="E75" s="66" t="s">
        <v>174</v>
      </c>
      <c r="F75" s="66" t="s">
        <v>816</v>
      </c>
      <c r="G75" s="66" t="s">
        <v>39</v>
      </c>
      <c r="H75" s="66" t="s">
        <v>23</v>
      </c>
      <c r="I75" s="66" t="s">
        <v>433</v>
      </c>
    </row>
    <row r="76" spans="1:10" s="168" customFormat="1" ht="46.5" customHeight="1" x14ac:dyDescent="0.25">
      <c r="A76" s="495"/>
      <c r="B76" s="182" t="s">
        <v>492</v>
      </c>
      <c r="C76" s="182"/>
      <c r="D76" s="66" t="s">
        <v>493</v>
      </c>
      <c r="E76" s="66" t="s">
        <v>174</v>
      </c>
      <c r="F76" s="66" t="s">
        <v>816</v>
      </c>
      <c r="G76" s="66" t="s">
        <v>61</v>
      </c>
      <c r="H76" s="66" t="s">
        <v>20</v>
      </c>
      <c r="I76" s="66" t="s">
        <v>817</v>
      </c>
    </row>
    <row r="77" spans="1:10" s="168" customFormat="1" ht="46.5" customHeight="1" x14ac:dyDescent="0.25">
      <c r="A77" s="495"/>
      <c r="B77" s="182" t="s">
        <v>492</v>
      </c>
      <c r="C77" s="182"/>
      <c r="D77" s="66" t="s">
        <v>493</v>
      </c>
      <c r="E77" s="66" t="s">
        <v>174</v>
      </c>
      <c r="F77" s="66" t="s">
        <v>816</v>
      </c>
      <c r="G77" s="66" t="s">
        <v>61</v>
      </c>
      <c r="H77" s="66" t="s">
        <v>470</v>
      </c>
      <c r="I77" s="66" t="s">
        <v>818</v>
      </c>
    </row>
    <row r="78" spans="1:10" s="168" customFormat="1" ht="46.5" customHeight="1" x14ac:dyDescent="0.25">
      <c r="A78" s="495"/>
      <c r="B78" s="182"/>
      <c r="C78" s="182"/>
      <c r="D78" s="66" t="s">
        <v>493</v>
      </c>
      <c r="E78" s="66" t="s">
        <v>183</v>
      </c>
      <c r="F78" s="66" t="s">
        <v>186</v>
      </c>
      <c r="G78" s="66" t="s">
        <v>39</v>
      </c>
      <c r="H78" s="66" t="s">
        <v>23</v>
      </c>
      <c r="I78" s="66" t="s">
        <v>498</v>
      </c>
    </row>
    <row r="79" spans="1:10" s="168" customFormat="1" ht="46.5" customHeight="1" x14ac:dyDescent="0.25">
      <c r="A79" s="495">
        <v>1</v>
      </c>
      <c r="B79" s="182" t="s">
        <v>492</v>
      </c>
      <c r="C79" s="182"/>
      <c r="D79" s="66" t="s">
        <v>493</v>
      </c>
      <c r="E79" s="66" t="s">
        <v>183</v>
      </c>
      <c r="F79" s="66" t="s">
        <v>186</v>
      </c>
      <c r="G79" s="66" t="s">
        <v>61</v>
      </c>
      <c r="H79" s="66" t="s">
        <v>23</v>
      </c>
      <c r="I79" s="66" t="s">
        <v>819</v>
      </c>
    </row>
    <row r="80" spans="1:10" s="168" customFormat="1" ht="46.5" customHeight="1" x14ac:dyDescent="0.25">
      <c r="A80" s="495"/>
      <c r="B80" s="182"/>
      <c r="C80" s="182"/>
      <c r="D80" s="66" t="s">
        <v>493</v>
      </c>
      <c r="E80" s="66" t="s">
        <v>183</v>
      </c>
      <c r="F80" s="66" t="s">
        <v>186</v>
      </c>
      <c r="G80" s="66" t="s">
        <v>61</v>
      </c>
      <c r="H80" s="66" t="s">
        <v>470</v>
      </c>
      <c r="I80" s="66" t="s">
        <v>820</v>
      </c>
    </row>
    <row r="81" spans="1:10" s="168" customFormat="1" ht="46.5" customHeight="1" x14ac:dyDescent="0.25">
      <c r="A81" s="495"/>
      <c r="B81" s="182" t="s">
        <v>492</v>
      </c>
      <c r="C81" s="182"/>
      <c r="D81" s="66" t="s">
        <v>493</v>
      </c>
      <c r="E81" s="66" t="s">
        <v>188</v>
      </c>
      <c r="F81" s="66" t="s">
        <v>501</v>
      </c>
      <c r="G81" s="66" t="s">
        <v>95</v>
      </c>
      <c r="H81" s="66" t="s">
        <v>23</v>
      </c>
      <c r="I81" s="66" t="s">
        <v>427</v>
      </c>
    </row>
    <row r="82" spans="1:10" s="168" customFormat="1" ht="46.5" customHeight="1" x14ac:dyDescent="0.25">
      <c r="A82" s="495"/>
      <c r="B82" s="182" t="s">
        <v>492</v>
      </c>
      <c r="C82" s="182"/>
      <c r="D82" s="66" t="s">
        <v>493</v>
      </c>
      <c r="E82" s="66" t="s">
        <v>188</v>
      </c>
      <c r="F82" s="66" t="s">
        <v>501</v>
      </c>
      <c r="G82" s="66" t="s">
        <v>61</v>
      </c>
      <c r="H82" s="66" t="s">
        <v>23</v>
      </c>
      <c r="I82" s="66" t="s">
        <v>821</v>
      </c>
    </row>
    <row r="83" spans="1:10" s="168" customFormat="1" ht="46.5" customHeight="1" x14ac:dyDescent="0.25">
      <c r="A83" s="495"/>
      <c r="B83" s="182" t="s">
        <v>492</v>
      </c>
      <c r="C83" s="182"/>
      <c r="D83" s="66" t="s">
        <v>493</v>
      </c>
      <c r="E83" s="66" t="s">
        <v>188</v>
      </c>
      <c r="F83" s="66" t="s">
        <v>501</v>
      </c>
      <c r="G83" s="66" t="s">
        <v>61</v>
      </c>
      <c r="H83" s="66" t="s">
        <v>470</v>
      </c>
      <c r="I83" s="66" t="s">
        <v>503</v>
      </c>
    </row>
    <row r="84" spans="1:10" s="168" customFormat="1" ht="46.5" customHeight="1" x14ac:dyDescent="0.25">
      <c r="A84" s="495"/>
      <c r="B84" s="182" t="s">
        <v>492</v>
      </c>
      <c r="C84" s="182"/>
      <c r="D84" s="66" t="s">
        <v>822</v>
      </c>
      <c r="E84" s="66" t="s">
        <v>192</v>
      </c>
      <c r="F84" s="66" t="s">
        <v>193</v>
      </c>
      <c r="G84" s="66" t="s">
        <v>39</v>
      </c>
      <c r="H84" s="66" t="s">
        <v>23</v>
      </c>
      <c r="I84" s="66" t="s">
        <v>506</v>
      </c>
    </row>
    <row r="85" spans="1:10" s="168" customFormat="1" ht="46.5" customHeight="1" x14ac:dyDescent="0.25">
      <c r="A85" s="495">
        <v>1</v>
      </c>
      <c r="B85" s="182" t="s">
        <v>492</v>
      </c>
      <c r="C85" s="182"/>
      <c r="D85" s="66" t="s">
        <v>504</v>
      </c>
      <c r="E85" s="66" t="s">
        <v>192</v>
      </c>
      <c r="F85" s="66" t="s">
        <v>193</v>
      </c>
      <c r="G85" s="66" t="s">
        <v>61</v>
      </c>
      <c r="H85" s="66" t="s">
        <v>23</v>
      </c>
      <c r="I85" s="66" t="s">
        <v>507</v>
      </c>
    </row>
    <row r="86" spans="1:10" s="168" customFormat="1" ht="46.5" customHeight="1" x14ac:dyDescent="0.25">
      <c r="A86" s="495"/>
      <c r="B86" s="182" t="s">
        <v>492</v>
      </c>
      <c r="C86" s="182"/>
      <c r="D86" s="66" t="s">
        <v>504</v>
      </c>
      <c r="E86" s="66" t="s">
        <v>192</v>
      </c>
      <c r="F86" s="66" t="s">
        <v>193</v>
      </c>
      <c r="G86" s="66" t="s">
        <v>61</v>
      </c>
      <c r="H86" s="66" t="s">
        <v>470</v>
      </c>
      <c r="I86" s="66" t="s">
        <v>508</v>
      </c>
    </row>
    <row r="87" spans="1:10" s="168" customFormat="1" ht="46.5" customHeight="1" x14ac:dyDescent="0.25">
      <c r="A87" s="495">
        <v>1</v>
      </c>
      <c r="B87" s="182" t="s">
        <v>492</v>
      </c>
      <c r="C87" s="182"/>
      <c r="D87" s="66" t="s">
        <v>504</v>
      </c>
      <c r="E87" s="66" t="s">
        <v>195</v>
      </c>
      <c r="F87" s="66" t="s">
        <v>196</v>
      </c>
      <c r="G87" s="66" t="s">
        <v>39</v>
      </c>
      <c r="H87" s="66" t="s">
        <v>23</v>
      </c>
      <c r="I87" s="66" t="s">
        <v>498</v>
      </c>
    </row>
    <row r="88" spans="1:10" s="168" customFormat="1" ht="46.5" customHeight="1" x14ac:dyDescent="0.25">
      <c r="A88" s="495"/>
      <c r="B88" s="182" t="s">
        <v>492</v>
      </c>
      <c r="C88" s="182"/>
      <c r="D88" s="66" t="s">
        <v>504</v>
      </c>
      <c r="E88" s="66" t="s">
        <v>195</v>
      </c>
      <c r="F88" s="66" t="s">
        <v>196</v>
      </c>
      <c r="G88" s="66" t="s">
        <v>61</v>
      </c>
      <c r="H88" s="66" t="s">
        <v>23</v>
      </c>
      <c r="I88" s="66" t="s">
        <v>823</v>
      </c>
    </row>
    <row r="89" spans="1:10" s="168" customFormat="1" ht="46.5" customHeight="1" x14ac:dyDescent="0.25">
      <c r="A89" s="495"/>
      <c r="B89" s="182" t="s">
        <v>492</v>
      </c>
      <c r="C89" s="182"/>
      <c r="D89" s="66" t="s">
        <v>504</v>
      </c>
      <c r="E89" s="66" t="s">
        <v>195</v>
      </c>
      <c r="F89" s="66" t="s">
        <v>196</v>
      </c>
      <c r="G89" s="66" t="s">
        <v>61</v>
      </c>
      <c r="H89" s="66" t="s">
        <v>470</v>
      </c>
      <c r="I89" s="66" t="s">
        <v>824</v>
      </c>
    </row>
    <row r="90" spans="1:10" s="168" customFormat="1" ht="46.5" customHeight="1" x14ac:dyDescent="0.25">
      <c r="A90" s="495">
        <v>1</v>
      </c>
      <c r="B90" s="312" t="s">
        <v>543</v>
      </c>
      <c r="C90" s="312"/>
      <c r="D90" s="312" t="s">
        <v>23</v>
      </c>
      <c r="E90" s="312" t="s">
        <v>199</v>
      </c>
      <c r="F90" s="168" t="s">
        <v>547</v>
      </c>
      <c r="G90" s="168" t="s">
        <v>180</v>
      </c>
      <c r="H90" s="168" t="s">
        <v>23</v>
      </c>
      <c r="I90" s="168" t="s">
        <v>433</v>
      </c>
      <c r="J90" s="168" t="s">
        <v>825</v>
      </c>
    </row>
    <row r="91" spans="1:10" s="168" customFormat="1" ht="135" customHeight="1" x14ac:dyDescent="0.25">
      <c r="A91" s="495"/>
      <c r="B91" s="312" t="s">
        <v>543</v>
      </c>
      <c r="C91" s="312"/>
      <c r="D91" s="312" t="s">
        <v>23</v>
      </c>
      <c r="E91" s="312" t="s">
        <v>199</v>
      </c>
      <c r="F91" s="168" t="s">
        <v>547</v>
      </c>
      <c r="G91" s="168" t="s">
        <v>39</v>
      </c>
      <c r="H91" s="168" t="s">
        <v>23</v>
      </c>
      <c r="I91" s="168" t="s">
        <v>826</v>
      </c>
    </row>
    <row r="92" spans="1:10" s="168" customFormat="1" ht="135" customHeight="1" x14ac:dyDescent="0.25">
      <c r="A92" s="313"/>
      <c r="B92" s="312" t="s">
        <v>543</v>
      </c>
      <c r="C92" s="312"/>
      <c r="D92" s="312" t="s">
        <v>23</v>
      </c>
      <c r="E92" s="312" t="s">
        <v>203</v>
      </c>
      <c r="F92" s="168" t="s">
        <v>827</v>
      </c>
      <c r="G92" s="168" t="s">
        <v>33</v>
      </c>
      <c r="H92" s="168" t="s">
        <v>23</v>
      </c>
      <c r="I92" s="168" t="s">
        <v>828</v>
      </c>
    </row>
    <row r="93" spans="1:10" s="168" customFormat="1" ht="87.75" customHeight="1" x14ac:dyDescent="0.25">
      <c r="A93" s="313"/>
      <c r="B93" s="312" t="s">
        <v>543</v>
      </c>
      <c r="C93" s="312"/>
      <c r="D93" s="312" t="s">
        <v>23</v>
      </c>
      <c r="E93" s="312" t="s">
        <v>203</v>
      </c>
      <c r="F93" s="168" t="s">
        <v>827</v>
      </c>
      <c r="G93" s="168" t="s">
        <v>39</v>
      </c>
      <c r="H93" s="168" t="s">
        <v>23</v>
      </c>
      <c r="I93" s="173" t="s">
        <v>829</v>
      </c>
    </row>
    <row r="94" spans="1:10" s="168" customFormat="1" ht="46.5" customHeight="1" x14ac:dyDescent="0.25">
      <c r="A94" s="495">
        <v>1</v>
      </c>
      <c r="B94" s="312" t="s">
        <v>543</v>
      </c>
      <c r="C94" s="312"/>
      <c r="D94" s="312" t="s">
        <v>23</v>
      </c>
      <c r="E94" s="312" t="s">
        <v>207</v>
      </c>
      <c r="F94" s="168" t="s">
        <v>830</v>
      </c>
      <c r="G94" s="168" t="s">
        <v>180</v>
      </c>
      <c r="H94" s="168" t="s">
        <v>23</v>
      </c>
      <c r="I94" s="168" t="s">
        <v>433</v>
      </c>
    </row>
    <row r="95" spans="1:10" s="168" customFormat="1" ht="112.5" customHeight="1" x14ac:dyDescent="0.25">
      <c r="A95" s="495"/>
      <c r="B95" s="312" t="s">
        <v>543</v>
      </c>
      <c r="C95" s="312"/>
      <c r="D95" s="312" t="s">
        <v>23</v>
      </c>
      <c r="E95" s="312" t="s">
        <v>207</v>
      </c>
      <c r="F95" s="168" t="s">
        <v>830</v>
      </c>
      <c r="G95" s="168" t="s">
        <v>39</v>
      </c>
      <c r="H95" s="168" t="s">
        <v>23</v>
      </c>
      <c r="I95" s="173" t="s">
        <v>831</v>
      </c>
    </row>
    <row r="96" spans="1:10" s="168" customFormat="1" ht="46.5" customHeight="1" x14ac:dyDescent="0.25">
      <c r="A96" s="495"/>
      <c r="B96" s="312" t="s">
        <v>543</v>
      </c>
      <c r="C96" s="312"/>
      <c r="D96" s="312" t="s">
        <v>23</v>
      </c>
      <c r="E96" s="312" t="s">
        <v>544</v>
      </c>
      <c r="F96" s="168" t="s">
        <v>832</v>
      </c>
      <c r="G96" s="168" t="s">
        <v>33</v>
      </c>
      <c r="H96" s="168" t="s">
        <v>54</v>
      </c>
      <c r="I96" s="168" t="s">
        <v>439</v>
      </c>
    </row>
    <row r="97" spans="1:10" s="168" customFormat="1" ht="112.5" customHeight="1" x14ac:dyDescent="0.25">
      <c r="A97" s="495"/>
      <c r="B97" s="312" t="s">
        <v>543</v>
      </c>
      <c r="C97" s="312"/>
      <c r="D97" s="312"/>
      <c r="E97" s="312" t="s">
        <v>544</v>
      </c>
      <c r="F97" s="168" t="s">
        <v>832</v>
      </c>
      <c r="G97" s="168" t="s">
        <v>39</v>
      </c>
      <c r="H97" s="168" t="s">
        <v>54</v>
      </c>
      <c r="I97" s="173" t="s">
        <v>833</v>
      </c>
    </row>
    <row r="98" spans="1:10" s="66" customFormat="1" ht="24.95" customHeight="1" x14ac:dyDescent="0.25">
      <c r="A98" s="165"/>
      <c r="B98" s="166" t="s">
        <v>225</v>
      </c>
      <c r="C98" s="166"/>
      <c r="D98" s="166"/>
      <c r="E98" s="166"/>
      <c r="F98" s="165"/>
      <c r="G98" s="165"/>
      <c r="H98" s="165"/>
      <c r="I98" s="165"/>
      <c r="J98" s="72"/>
    </row>
    <row r="99" spans="1:10" s="68" customFormat="1" ht="87" customHeight="1" x14ac:dyDescent="0.25">
      <c r="A99" s="439"/>
      <c r="B99" s="494" t="s">
        <v>834</v>
      </c>
      <c r="C99" s="182"/>
      <c r="D99" s="312" t="s">
        <v>23</v>
      </c>
      <c r="E99" s="182" t="s">
        <v>835</v>
      </c>
      <c r="F99" s="76" t="s">
        <v>836</v>
      </c>
      <c r="G99" s="76" t="s">
        <v>837</v>
      </c>
      <c r="H99" s="76" t="s">
        <v>838</v>
      </c>
      <c r="I99" s="76" t="s">
        <v>839</v>
      </c>
      <c r="J99" s="66" t="s">
        <v>840</v>
      </c>
    </row>
    <row r="100" spans="1:10" s="68" customFormat="1" ht="60" customHeight="1" x14ac:dyDescent="0.25">
      <c r="A100" s="439"/>
      <c r="B100" s="494"/>
      <c r="C100" s="182"/>
      <c r="D100" s="312" t="s">
        <v>23</v>
      </c>
      <c r="E100" s="182"/>
      <c r="F100" s="76" t="s">
        <v>841</v>
      </c>
      <c r="G100" s="76" t="s">
        <v>837</v>
      </c>
      <c r="H100" s="76" t="s">
        <v>838</v>
      </c>
      <c r="I100" s="76" t="s">
        <v>842</v>
      </c>
      <c r="J100" s="66"/>
    </row>
    <row r="101" spans="1:10" s="68" customFormat="1" ht="48" customHeight="1" x14ac:dyDescent="0.25">
      <c r="A101" s="439"/>
      <c r="B101" s="494"/>
      <c r="C101" s="182"/>
      <c r="D101" s="312" t="s">
        <v>23</v>
      </c>
      <c r="E101" s="182" t="s">
        <v>843</v>
      </c>
      <c r="F101" s="66" t="s">
        <v>844</v>
      </c>
      <c r="G101" s="66" t="s">
        <v>837</v>
      </c>
      <c r="H101" s="66"/>
      <c r="I101" s="66" t="s">
        <v>845</v>
      </c>
      <c r="J101" s="66"/>
    </row>
    <row r="102" spans="1:10" s="68" customFormat="1" ht="48" customHeight="1" x14ac:dyDescent="0.25">
      <c r="A102" s="439">
        <v>1</v>
      </c>
      <c r="B102" s="182" t="s">
        <v>554</v>
      </c>
      <c r="C102" s="182"/>
      <c r="D102" s="182" t="s">
        <v>23</v>
      </c>
      <c r="E102" s="182" t="s">
        <v>17</v>
      </c>
      <c r="F102" s="69" t="s">
        <v>27</v>
      </c>
      <c r="G102" s="66" t="s">
        <v>19</v>
      </c>
      <c r="H102" s="314" t="s">
        <v>20</v>
      </c>
      <c r="I102" s="66" t="s">
        <v>433</v>
      </c>
      <c r="J102" s="66"/>
    </row>
    <row r="103" spans="1:10" ht="63.75" customHeight="1" x14ac:dyDescent="0.2">
      <c r="A103" s="439"/>
      <c r="B103" s="182" t="s">
        <v>554</v>
      </c>
      <c r="C103" s="182"/>
      <c r="D103" s="182" t="s">
        <v>23</v>
      </c>
      <c r="E103" s="182" t="s">
        <v>17</v>
      </c>
      <c r="F103" s="69" t="s">
        <v>27</v>
      </c>
      <c r="G103" s="69" t="s">
        <v>22</v>
      </c>
      <c r="H103" s="137" t="s">
        <v>23</v>
      </c>
      <c r="I103" s="69" t="s">
        <v>555</v>
      </c>
      <c r="J103" s="175"/>
    </row>
    <row r="104" spans="1:10" s="176" customFormat="1" ht="60" customHeight="1" x14ac:dyDescent="0.25">
      <c r="A104" s="497">
        <v>2</v>
      </c>
      <c r="B104" s="182" t="s">
        <v>554</v>
      </c>
      <c r="C104" s="182"/>
      <c r="D104" s="176" t="s">
        <v>576</v>
      </c>
      <c r="E104" s="176" t="s">
        <v>588</v>
      </c>
      <c r="F104" s="176" t="s">
        <v>589</v>
      </c>
      <c r="G104" s="176" t="s">
        <v>39</v>
      </c>
      <c r="H104" s="176" t="s">
        <v>23</v>
      </c>
      <c r="I104" s="177" t="s">
        <v>427</v>
      </c>
    </row>
    <row r="105" spans="1:10" s="176" customFormat="1" ht="60" customHeight="1" x14ac:dyDescent="0.25">
      <c r="A105" s="497"/>
      <c r="B105" s="182" t="s">
        <v>554</v>
      </c>
      <c r="C105" s="182"/>
      <c r="D105" s="176" t="s">
        <v>576</v>
      </c>
      <c r="E105" s="176" t="s">
        <v>588</v>
      </c>
      <c r="F105" s="176" t="s">
        <v>589</v>
      </c>
      <c r="G105" s="176" t="s">
        <v>61</v>
      </c>
      <c r="H105" s="176" t="s">
        <v>23</v>
      </c>
      <c r="I105" s="177" t="s">
        <v>590</v>
      </c>
    </row>
    <row r="106" spans="1:10" s="68" customFormat="1" ht="57.75" customHeight="1" x14ac:dyDescent="0.25">
      <c r="A106" s="439">
        <v>1</v>
      </c>
      <c r="B106" s="182" t="s">
        <v>846</v>
      </c>
      <c r="C106" s="182"/>
      <c r="D106" s="182" t="s">
        <v>847</v>
      </c>
      <c r="E106" s="182" t="s">
        <v>227</v>
      </c>
      <c r="F106" s="69" t="s">
        <v>848</v>
      </c>
      <c r="G106" s="69" t="s">
        <v>33</v>
      </c>
      <c r="H106" s="69"/>
      <c r="I106" s="69" t="s">
        <v>229</v>
      </c>
      <c r="J106" s="152" t="s">
        <v>563</v>
      </c>
    </row>
    <row r="107" spans="1:10" s="68" customFormat="1" ht="57.75" customHeight="1" x14ac:dyDescent="0.25">
      <c r="A107" s="439"/>
      <c r="B107" s="182" t="s">
        <v>846</v>
      </c>
      <c r="C107" s="182"/>
      <c r="D107" s="182" t="s">
        <v>847</v>
      </c>
      <c r="E107" s="182" t="s">
        <v>227</v>
      </c>
      <c r="F107" s="69" t="s">
        <v>848</v>
      </c>
      <c r="G107" s="69" t="s">
        <v>19</v>
      </c>
      <c r="H107" s="69"/>
      <c r="I107" s="69" t="s">
        <v>849</v>
      </c>
      <c r="J107" s="152"/>
    </row>
    <row r="108" spans="1:10" ht="81.75" customHeight="1" x14ac:dyDescent="0.2">
      <c r="A108" s="439">
        <v>2</v>
      </c>
      <c r="B108" s="182" t="s">
        <v>846</v>
      </c>
      <c r="C108" s="182"/>
      <c r="D108" s="182" t="s">
        <v>847</v>
      </c>
      <c r="E108" s="182" t="s">
        <v>227</v>
      </c>
      <c r="F108" s="69" t="s">
        <v>564</v>
      </c>
      <c r="G108" s="69" t="s">
        <v>33</v>
      </c>
      <c r="H108" s="69"/>
      <c r="I108" s="69" t="s">
        <v>850</v>
      </c>
      <c r="J108" s="152" t="s">
        <v>563</v>
      </c>
    </row>
    <row r="109" spans="1:10" ht="81.75" customHeight="1" x14ac:dyDescent="0.2">
      <c r="A109" s="439"/>
      <c r="B109" s="182" t="s">
        <v>846</v>
      </c>
      <c r="C109" s="182"/>
      <c r="D109" s="182" t="s">
        <v>847</v>
      </c>
      <c r="E109" s="182" t="s">
        <v>227</v>
      </c>
      <c r="F109" s="69" t="s">
        <v>564</v>
      </c>
      <c r="G109" s="69" t="s">
        <v>19</v>
      </c>
      <c r="H109" s="69"/>
      <c r="I109" s="69" t="s">
        <v>849</v>
      </c>
      <c r="J109" s="152"/>
    </row>
    <row r="110" spans="1:10" ht="81.75" customHeight="1" x14ac:dyDescent="0.2">
      <c r="A110" s="439">
        <v>3</v>
      </c>
      <c r="B110" s="182" t="s">
        <v>846</v>
      </c>
      <c r="C110" s="182"/>
      <c r="D110" s="182" t="s">
        <v>847</v>
      </c>
      <c r="E110" s="182" t="s">
        <v>227</v>
      </c>
      <c r="F110" s="66" t="s">
        <v>235</v>
      </c>
      <c r="G110" s="69" t="s">
        <v>39</v>
      </c>
      <c r="H110" s="69" t="s">
        <v>20</v>
      </c>
      <c r="I110" s="69" t="s">
        <v>433</v>
      </c>
      <c r="J110" s="152"/>
    </row>
    <row r="111" spans="1:10" ht="76.5" x14ac:dyDescent="0.2">
      <c r="A111" s="439"/>
      <c r="B111" s="182" t="s">
        <v>846</v>
      </c>
      <c r="C111" s="182"/>
      <c r="D111" s="182" t="s">
        <v>847</v>
      </c>
      <c r="E111" s="182" t="s">
        <v>227</v>
      </c>
      <c r="F111" s="66" t="s">
        <v>235</v>
      </c>
      <c r="G111" s="88" t="s">
        <v>33</v>
      </c>
      <c r="H111" s="84" t="s">
        <v>23</v>
      </c>
      <c r="I111" s="66" t="s">
        <v>236</v>
      </c>
    </row>
    <row r="112" spans="1:10" ht="97.5" customHeight="1" x14ac:dyDescent="0.2">
      <c r="A112" s="439">
        <v>4</v>
      </c>
      <c r="B112" s="182" t="s">
        <v>846</v>
      </c>
      <c r="C112" s="182"/>
      <c r="D112" s="182" t="s">
        <v>847</v>
      </c>
      <c r="E112" s="182" t="s">
        <v>227</v>
      </c>
      <c r="F112" s="66" t="s">
        <v>237</v>
      </c>
      <c r="G112" s="88" t="s">
        <v>33</v>
      </c>
      <c r="H112" s="84" t="s">
        <v>23</v>
      </c>
      <c r="I112" s="66" t="s">
        <v>238</v>
      </c>
    </row>
    <row r="113" spans="1:10" ht="97.5" customHeight="1" x14ac:dyDescent="0.2">
      <c r="A113" s="439"/>
      <c r="B113" s="182" t="s">
        <v>846</v>
      </c>
      <c r="C113" s="182"/>
      <c r="D113" s="182" t="s">
        <v>847</v>
      </c>
      <c r="E113" s="182" t="s">
        <v>227</v>
      </c>
      <c r="F113" s="66" t="s">
        <v>237</v>
      </c>
      <c r="G113" s="88" t="s">
        <v>19</v>
      </c>
      <c r="H113" s="84" t="s">
        <v>20</v>
      </c>
      <c r="I113" s="66" t="s">
        <v>851</v>
      </c>
    </row>
    <row r="114" spans="1:10" ht="102" x14ac:dyDescent="0.2">
      <c r="A114" s="439">
        <v>5</v>
      </c>
      <c r="B114" s="182" t="s">
        <v>846</v>
      </c>
      <c r="C114" s="182"/>
      <c r="D114" s="182" t="s">
        <v>852</v>
      </c>
      <c r="E114" s="182" t="s">
        <v>227</v>
      </c>
      <c r="F114" s="88" t="s">
        <v>853</v>
      </c>
      <c r="G114" s="88" t="s">
        <v>33</v>
      </c>
      <c r="H114" s="84" t="s">
        <v>23</v>
      </c>
      <c r="I114" s="88" t="s">
        <v>569</v>
      </c>
      <c r="J114" s="175" t="s">
        <v>854</v>
      </c>
    </row>
    <row r="115" spans="1:10" ht="38.25" x14ac:dyDescent="0.2">
      <c r="A115" s="439"/>
      <c r="B115" s="182" t="s">
        <v>846</v>
      </c>
      <c r="C115" s="182"/>
      <c r="D115" s="182" t="s">
        <v>852</v>
      </c>
      <c r="E115" s="182" t="s">
        <v>227</v>
      </c>
      <c r="F115" s="88" t="s">
        <v>853</v>
      </c>
      <c r="G115" s="88" t="s">
        <v>19</v>
      </c>
      <c r="H115" s="84" t="s">
        <v>23</v>
      </c>
      <c r="I115" s="88" t="s">
        <v>433</v>
      </c>
      <c r="J115" s="175"/>
    </row>
    <row r="116" spans="1:10" s="179" customFormat="1" ht="60" customHeight="1" x14ac:dyDescent="0.25">
      <c r="A116" s="499">
        <v>1</v>
      </c>
      <c r="B116" s="178" t="s">
        <v>855</v>
      </c>
      <c r="C116" s="178"/>
      <c r="D116" s="179" t="s">
        <v>23</v>
      </c>
      <c r="E116" s="179" t="s">
        <v>571</v>
      </c>
      <c r="F116" s="179" t="s">
        <v>572</v>
      </c>
      <c r="G116" s="179" t="s">
        <v>61</v>
      </c>
      <c r="H116" s="179" t="s">
        <v>23</v>
      </c>
      <c r="I116" s="180" t="s">
        <v>573</v>
      </c>
    </row>
    <row r="117" spans="1:10" s="179" customFormat="1" ht="60" customHeight="1" x14ac:dyDescent="0.25">
      <c r="A117" s="499"/>
      <c r="B117" s="178" t="s">
        <v>855</v>
      </c>
      <c r="C117" s="178"/>
      <c r="D117" s="179" t="s">
        <v>23</v>
      </c>
      <c r="E117" s="179" t="s">
        <v>571</v>
      </c>
      <c r="F117" s="179" t="s">
        <v>572</v>
      </c>
      <c r="G117" s="179" t="s">
        <v>39</v>
      </c>
      <c r="H117" s="179" t="s">
        <v>23</v>
      </c>
      <c r="I117" s="180" t="s">
        <v>574</v>
      </c>
    </row>
    <row r="118" spans="1:10" s="176" customFormat="1" ht="60" customHeight="1" x14ac:dyDescent="0.25">
      <c r="A118" s="497">
        <v>1</v>
      </c>
      <c r="B118" s="181" t="s">
        <v>856</v>
      </c>
      <c r="C118" s="181"/>
      <c r="D118" s="176" t="s">
        <v>576</v>
      </c>
      <c r="E118" s="176" t="s">
        <v>264</v>
      </c>
      <c r="F118" s="176" t="s">
        <v>577</v>
      </c>
      <c r="G118" s="176" t="s">
        <v>61</v>
      </c>
      <c r="H118" s="176" t="s">
        <v>23</v>
      </c>
      <c r="I118" s="177" t="s">
        <v>427</v>
      </c>
    </row>
    <row r="119" spans="1:10" s="176" customFormat="1" ht="60" customHeight="1" x14ac:dyDescent="0.25">
      <c r="A119" s="497"/>
      <c r="B119" s="181" t="s">
        <v>856</v>
      </c>
      <c r="C119" s="181"/>
      <c r="D119" s="176" t="s">
        <v>576</v>
      </c>
      <c r="E119" s="176" t="s">
        <v>264</v>
      </c>
      <c r="F119" s="176" t="s">
        <v>577</v>
      </c>
      <c r="G119" s="176" t="s">
        <v>39</v>
      </c>
      <c r="H119" s="176" t="s">
        <v>23</v>
      </c>
      <c r="I119" s="177" t="s">
        <v>267</v>
      </c>
    </row>
    <row r="120" spans="1:10" s="176" customFormat="1" ht="60" customHeight="1" x14ac:dyDescent="0.25">
      <c r="A120" s="497">
        <v>2</v>
      </c>
      <c r="B120" s="181" t="s">
        <v>856</v>
      </c>
      <c r="C120" s="181"/>
      <c r="D120" s="176" t="s">
        <v>578</v>
      </c>
      <c r="E120" s="176" t="s">
        <v>270</v>
      </c>
      <c r="F120" s="176" t="s">
        <v>579</v>
      </c>
      <c r="G120" s="176" t="s">
        <v>61</v>
      </c>
      <c r="H120" s="176" t="s">
        <v>23</v>
      </c>
      <c r="I120" s="177" t="s">
        <v>272</v>
      </c>
    </row>
    <row r="121" spans="1:10" s="176" customFormat="1" ht="60" customHeight="1" x14ac:dyDescent="0.25">
      <c r="A121" s="497"/>
      <c r="B121" s="181" t="s">
        <v>856</v>
      </c>
      <c r="C121" s="181"/>
      <c r="D121" s="176" t="s">
        <v>578</v>
      </c>
      <c r="E121" s="176" t="s">
        <v>270</v>
      </c>
      <c r="F121" s="176" t="s">
        <v>579</v>
      </c>
      <c r="G121" s="176" t="s">
        <v>39</v>
      </c>
      <c r="H121" s="176" t="s">
        <v>23</v>
      </c>
      <c r="I121" s="177" t="s">
        <v>427</v>
      </c>
    </row>
    <row r="122" spans="1:10" s="176" customFormat="1" ht="60" customHeight="1" x14ac:dyDescent="0.25">
      <c r="A122" s="497">
        <v>3</v>
      </c>
      <c r="B122" s="181" t="s">
        <v>856</v>
      </c>
      <c r="C122" s="181"/>
      <c r="D122" s="176" t="s">
        <v>580</v>
      </c>
      <c r="E122" s="176" t="s">
        <v>276</v>
      </c>
      <c r="F122" s="176" t="s">
        <v>581</v>
      </c>
      <c r="G122" s="176" t="s">
        <v>61</v>
      </c>
      <c r="H122" s="176" t="s">
        <v>23</v>
      </c>
      <c r="I122" s="177" t="s">
        <v>278</v>
      </c>
    </row>
    <row r="123" spans="1:10" s="176" customFormat="1" ht="60" customHeight="1" x14ac:dyDescent="0.25">
      <c r="A123" s="497"/>
      <c r="B123" s="181" t="s">
        <v>856</v>
      </c>
      <c r="C123" s="181"/>
      <c r="D123" s="176" t="s">
        <v>580</v>
      </c>
      <c r="E123" s="176" t="s">
        <v>276</v>
      </c>
      <c r="F123" s="176" t="s">
        <v>581</v>
      </c>
      <c r="G123" s="176" t="s">
        <v>39</v>
      </c>
      <c r="H123" s="176" t="s">
        <v>23</v>
      </c>
      <c r="I123" s="177" t="s">
        <v>280</v>
      </c>
    </row>
    <row r="124" spans="1:10" s="176" customFormat="1" ht="60" customHeight="1" x14ac:dyDescent="0.25">
      <c r="A124" s="497">
        <v>4</v>
      </c>
      <c r="B124" s="181" t="s">
        <v>856</v>
      </c>
      <c r="C124" s="181"/>
      <c r="D124" s="176" t="s">
        <v>582</v>
      </c>
      <c r="E124" s="176" t="s">
        <v>282</v>
      </c>
      <c r="F124" s="176" t="s">
        <v>583</v>
      </c>
      <c r="G124" s="176" t="s">
        <v>61</v>
      </c>
      <c r="H124" s="176" t="s">
        <v>23</v>
      </c>
      <c r="I124" s="177" t="s">
        <v>427</v>
      </c>
    </row>
    <row r="125" spans="1:10" s="176" customFormat="1" ht="60" customHeight="1" x14ac:dyDescent="0.25">
      <c r="A125" s="497"/>
      <c r="B125" s="181" t="s">
        <v>856</v>
      </c>
      <c r="C125" s="181"/>
      <c r="D125" s="176" t="s">
        <v>582</v>
      </c>
      <c r="E125" s="176" t="s">
        <v>282</v>
      </c>
      <c r="F125" s="176" t="s">
        <v>583</v>
      </c>
      <c r="G125" s="176" t="s">
        <v>39</v>
      </c>
      <c r="H125" s="176" t="s">
        <v>23</v>
      </c>
      <c r="I125" s="177" t="s">
        <v>286</v>
      </c>
    </row>
    <row r="126" spans="1:10" s="179" customFormat="1" ht="60" customHeight="1" x14ac:dyDescent="0.25">
      <c r="A126" s="499">
        <v>5</v>
      </c>
      <c r="B126" s="181" t="s">
        <v>856</v>
      </c>
      <c r="C126" s="181"/>
      <c r="D126" s="179" t="s">
        <v>584</v>
      </c>
      <c r="E126" s="179" t="s">
        <v>246</v>
      </c>
      <c r="F126" s="179" t="s">
        <v>585</v>
      </c>
      <c r="G126" s="179" t="s">
        <v>61</v>
      </c>
      <c r="H126" s="179" t="s">
        <v>23</v>
      </c>
      <c r="I126" s="180" t="s">
        <v>427</v>
      </c>
    </row>
    <row r="127" spans="1:10" s="179" customFormat="1" ht="60" customHeight="1" x14ac:dyDescent="0.25">
      <c r="A127" s="499"/>
      <c r="B127" s="181" t="s">
        <v>856</v>
      </c>
      <c r="C127" s="181"/>
      <c r="D127" s="179" t="s">
        <v>584</v>
      </c>
      <c r="E127" s="179" t="s">
        <v>246</v>
      </c>
      <c r="F127" s="179" t="s">
        <v>585</v>
      </c>
      <c r="G127" s="179" t="s">
        <v>39</v>
      </c>
      <c r="H127" s="179" t="s">
        <v>23</v>
      </c>
      <c r="I127" s="180" t="s">
        <v>586</v>
      </c>
    </row>
    <row r="128" spans="1:10" ht="38.25" x14ac:dyDescent="0.2">
      <c r="A128" s="498">
        <v>1</v>
      </c>
      <c r="B128" s="494" t="s">
        <v>287</v>
      </c>
      <c r="C128" s="182"/>
      <c r="D128" s="90" t="s">
        <v>23</v>
      </c>
      <c r="F128" s="182" t="s">
        <v>857</v>
      </c>
      <c r="G128" s="182" t="s">
        <v>39</v>
      </c>
      <c r="H128" s="84" t="s">
        <v>23</v>
      </c>
      <c r="I128" s="182" t="s">
        <v>593</v>
      </c>
    </row>
    <row r="129" spans="1:9" ht="38.25" x14ac:dyDescent="0.2">
      <c r="A129" s="498"/>
      <c r="B129" s="494"/>
      <c r="C129" s="182"/>
      <c r="D129" s="90" t="s">
        <v>23</v>
      </c>
      <c r="F129" s="182" t="s">
        <v>857</v>
      </c>
      <c r="G129" s="182" t="s">
        <v>22</v>
      </c>
      <c r="H129" s="84" t="s">
        <v>23</v>
      </c>
      <c r="I129" s="168" t="s">
        <v>433</v>
      </c>
    </row>
    <row r="130" spans="1:9" ht="38.25" x14ac:dyDescent="0.2">
      <c r="A130" s="498">
        <v>1</v>
      </c>
      <c r="B130" s="494"/>
      <c r="C130" s="182"/>
      <c r="D130" s="90" t="s">
        <v>23</v>
      </c>
      <c r="F130" s="182" t="s">
        <v>858</v>
      </c>
      <c r="G130" s="182" t="s">
        <v>39</v>
      </c>
      <c r="H130" s="84" t="s">
        <v>23</v>
      </c>
      <c r="I130" s="182" t="s">
        <v>859</v>
      </c>
    </row>
    <row r="131" spans="1:9" ht="38.25" x14ac:dyDescent="0.2">
      <c r="A131" s="498"/>
      <c r="B131" s="494"/>
      <c r="C131" s="182"/>
      <c r="D131" s="90" t="s">
        <v>23</v>
      </c>
      <c r="F131" s="182" t="s">
        <v>858</v>
      </c>
      <c r="G131" s="182" t="s">
        <v>22</v>
      </c>
      <c r="H131" s="84" t="s">
        <v>23</v>
      </c>
      <c r="I131" s="168" t="s">
        <v>433</v>
      </c>
    </row>
    <row r="132" spans="1:9" ht="63.75" x14ac:dyDescent="0.2">
      <c r="A132" s="498">
        <v>1</v>
      </c>
      <c r="B132" s="494"/>
      <c r="C132" s="182"/>
      <c r="D132" s="90" t="s">
        <v>23</v>
      </c>
      <c r="F132" s="182" t="s">
        <v>596</v>
      </c>
      <c r="G132" s="182" t="s">
        <v>39</v>
      </c>
      <c r="H132" s="84" t="s">
        <v>23</v>
      </c>
      <c r="I132" s="182" t="s">
        <v>597</v>
      </c>
    </row>
    <row r="133" spans="1:9" ht="25.5" x14ac:dyDescent="0.2">
      <c r="A133" s="498"/>
      <c r="B133" s="494"/>
      <c r="C133" s="182"/>
      <c r="D133" s="90" t="s">
        <v>23</v>
      </c>
      <c r="F133" s="182" t="s">
        <v>596</v>
      </c>
      <c r="G133" s="182" t="s">
        <v>22</v>
      </c>
      <c r="H133" s="84" t="s">
        <v>23</v>
      </c>
      <c r="I133" s="168" t="s">
        <v>433</v>
      </c>
    </row>
    <row r="134" spans="1:9" ht="38.25" x14ac:dyDescent="0.2">
      <c r="A134" s="498">
        <v>1</v>
      </c>
      <c r="B134" s="494"/>
      <c r="C134" s="182"/>
      <c r="D134" s="90" t="s">
        <v>23</v>
      </c>
      <c r="F134" s="182" t="s">
        <v>860</v>
      </c>
      <c r="G134" s="182" t="s">
        <v>39</v>
      </c>
      <c r="H134" s="84" t="s">
        <v>23</v>
      </c>
      <c r="I134" s="182" t="s">
        <v>296</v>
      </c>
    </row>
    <row r="135" spans="1:9" ht="38.25" x14ac:dyDescent="0.2">
      <c r="A135" s="498"/>
      <c r="B135" s="494"/>
      <c r="C135" s="182"/>
      <c r="D135" s="90" t="s">
        <v>23</v>
      </c>
      <c r="F135" s="182" t="s">
        <v>860</v>
      </c>
      <c r="G135" s="182" t="s">
        <v>22</v>
      </c>
      <c r="H135" s="84" t="s">
        <v>23</v>
      </c>
      <c r="I135" s="168" t="s">
        <v>433</v>
      </c>
    </row>
    <row r="136" spans="1:9" ht="25.5" x14ac:dyDescent="0.2">
      <c r="A136" s="498">
        <v>1</v>
      </c>
      <c r="B136" s="494"/>
      <c r="C136" s="182"/>
      <c r="D136" s="90" t="s">
        <v>23</v>
      </c>
      <c r="F136" s="182" t="s">
        <v>297</v>
      </c>
      <c r="G136" s="182" t="s">
        <v>39</v>
      </c>
      <c r="H136" s="84" t="s">
        <v>23</v>
      </c>
      <c r="I136" s="182" t="s">
        <v>298</v>
      </c>
    </row>
    <row r="137" spans="1:9" ht="25.5" x14ac:dyDescent="0.2">
      <c r="A137" s="498"/>
      <c r="B137" s="494"/>
      <c r="C137" s="182"/>
      <c r="D137" s="90" t="s">
        <v>23</v>
      </c>
      <c r="F137" s="182" t="s">
        <v>297</v>
      </c>
      <c r="G137" s="182" t="s">
        <v>22</v>
      </c>
      <c r="H137" s="84" t="s">
        <v>23</v>
      </c>
      <c r="I137" s="168" t="s">
        <v>433</v>
      </c>
    </row>
  </sheetData>
  <mergeCells count="58">
    <mergeCell ref="A16:A17"/>
    <mergeCell ref="A18:A19"/>
    <mergeCell ref="B25:B34"/>
    <mergeCell ref="A33:A34"/>
    <mergeCell ref="A31:A32"/>
    <mergeCell ref="A20:A21"/>
    <mergeCell ref="A22:A23"/>
    <mergeCell ref="B10:B23"/>
    <mergeCell ref="A134:A135"/>
    <mergeCell ref="A136:A137"/>
    <mergeCell ref="A128:A129"/>
    <mergeCell ref="B128:B137"/>
    <mergeCell ref="A114:A115"/>
    <mergeCell ref="A116:A117"/>
    <mergeCell ref="A118:A119"/>
    <mergeCell ref="A120:A121"/>
    <mergeCell ref="A122:A123"/>
    <mergeCell ref="A124:A125"/>
    <mergeCell ref="A126:A127"/>
    <mergeCell ref="A132:A133"/>
    <mergeCell ref="A130:A131"/>
    <mergeCell ref="A106:A107"/>
    <mergeCell ref="A108:A109"/>
    <mergeCell ref="A112:A113"/>
    <mergeCell ref="A58:A61"/>
    <mergeCell ref="A85:A86"/>
    <mergeCell ref="A87:A89"/>
    <mergeCell ref="A110:A111"/>
    <mergeCell ref="A79:A84"/>
    <mergeCell ref="A66:A69"/>
    <mergeCell ref="A70:A74"/>
    <mergeCell ref="A75:A78"/>
    <mergeCell ref="A99:A101"/>
    <mergeCell ref="A90:A91"/>
    <mergeCell ref="A94:A97"/>
    <mergeCell ref="A102:A103"/>
    <mergeCell ref="A104:A105"/>
    <mergeCell ref="A46:A47"/>
    <mergeCell ref="A37:A38"/>
    <mergeCell ref="A39:A40"/>
    <mergeCell ref="A43:A44"/>
    <mergeCell ref="A41:A42"/>
    <mergeCell ref="A3:A9"/>
    <mergeCell ref="B3:B9"/>
    <mergeCell ref="B99:B101"/>
    <mergeCell ref="F3:F9"/>
    <mergeCell ref="E3:E9"/>
    <mergeCell ref="A10:A11"/>
    <mergeCell ref="A48:A50"/>
    <mergeCell ref="A12:A13"/>
    <mergeCell ref="A14:A15"/>
    <mergeCell ref="A25:A26"/>
    <mergeCell ref="A27:A28"/>
    <mergeCell ref="A29:A30"/>
    <mergeCell ref="A51:A53"/>
    <mergeCell ref="A54:A57"/>
    <mergeCell ref="A35:A36"/>
    <mergeCell ref="A62:A65"/>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e73622c4-136b-4675-95da-e5d26a46cb91">
      <UserInfo>
        <DisplayName/>
        <AccountId xsi:nil="true"/>
        <AccountType/>
      </UserInfo>
    </SharedWithUsers>
    <MediaLengthInSeconds xmlns="d237e1cb-b423-4f78-bee9-d36b9b38daee" xsi:nil="true"/>
    <lcf76f155ced4ddcb4097134ff3c332f xmlns="d237e1cb-b423-4f78-bee9-d36b9b38daee">
      <Terms xmlns="http://schemas.microsoft.com/office/infopath/2007/PartnerControls"/>
    </lcf76f155ced4ddcb4097134ff3c332f>
    <TaxCatchAll xmlns="e73622c4-136b-4675-95da-e5d26a46cb91" xsi:nil="true"/>
    <_Flow_SignoffStatus xmlns="d237e1cb-b423-4f78-bee9-d36b9b38dae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7E0036CE6A3541B3AB760440CA990C" ma:contentTypeVersion="18" ma:contentTypeDescription="Create a new document." ma:contentTypeScope="" ma:versionID="cf06eb217b5315de2cccc0d10b652f1d">
  <xsd:schema xmlns:xsd="http://www.w3.org/2001/XMLSchema" xmlns:xs="http://www.w3.org/2001/XMLSchema" xmlns:p="http://schemas.microsoft.com/office/2006/metadata/properties" xmlns:ns2="e73622c4-136b-4675-95da-e5d26a46cb91" xmlns:ns3="d237e1cb-b423-4f78-bee9-d36b9b38daee" targetNamespace="http://schemas.microsoft.com/office/2006/metadata/properties" ma:root="true" ma:fieldsID="87214cc7aafd47132a27f04e54467e1c" ns2:_="" ns3:_="">
    <xsd:import namespace="e73622c4-136b-4675-95da-e5d26a46cb91"/>
    <xsd:import namespace="d237e1cb-b423-4f78-bee9-d36b9b38da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_Flow_SignoffStatu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622c4-136b-4675-95da-e5d26a46cb9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cf124d5-ef80-4202-9aa5-f4a130a4a7c4}" ma:internalName="TaxCatchAll" ma:showField="CatchAllData" ma:web="e73622c4-136b-4675-95da-e5d26a46cb9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37e1cb-b423-4f78-bee9-d36b9b38da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c7e46e6-79dd-420e-99dc-c75ba4a29b0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5F8A09-7D03-41F1-B065-BF36E9A7FD26}">
  <ds:schemaRefs>
    <ds:schemaRef ds:uri="http://schemas.microsoft.com/sharepoint/v3/contenttype/forms"/>
  </ds:schemaRefs>
</ds:datastoreItem>
</file>

<file path=customXml/itemProps2.xml><?xml version="1.0" encoding="utf-8"?>
<ds:datastoreItem xmlns:ds="http://schemas.openxmlformats.org/officeDocument/2006/customXml" ds:itemID="{1046363A-31CB-4B9D-82F4-AB498D35579D}">
  <ds:schemaRefs>
    <ds:schemaRef ds:uri="http://schemas.microsoft.com/office/2006/metadata/properties"/>
    <ds:schemaRef ds:uri="http://schemas.microsoft.com/office/infopath/2007/PartnerControls"/>
    <ds:schemaRef ds:uri="e73622c4-136b-4675-95da-e5d26a46cb91"/>
    <ds:schemaRef ds:uri="d237e1cb-b423-4f78-bee9-d36b9b38daee"/>
  </ds:schemaRefs>
</ds:datastoreItem>
</file>

<file path=customXml/itemProps3.xml><?xml version="1.0" encoding="utf-8"?>
<ds:datastoreItem xmlns:ds="http://schemas.openxmlformats.org/officeDocument/2006/customXml" ds:itemID="{40DDF4D3-92DB-4A13-9069-D5EDD14665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622c4-136b-4675-95da-e5d26a46cb91"/>
    <ds:schemaRef ds:uri="d237e1cb-b423-4f78-bee9-d36b9b38da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summary</vt:lpstr>
      <vt:lpstr>NEW integrated RA (S + L)</vt:lpstr>
      <vt:lpstr>Page de couverture</vt:lpstr>
      <vt:lpstr>Document d’orientation </vt:lpstr>
      <vt:lpstr>A&amp;A_Évaluation approfondie des </vt:lpstr>
      <vt:lpstr>Overview and guidance</vt:lpstr>
      <vt:lpstr>Indiv. cert. Risk Assessment</vt:lpstr>
      <vt:lpstr>Risk assessment l1</vt:lpstr>
      <vt:lpstr>Sheet2</vt:lpstr>
      <vt:lpstr>Group risk assessment L0</vt:lpstr>
      <vt:lpstr>'Page de couverture'!Print_Area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AgroLingua</dc:creator>
  <cp:keywords/>
  <dc:description/>
  <cp:lastModifiedBy>Felix Krussmann</cp:lastModifiedBy>
  <cp:revision/>
  <dcterms:created xsi:type="dcterms:W3CDTF">2018-12-05T13:53:38Z</dcterms:created>
  <dcterms:modified xsi:type="dcterms:W3CDTF">2023-05-09T09:50:28Z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0x0101008B7E0036CE6A3541B3AB760440CA990C</vt:lpwstr>
  </property>
  <property fmtid="{D5CDD505-2E9C-101B-9397-08002B2CF9AE}" pid="3" name="Order">
    <vt:r8>30757300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