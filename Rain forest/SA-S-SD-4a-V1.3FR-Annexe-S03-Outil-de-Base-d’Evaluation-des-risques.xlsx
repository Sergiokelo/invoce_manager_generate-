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https://raorg.sharepoint.com/sites/StandardsAssurance/Shared Documents/Standards Team/Felix/Annex S3 Jan 2023/SA-S-SD-4-V1.3FR-Annexe-S03-Outil-d’évaluation-des-risques/"/>
    </mc:Choice>
  </mc:AlternateContent>
  <xr:revisionPtr revIDLastSave="271" documentId="8_{4C830BF4-CB87-41ED-8E68-49ECB5C7DCE8}" xr6:coauthVersionLast="47" xr6:coauthVersionMax="47" xr10:uidLastSave="{2B92127D-5434-47A0-8DE0-2470D1D4FA4F}"/>
  <bookViews>
    <workbookView xWindow="2685" yWindow="2685" windowWidth="38010" windowHeight="15885" tabRatio="714" firstSheet="2" activeTab="2" xr2:uid="{C532CD66-7872-4201-8FF2-174FE478527C}"/>
  </bookViews>
  <sheets>
    <sheet name="summary" sheetId="13" state="hidden" r:id="rId1"/>
    <sheet name="NEW integrated RA (S + L)" sheetId="24" state="hidden" r:id="rId2"/>
    <sheet name="Page de couverture" sheetId="53" r:id="rId3"/>
    <sheet name="Outil d’orientation pour l’éval" sheetId="50" r:id="rId4"/>
    <sheet name="Overview and guidance" sheetId="15" state="hidden" r:id="rId5"/>
    <sheet name="Indiv. cert. Risk Assessment" sheetId="21" state="hidden" r:id="rId6"/>
    <sheet name="Risk assessment l1" sheetId="20" state="hidden" r:id="rId7"/>
    <sheet name="Sheet2" sheetId="2" state="hidden" r:id="rId8"/>
    <sheet name="Group risk assessment L0" sheetId="1" state="hidden" r:id="rId9"/>
    <sheet name="Tableau de bord" sheetId="31" r:id="rId10"/>
    <sheet name="Basic Risk Assessment DATASHEET" sheetId="30" state="hidden" r:id="rId11"/>
    <sheet name="Chaîne d’approvisionnement _Doc" sheetId="51" r:id="rId12"/>
    <sheet name="Évaluation des risques de chaîn" sheetId="52" r:id="rId13"/>
    <sheet name="terms" sheetId="48" state="hidden" r:id="rId14"/>
  </sheets>
  <definedNames>
    <definedName name="_xlnm._FilterDatabase" localSheetId="10" hidden="1">'Basic Risk Assessment DATASHEET'!$A$1:$K$129</definedName>
    <definedName name="_xlnm._FilterDatabase" localSheetId="1" hidden="1">'NEW integrated RA (S + L)'!$A$2:$J$147</definedName>
    <definedName name="_xlnm.Print_Area" localSheetId="2">'Page de couverture'!$A$1:$M$31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1" i="30" l="1"/>
  <c r="F131" i="30"/>
  <c r="J130" i="30"/>
  <c r="F130" i="30"/>
  <c r="J129" i="30"/>
  <c r="F129" i="30"/>
  <c r="J128" i="30"/>
  <c r="F128" i="30"/>
  <c r="J127" i="30"/>
  <c r="F127" i="30"/>
  <c r="J126" i="30"/>
  <c r="F126" i="30"/>
  <c r="J125" i="30"/>
  <c r="F125" i="30"/>
  <c r="J124" i="30"/>
  <c r="F124" i="30"/>
  <c r="J123" i="30"/>
  <c r="F123" i="30"/>
  <c r="J122" i="30"/>
  <c r="F122" i="30"/>
  <c r="J121" i="30"/>
  <c r="F121" i="30"/>
  <c r="J120" i="30"/>
  <c r="F120" i="30"/>
  <c r="J119" i="30"/>
  <c r="F119" i="30"/>
  <c r="J118" i="30"/>
  <c r="F118" i="30"/>
  <c r="J117" i="30"/>
  <c r="F117" i="30"/>
  <c r="J116" i="30"/>
  <c r="F116" i="30"/>
  <c r="J115" i="30"/>
  <c r="F115" i="30"/>
  <c r="J114" i="30"/>
  <c r="F114" i="30"/>
  <c r="J113" i="30"/>
  <c r="F113" i="30"/>
  <c r="J112" i="30"/>
  <c r="F112" i="30"/>
  <c r="J111" i="30"/>
  <c r="F111" i="30"/>
  <c r="J110" i="30"/>
  <c r="F110" i="30"/>
  <c r="J109" i="30"/>
  <c r="F109" i="30"/>
  <c r="J108" i="30"/>
  <c r="F108" i="30"/>
  <c r="J107" i="30"/>
  <c r="F107" i="30"/>
  <c r="J106" i="30"/>
  <c r="F106" i="30"/>
  <c r="J105" i="30"/>
  <c r="F105" i="30"/>
  <c r="J104" i="30"/>
  <c r="F104" i="30"/>
  <c r="J103" i="30"/>
  <c r="F103" i="30"/>
  <c r="J102" i="30"/>
  <c r="F102" i="30"/>
  <c r="J101" i="30"/>
  <c r="F101" i="30"/>
  <c r="J100" i="30"/>
  <c r="F100" i="30"/>
  <c r="J99" i="30"/>
  <c r="F99" i="30"/>
  <c r="J98" i="30"/>
  <c r="F98" i="30"/>
  <c r="J97" i="30"/>
  <c r="F97" i="30"/>
  <c r="J96" i="30"/>
  <c r="F96" i="30"/>
  <c r="J95" i="30"/>
  <c r="F95" i="30"/>
  <c r="J94" i="30"/>
  <c r="F94" i="30"/>
  <c r="J93" i="30"/>
  <c r="F93" i="30"/>
  <c r="J92" i="30"/>
  <c r="F92" i="30"/>
  <c r="J91" i="30"/>
  <c r="F91" i="30"/>
  <c r="J90" i="30"/>
  <c r="F90" i="30"/>
  <c r="J89" i="30"/>
  <c r="F89" i="30"/>
  <c r="J88" i="30"/>
  <c r="F88" i="30"/>
  <c r="J87" i="30"/>
  <c r="F87" i="30"/>
  <c r="J86" i="30"/>
  <c r="F86" i="30"/>
  <c r="J85" i="30"/>
  <c r="F85" i="30"/>
  <c r="J84" i="30"/>
  <c r="F84" i="30"/>
  <c r="J83" i="30"/>
  <c r="F83" i="30"/>
  <c r="J82" i="30"/>
  <c r="F82" i="30"/>
  <c r="J81" i="30"/>
  <c r="F81" i="30"/>
  <c r="J80" i="30"/>
  <c r="F80" i="30"/>
  <c r="J79" i="30"/>
  <c r="F79" i="30"/>
  <c r="J78" i="30"/>
  <c r="F78" i="30"/>
  <c r="J77" i="30"/>
  <c r="F77" i="30"/>
  <c r="J76" i="30"/>
  <c r="F76" i="30"/>
  <c r="J75" i="30"/>
  <c r="F75" i="30"/>
  <c r="J74" i="30"/>
  <c r="F74" i="30"/>
  <c r="J73" i="30"/>
  <c r="F73" i="30"/>
  <c r="J72" i="30"/>
  <c r="F72" i="30"/>
  <c r="J71" i="30"/>
  <c r="F71" i="30"/>
  <c r="J70" i="30"/>
  <c r="F70" i="30"/>
  <c r="J69" i="30"/>
  <c r="F69" i="30"/>
  <c r="J68" i="30"/>
  <c r="F68" i="30"/>
  <c r="J67" i="30"/>
  <c r="F67" i="30"/>
  <c r="J66" i="30"/>
  <c r="F66" i="30"/>
  <c r="J65" i="30"/>
  <c r="F65" i="30"/>
  <c r="J64" i="30"/>
  <c r="F64" i="30"/>
  <c r="J63" i="30"/>
  <c r="F63" i="30"/>
  <c r="J62" i="30"/>
  <c r="F62" i="30"/>
  <c r="J61" i="30"/>
  <c r="F61" i="30"/>
  <c r="J60" i="30"/>
  <c r="F60" i="30"/>
  <c r="J59" i="30"/>
  <c r="F59" i="30"/>
  <c r="J58" i="30"/>
  <c r="F58" i="30"/>
  <c r="J57" i="30"/>
  <c r="F57" i="30"/>
  <c r="J56" i="30"/>
  <c r="F56" i="30"/>
  <c r="J55" i="30"/>
  <c r="F55" i="30"/>
  <c r="J54" i="30"/>
  <c r="F54" i="30"/>
  <c r="J53" i="30"/>
  <c r="F53" i="30"/>
  <c r="J52" i="30"/>
  <c r="F52" i="30"/>
  <c r="J51" i="30"/>
  <c r="F51" i="30"/>
  <c r="J50" i="30"/>
  <c r="F50" i="30"/>
  <c r="J49" i="30"/>
  <c r="F49" i="30"/>
  <c r="J48" i="30"/>
  <c r="F48" i="30"/>
  <c r="J47" i="30"/>
  <c r="F47" i="30"/>
  <c r="J46" i="30"/>
  <c r="F46" i="30"/>
  <c r="J45" i="30"/>
  <c r="F45" i="30"/>
  <c r="J44" i="30"/>
  <c r="F44" i="30"/>
  <c r="J43" i="30"/>
  <c r="F43" i="30"/>
  <c r="J42" i="30"/>
  <c r="F42" i="30"/>
  <c r="J41" i="30"/>
  <c r="F41" i="30"/>
  <c r="J40" i="30"/>
  <c r="F40" i="30"/>
  <c r="J39" i="30"/>
  <c r="F39" i="30"/>
  <c r="J38" i="30"/>
  <c r="F38" i="30"/>
  <c r="J37" i="30"/>
  <c r="F37" i="30"/>
  <c r="J36" i="30"/>
  <c r="F36" i="30"/>
  <c r="J35" i="30"/>
  <c r="F35" i="30"/>
  <c r="J34" i="30"/>
  <c r="F34" i="30"/>
  <c r="J33" i="30"/>
  <c r="F33" i="30"/>
  <c r="J32" i="30"/>
  <c r="F32" i="30"/>
  <c r="J31" i="30"/>
  <c r="F31" i="30"/>
  <c r="J30" i="30"/>
  <c r="F30" i="30"/>
  <c r="J29" i="30"/>
  <c r="F29" i="30"/>
  <c r="J28" i="30"/>
  <c r="F28" i="30"/>
  <c r="J27" i="30"/>
  <c r="F27" i="30"/>
  <c r="J26" i="30"/>
  <c r="F26" i="30"/>
  <c r="J25" i="30"/>
  <c r="F25" i="30"/>
  <c r="J24" i="30"/>
  <c r="F24" i="30"/>
  <c r="J23" i="30"/>
  <c r="F23" i="30"/>
  <c r="J22" i="30"/>
  <c r="F22" i="30"/>
  <c r="J21" i="30"/>
  <c r="F21" i="30"/>
  <c r="J20" i="30"/>
  <c r="F20" i="30"/>
  <c r="J19" i="30"/>
  <c r="F19" i="30"/>
  <c r="J18" i="30"/>
  <c r="F18" i="30"/>
  <c r="J17" i="30"/>
  <c r="F17" i="30"/>
  <c r="J16" i="30"/>
  <c r="F16" i="30"/>
  <c r="J15" i="30"/>
  <c r="F15" i="30"/>
  <c r="J14" i="30"/>
  <c r="F14" i="30"/>
  <c r="J13" i="30"/>
  <c r="F13" i="30"/>
  <c r="J12" i="30"/>
  <c r="F12" i="30"/>
  <c r="J11" i="30"/>
  <c r="F11" i="30"/>
  <c r="J10" i="30"/>
  <c r="F10" i="30"/>
  <c r="J9" i="30"/>
  <c r="F9" i="30"/>
  <c r="J8" i="30"/>
  <c r="F8" i="30"/>
  <c r="J7" i="30"/>
  <c r="F7" i="30"/>
  <c r="J6" i="30"/>
  <c r="F6" i="30"/>
  <c r="J5" i="30"/>
  <c r="F5" i="30"/>
  <c r="J4" i="30"/>
  <c r="F4" i="30"/>
  <c r="J3" i="30"/>
  <c r="F3" i="30"/>
  <c r="G133" i="31" l="1"/>
  <c r="C5" i="31" l="1"/>
  <c r="G44" i="31" l="1"/>
  <c r="E131" i="31"/>
  <c r="E132" i="31"/>
  <c r="G132" i="31" s="1"/>
  <c r="E130" i="31"/>
  <c r="G130" i="31" s="1"/>
  <c r="E134" i="31"/>
  <c r="E113" i="31"/>
  <c r="G113" i="31" s="1"/>
  <c r="E114" i="31"/>
  <c r="G114" i="31" s="1"/>
  <c r="E115" i="31"/>
  <c r="G115" i="31" s="1"/>
  <c r="E116" i="31"/>
  <c r="G116" i="31" s="1"/>
  <c r="E117" i="31"/>
  <c r="G117" i="31" s="1"/>
  <c r="E118" i="31"/>
  <c r="G118" i="31" s="1"/>
  <c r="E119" i="31"/>
  <c r="G119" i="31" s="1"/>
  <c r="E120" i="31"/>
  <c r="G120" i="31" s="1"/>
  <c r="E121" i="31"/>
  <c r="G121" i="31" s="1"/>
  <c r="E122" i="31"/>
  <c r="G122" i="31" s="1"/>
  <c r="E123" i="31"/>
  <c r="G123" i="31" s="1"/>
  <c r="E124" i="31"/>
  <c r="G124" i="31" s="1"/>
  <c r="E125" i="31"/>
  <c r="G125" i="31" s="1"/>
  <c r="E126" i="31"/>
  <c r="G126" i="31" s="1"/>
  <c r="E127" i="31"/>
  <c r="G127" i="31" s="1"/>
  <c r="E128" i="31"/>
  <c r="G128" i="31" s="1"/>
  <c r="E129" i="31"/>
  <c r="G129" i="31" s="1"/>
  <c r="E112" i="31"/>
  <c r="G112" i="31" s="1"/>
  <c r="G131" i="31" l="1"/>
  <c r="G134" i="31" s="1"/>
  <c r="G98" i="31"/>
  <c r="G99" i="31"/>
  <c r="G100" i="31"/>
  <c r="G101" i="31"/>
  <c r="G102" i="31"/>
  <c r="G103" i="31"/>
  <c r="G104" i="31"/>
  <c r="G105" i="31"/>
  <c r="G106" i="31"/>
  <c r="G97" i="31"/>
  <c r="B127" i="31"/>
  <c r="B123" i="31"/>
  <c r="B120" i="31"/>
  <c r="G45" i="31" l="1"/>
  <c r="B4" i="31" l="1"/>
  <c r="H9" i="31"/>
  <c r="G9" i="31"/>
  <c r="F9" i="31"/>
  <c r="E9" i="31"/>
  <c r="D9" i="31"/>
  <c r="C9" i="31"/>
  <c r="B9" i="31"/>
  <c r="H12" i="31"/>
  <c r="G12" i="31"/>
  <c r="F12" i="31"/>
  <c r="E12" i="31"/>
  <c r="D12" i="31"/>
  <c r="C12" i="31"/>
  <c r="B12" i="31"/>
  <c r="H20" i="31"/>
  <c r="G20" i="31"/>
  <c r="F20" i="31"/>
  <c r="E20" i="31"/>
  <c r="D20" i="31"/>
  <c r="C20" i="31"/>
  <c r="B20" i="31"/>
  <c r="H28" i="31"/>
  <c r="G28" i="31"/>
  <c r="F28" i="31"/>
  <c r="E28" i="31"/>
  <c r="D28" i="31"/>
  <c r="C28" i="31"/>
  <c r="B28" i="31"/>
  <c r="H33" i="31"/>
  <c r="G33" i="31"/>
  <c r="F33" i="31"/>
  <c r="E33" i="31"/>
  <c r="D33" i="31"/>
  <c r="C33" i="31"/>
  <c r="B33" i="31"/>
  <c r="H41" i="31"/>
  <c r="G41" i="31"/>
  <c r="F41" i="31"/>
  <c r="E41" i="31"/>
  <c r="D41" i="31"/>
  <c r="C41" i="31"/>
  <c r="B41" i="31"/>
  <c r="H45" i="31"/>
  <c r="F45" i="31"/>
  <c r="E45" i="31"/>
  <c r="D45" i="31"/>
  <c r="C45" i="31"/>
  <c r="B45" i="31"/>
  <c r="H61" i="31"/>
  <c r="G61" i="31"/>
  <c r="F61" i="31"/>
  <c r="E61" i="31"/>
  <c r="D61" i="31"/>
  <c r="C61" i="31"/>
  <c r="B61" i="31"/>
  <c r="H69" i="31"/>
  <c r="G69" i="31"/>
  <c r="F69" i="31"/>
  <c r="E69" i="31"/>
  <c r="D69" i="31"/>
  <c r="C69" i="31"/>
  <c r="B69" i="31"/>
  <c r="H75" i="31"/>
  <c r="G75" i="31"/>
  <c r="F75" i="31"/>
  <c r="E75" i="31"/>
  <c r="D75" i="31"/>
  <c r="C75" i="31"/>
  <c r="B75" i="31"/>
  <c r="H82" i="31"/>
  <c r="G82" i="31"/>
  <c r="F82" i="31"/>
  <c r="E82" i="31"/>
  <c r="D82" i="31"/>
  <c r="C82" i="31"/>
  <c r="B82" i="31"/>
  <c r="H90" i="31"/>
  <c r="G90" i="31"/>
  <c r="F90" i="31"/>
  <c r="B90" i="31"/>
  <c r="E90" i="31"/>
  <c r="D90" i="31"/>
  <c r="C90" i="31"/>
  <c r="H96" i="31"/>
  <c r="G96" i="31"/>
  <c r="E96" i="31"/>
  <c r="D96" i="31"/>
  <c r="C96" i="31"/>
  <c r="B96" i="31"/>
  <c r="H115" i="31"/>
  <c r="B73" i="31" s="1"/>
  <c r="H114" i="31"/>
  <c r="B39" i="31" s="1"/>
  <c r="H113" i="31"/>
  <c r="B26" i="31" s="1"/>
  <c r="B2" i="31"/>
  <c r="B115" i="31"/>
  <c r="B114" i="31"/>
  <c r="B113" i="31"/>
  <c r="B128" i="31"/>
  <c r="B126" i="31"/>
  <c r="B125" i="31"/>
  <c r="B124" i="31"/>
  <c r="B122" i="31"/>
  <c r="B121" i="31"/>
  <c r="B119" i="31"/>
  <c r="B118" i="31"/>
  <c r="H112" i="31"/>
  <c r="B7" i="31" s="1"/>
  <c r="C94" i="31" l="1"/>
  <c r="C93" i="31"/>
  <c r="C92" i="31"/>
  <c r="C91" i="31"/>
  <c r="C88" i="31"/>
  <c r="C87" i="31"/>
  <c r="C86" i="31"/>
  <c r="C85" i="31"/>
  <c r="C84" i="31"/>
  <c r="C83" i="31"/>
  <c r="C80" i="31"/>
  <c r="C79" i="31"/>
  <c r="C78" i="31"/>
  <c r="C77" i="31"/>
  <c r="C76" i="31"/>
  <c r="B91" i="31"/>
  <c r="B83" i="31"/>
  <c r="E83" i="31" s="1"/>
  <c r="B76" i="31"/>
  <c r="B70" i="31"/>
  <c r="B62" i="31"/>
  <c r="B46" i="31"/>
  <c r="B42" i="31"/>
  <c r="B34" i="31"/>
  <c r="E34" i="31" s="1"/>
  <c r="B10" i="31"/>
  <c r="B13" i="31"/>
  <c r="B21" i="31"/>
  <c r="C70" i="31"/>
  <c r="C66" i="31"/>
  <c r="C65" i="31"/>
  <c r="C64" i="31"/>
  <c r="C63" i="31"/>
  <c r="C62" i="31"/>
  <c r="C59" i="31"/>
  <c r="C58" i="31"/>
  <c r="C57" i="31"/>
  <c r="C56" i="31"/>
  <c r="C55" i="31"/>
  <c r="C54" i="31"/>
  <c r="C53" i="31"/>
  <c r="C52" i="31"/>
  <c r="C51" i="31"/>
  <c r="C50" i="31"/>
  <c r="C49" i="31"/>
  <c r="C48" i="31"/>
  <c r="C47" i="31"/>
  <c r="C46" i="31"/>
  <c r="C42" i="31"/>
  <c r="C37" i="31"/>
  <c r="C36" i="31"/>
  <c r="C35" i="31"/>
  <c r="C34" i="31"/>
  <c r="C31" i="31"/>
  <c r="C30" i="31"/>
  <c r="C29" i="31"/>
  <c r="B29" i="31"/>
  <c r="C23" i="31"/>
  <c r="C22" i="31"/>
  <c r="C21" i="31"/>
  <c r="C10" i="31"/>
  <c r="C15" i="31"/>
  <c r="C16" i="31"/>
  <c r="C17" i="31"/>
  <c r="C14" i="31"/>
  <c r="C13" i="31"/>
  <c r="E94" i="31" l="1"/>
  <c r="G94" i="31" s="1"/>
  <c r="E92" i="31"/>
  <c r="G92" i="31" s="1"/>
  <c r="E93" i="31"/>
  <c r="G93" i="31" s="1"/>
  <c r="E91" i="31"/>
  <c r="G91" i="31" s="1"/>
  <c r="E85" i="31"/>
  <c r="G85" i="31" s="1"/>
  <c r="E86" i="31"/>
  <c r="G86" i="31" s="1"/>
  <c r="E87" i="31"/>
  <c r="G87" i="31" s="1"/>
  <c r="E88" i="31"/>
  <c r="G88" i="31" s="1"/>
  <c r="E84" i="31"/>
  <c r="G84" i="31" s="1"/>
  <c r="G83" i="31"/>
  <c r="E80" i="31"/>
  <c r="G80" i="31" s="1"/>
  <c r="E77" i="31"/>
  <c r="G77" i="31" s="1"/>
  <c r="E78" i="31"/>
  <c r="G78" i="31" s="1"/>
  <c r="E79" i="31"/>
  <c r="G79" i="31" s="1"/>
  <c r="E76" i="31"/>
  <c r="G76" i="31" s="1"/>
  <c r="E70" i="31"/>
  <c r="G70" i="31" s="1"/>
  <c r="E66" i="31"/>
  <c r="G66" i="31" s="1"/>
  <c r="E65" i="31"/>
  <c r="G65" i="31" s="1"/>
  <c r="E64" i="31"/>
  <c r="G64" i="31" s="1"/>
  <c r="E63" i="31"/>
  <c r="G63" i="31" s="1"/>
  <c r="E62" i="31"/>
  <c r="G62" i="31" s="1"/>
  <c r="E57" i="31"/>
  <c r="G57" i="31" s="1"/>
  <c r="E56" i="31"/>
  <c r="G56" i="31" s="1"/>
  <c r="E55" i="31"/>
  <c r="G55" i="31" s="1"/>
  <c r="E59" i="31"/>
  <c r="G59" i="31" s="1"/>
  <c r="E58" i="31"/>
  <c r="G58" i="31" s="1"/>
  <c r="E54" i="31"/>
  <c r="G54" i="31" s="1"/>
  <c r="E53" i="31"/>
  <c r="G53" i="31" s="1"/>
  <c r="E52" i="31"/>
  <c r="G52" i="31" s="1"/>
  <c r="E51" i="31"/>
  <c r="G51" i="31" s="1"/>
  <c r="E50" i="31"/>
  <c r="G50" i="31" s="1"/>
  <c r="E49" i="31"/>
  <c r="G49" i="31" s="1"/>
  <c r="E47" i="31"/>
  <c r="G47" i="31" s="1"/>
  <c r="E42" i="31"/>
  <c r="G42" i="31" s="1"/>
  <c r="E48" i="31"/>
  <c r="G48" i="31" s="1"/>
  <c r="E46" i="31"/>
  <c r="G46" i="31" s="1"/>
  <c r="E35" i="31"/>
  <c r="G35" i="31" s="1"/>
  <c r="E36" i="31"/>
  <c r="G36" i="31" s="1"/>
  <c r="E37" i="31"/>
  <c r="G37" i="31" s="1"/>
  <c r="G34" i="31"/>
  <c r="E30" i="31"/>
  <c r="G30" i="31" s="1"/>
  <c r="E31" i="31"/>
  <c r="G31" i="31" s="1"/>
  <c r="E29" i="31"/>
  <c r="G29" i="31" s="1"/>
  <c r="E22" i="31"/>
  <c r="E23" i="31"/>
  <c r="E21" i="31" l="1"/>
  <c r="E14" i="31"/>
  <c r="E15" i="31"/>
  <c r="E16" i="31"/>
  <c r="E17" i="31"/>
  <c r="E13" i="31"/>
  <c r="E10" i="31"/>
  <c r="G10" i="31" s="1"/>
  <c r="G14" i="31" l="1"/>
  <c r="G13" i="31"/>
  <c r="G15" i="31"/>
  <c r="G21" i="31"/>
  <c r="G16" i="31"/>
  <c r="G22" i="31"/>
  <c r="G17" i="31"/>
  <c r="G23" i="31"/>
  <c r="O64" i="20"/>
  <c r="P64" i="20" s="1"/>
  <c r="O61" i="20"/>
  <c r="P61" i="20" s="1"/>
  <c r="O57" i="20"/>
  <c r="P57" i="20" s="1"/>
  <c r="O45" i="20"/>
  <c r="P45" i="20" s="1"/>
  <c r="O43" i="20"/>
  <c r="P43" i="20"/>
  <c r="O38" i="20"/>
  <c r="P38" i="20" s="1"/>
  <c r="O32" i="20"/>
  <c r="P32" i="20" s="1"/>
  <c r="O18" i="20"/>
  <c r="P18" i="20" s="1"/>
  <c r="O16" i="20"/>
  <c r="P16" i="20" s="1"/>
  <c r="O10" i="20"/>
  <c r="P10" i="20" s="1"/>
  <c r="M7" i="20"/>
  <c r="P6" i="13"/>
  <c r="Q6" i="13" s="1"/>
  <c r="R6" i="13" s="1"/>
  <c r="P5" i="13"/>
  <c r="Q5" i="13" s="1"/>
  <c r="R5" i="13" s="1"/>
  <c r="K8" i="13"/>
  <c r="K6" i="13"/>
  <c r="K10" i="13"/>
  <c r="K11" i="13"/>
  <c r="K9" i="13"/>
  <c r="K7" i="13"/>
  <c r="K5" i="13"/>
  <c r="K4" i="13"/>
  <c r="K3" i="13"/>
  <c r="K2" i="13"/>
  <c r="P11" i="13"/>
  <c r="Q11" i="13" s="1"/>
  <c r="R11" i="13" s="1"/>
  <c r="P7" i="13"/>
  <c r="Q7" i="13" s="1"/>
  <c r="R7" i="13" s="1"/>
  <c r="P9" i="13"/>
  <c r="Q9" i="13" s="1"/>
  <c r="R9" i="13" s="1"/>
  <c r="P10" i="13"/>
  <c r="Q10" i="13" s="1"/>
  <c r="R10" i="13" s="1"/>
  <c r="P8" i="13"/>
  <c r="Q8" i="13" s="1"/>
  <c r="R8" i="13" s="1"/>
  <c r="P3" i="13"/>
  <c r="Q3" i="13" s="1"/>
  <c r="R3" i="13" s="1"/>
  <c r="P4" i="13"/>
  <c r="Q4" i="13" s="1"/>
  <c r="R4" i="13" s="1"/>
  <c r="P2" i="13"/>
  <c r="Q2" i="13" s="1"/>
  <c r="R2" i="13" s="1"/>
  <c r="P58" i="20" l="1"/>
  <c r="P19" i="20" s="1"/>
  <c r="P13" i="20" s="1"/>
  <c r="P8" i="20" s="1"/>
  <c r="P12" i="13"/>
  <c r="Q12" i="13" s="1"/>
  <c r="R1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tc={D77DCAB9-A0FF-4DCB-AA30-8E42EAEBFD83}</author>
    <author>tc={B1906721-8D61-4664-8B67-8D8FA813BAF1}</author>
  </authors>
  <commentList>
    <comment ref="D124" authorId="0" shapeId="0" xr:uid="{D77DCAB9-A0FF-4DCB-AA30-8E42EAEBFD83}">
      <text>
        <t xml:space="preserve">[Threaded comment]
Your version of Excel allows you to read this threaded comment; however, any edits to it will get removed if the file is opened in a newer version of Excel. Learn more: https://go.microsoft.com/fwlink/?linkid=870924
Comment:
    I think we should ask this for everyone - because it is likely that there are areas of natural ecosystems / natural vegetation cover that are not connected; to me this is one of the priorities where a lot could be gained, also looking at the question of Anneke "What are the priorities for groups". So I would delete the "other variable" here
</t>
      </text>
    </comment>
    <comment ref="F126" authorId="1" shapeId="0" xr:uid="{B1906721-8D61-4664-8B67-8D8FA813BAF1}">
      <text>
        <t xml:space="preserve">[Threaded comment]
Your version of Excel allows you to read this threaded comment; however, any edits to it will get removed if the file is opened in a newer version of Excel. Learn more: https://go.microsoft.com/fwlink/?linkid=870924
Comment:
    To me this is part of the overall plan to comply with 4.2.3; i.e. those natural ecosystems/vegetation that doesn't contain local species should move towards those and can then be counted as "natural vegetation".
But I am wondering now, whether we shouldn't make this question then more broad, and leading to all management actions to reach 4.2.3; for example, we could ask "Do you expect to have percentages of natural vegetation that are close to 10/15%"; and then we coudl give examples like "identify areas that you could restore" etc. But it would be a bit double with the 4.2.4 - But I am now wondering whether this wouldn't be the cleaner option. Rens, happy to talk about this if you want!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tc={20AD0091-992C-4E2A-9B8F-2790C5B54A87}</author>
  </authors>
  <commentList>
    <comment ref="I108" authorId="0" shapeId="0" xr:uid="{20AD0091-992C-4E2A-9B8F-2790C5B54A87}">
      <text>
        <t xml:space="preserve">[Threaded comment]
Your version of Excel allows you to read this threaded comment; however, any edits to it will get removed if the file is opened in a newer version of Excel. Learn more: https://go.microsoft.com/fwlink/?linkid=870924
Comment:
    All for now. But once the CC risk/impact screening has been automated and included only countries that fall into med or high risk categories need to fulfil these criteria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tc={D86FAB50-634A-4CDC-8C53-5B6E1B17CEE8}</author>
    <author>tc={5EE8AF6A-808A-4DED-AD6A-D677A866E58F}</author>
    <author>tc={6E9FE9EA-A14B-4934-808B-1A9E3C98243A}</author>
    <author>tc={DAB26FE6-4FDB-4EB8-B49D-D6C21318F750}</author>
    <author>tc={FD94C455-077A-4296-B815-6804B40ABE96}</author>
  </authors>
  <commentList>
    <comment ref="F66" authorId="0" shapeId="0" xr:uid="{D86FAB50-634A-4CDC-8C53-5B6E1B17CEE8}">
      <text>
        <t xml:space="preserve">[Threaded comment]
Your version of Excel allows you to read this threaded comment; however, any edits to it will get removed if the file is opened in a newer version of Excel. Learn more: https://go.microsoft.com/fwlink/?linkid=870924
Comment:
    Questions that need to be verified at the level of the group members should be included in the internal inspection tool, not in this risk assessment
</t>
      </text>
    </comment>
    <comment ref="I69" authorId="1" shapeId="0" xr:uid="{5EE8AF6A-808A-4DED-AD6A-D677A866E58F}">
      <text>
        <t>[Threaded comment]
Your version of Excel allows you to read this threaded comment; however, any edits to it will get removed if the file is opened in a newer version of Excel. Learn more: https://go.microsoft.com/fwlink/?linkid=870924
Comment:
    Group management does not have the list of under 18 aged group member workers or uner 18 family of group member workers. This could be potentially done in year 1 with under 18 children of group members.
Reply:
    meike totally agree - have changed</t>
      </text>
    </comment>
    <comment ref="F70" authorId="2" shapeId="0" xr:uid="{6E9FE9EA-A14B-4934-808B-1A9E3C98243A}">
      <text>
        <t xml:space="preserve">[Threaded comment]
Your version of Excel allows you to read this threaded comment; however, any edits to it will get removed if the file is opened in a newer version of Excel. Learn more: https://go.microsoft.com/fwlink/?linkid=870924
Comment:
    question for internal inspection
</t>
      </text>
    </comment>
    <comment ref="F92" authorId="3" shapeId="0" xr:uid="{DAB26FE6-4FDB-4EB8-B49D-D6C21318F750}">
      <text>
        <t xml:space="preserve">[Threaded comment]
Your version of Excel allows you to read this threaded comment; however, any edits to it will get removed if the file is opened in a newer version of Excel. Learn more: https://go.microsoft.com/fwlink/?linkid=870924
Comment:
    do we need to specify what is 'significant'?
</t>
      </text>
    </comment>
    <comment ref="H128" authorId="4" shapeId="0" xr:uid="{FD94C455-077A-4296-B815-6804B40ABE96}">
      <text>
        <t xml:space="preserve">[Threaded comment]
Your version of Excel allows you to read this threaded comment; however, any edits to it will get removed if the file is opened in a newer version of Excel. Learn more: https://go.microsoft.com/fwlink/?linkid=870924
Comment:
    All for now. But once the CC risk/impact screening has been automated and included only countries that fall into med or high risk categories need to fulfil these criteria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tc={731662C4-3BAE-4579-9757-A78E50AC4883}</author>
  </authors>
  <commentList>
    <comment ref="G5" authorId="0" shapeId="0" xr:uid="{731662C4-3BAE-4579-9757-A78E50AC4883}">
      <text>
        <t>[Threaded comment]
Your version of Excel allows you to read this threaded comment; however, any edits to it will get removed if the file is opened in a newer version of Excel. Learn more: https://go.microsoft.com/fwlink/?linkid=870924
Comment:
    FYI, it's the same as "question" in Chinese</t>
      </text>
    </comment>
  </commentList>
</comments>
</file>

<file path=xl/sharedStrings.xml><?xml version="1.0" encoding="utf-8"?>
<sst xmlns="http://schemas.openxmlformats.org/spreadsheetml/2006/main" count="4079" uniqueCount="1284">
  <si>
    <t>Score</t>
  </si>
  <si>
    <t>Level</t>
  </si>
  <si>
    <t>¬</t>
  </si>
  <si>
    <t>¬¬</t>
  </si>
  <si>
    <t>¬¬¬</t>
  </si>
  <si>
    <t>Question</t>
  </si>
  <si>
    <t>Requirements in standard</t>
  </si>
  <si>
    <t>Which CH type does this apply to?</t>
  </si>
  <si>
    <t>Other variables</t>
  </si>
  <si>
    <t>Issue</t>
  </si>
  <si>
    <t>Mitigation self-assessment – risk questions</t>
  </si>
  <si>
    <t>Answer parameter</t>
  </si>
  <si>
    <t xml:space="preserve">Country/sector  risk context applicability </t>
  </si>
  <si>
    <t xml:space="preserve">Mitigation actions to be included in the Management Plan </t>
  </si>
  <si>
    <t>Comments</t>
  </si>
  <si>
    <t>Management</t>
  </si>
  <si>
    <t>Group Certification</t>
  </si>
  <si>
    <t>Deforestation/ Native vegetation</t>
  </si>
  <si>
    <t>Do you expect production sites of group members to be shifting or expanding?</t>
  </si>
  <si>
    <t>no</t>
  </si>
  <si>
    <t xml:space="preserve">All </t>
  </si>
  <si>
    <t>No additional action needed</t>
  </si>
  <si>
    <t xml:space="preserve">Yes </t>
  </si>
  <si>
    <t>All</t>
  </si>
  <si>
    <t>Ensure that producers and workers know that natural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</si>
  <si>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AP: not sure if this question is needed - mitigation measures are basically implementing th standard on the new farm units. They will anyway have to implement the whole standard, not only the criteria related to native vegetation
RR: I think it is good to keep, to assess the risks of expanding to new areas</t>
  </si>
  <si>
    <t>Large</t>
  </si>
  <si>
    <t xml:space="preserve">Are production sites shifting or expanding? </t>
  </si>
  <si>
    <t>Ensure that workers know that natural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</si>
  <si>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AP: not sure if this question is needed - mitigation measures are basically implementing th standard on the new farm units. They will anyway have to implement the whole standard, not only the criteria related to native vegetation</t>
  </si>
  <si>
    <t>1.8 Traceability</t>
  </si>
  <si>
    <t>Intermediaries</t>
  </si>
  <si>
    <t>Do you/will you make use of intermediaries and/or subcontractors* in your supply chain?</t>
  </si>
  <si>
    <t>yes</t>
  </si>
  <si>
    <t>Set up a clear traceability flow, that includes the documented and physical traceability rules for all actors in your supply chain (farmers, subcontractors, intermediary, processing units, transport, collection centers, management etc.).
Train all actors on your traceability procedure. This includes the intermediaries and/or subcontractors.
Monitor traceability and record keeping at all actors.  
Monitoring intermediaries especially during the harvest period. For monitoring, verify calibration of scales and record keeping at intermediaries and cross-check with information of sales from a sample of producers.</t>
  </si>
  <si>
    <t xml:space="preserve">
Set up a clear traceability flow, that includes the documented and physical traceability rules for all actors in your supply chain (farmers, processing units, transport, collection centers, management etc.).
Train all actors on your traceability procedure.
Monitor traceability and record keeping at all actors.  
</t>
  </si>
  <si>
    <t>Subcontractors</t>
  </si>
  <si>
    <t>Do you/will you make use of subcontractors* in your supply chain?</t>
  </si>
  <si>
    <t xml:space="preserve">Set up a clear traceability flow, that includes the documented and physical traceability rules for all actors in your supply chain (processing units, transport, subcontractors, warehouse etc.).
Train all actors on your traceability procedure.
Monitor traceability and record keeping at all actors. For subcontractors, verifying if all subcontractors comply with the traceability procedure and all requirements in the standard that apply to them is part of the self-assessment.
</t>
  </si>
  <si>
    <t>No</t>
  </si>
  <si>
    <t xml:space="preserve">Set up a clear traceability flow, that includes the documented and physical traceability rules for all actors in your supply chain (processing units, transport, subcontractors, warehouse etc.).
Train all actors on your traceability procedure.
Monitor traceability and record keeping at all actors. </t>
  </si>
  <si>
    <t>Record keeping</t>
  </si>
  <si>
    <t>Do you expect farmers to have difficulties keeping (traceability) records?</t>
  </si>
  <si>
    <t>Include administrion/keeping of receipts in training plan.
The group supports the farmer to keep the receipts at the same place (ex: plastic folder)
Put up signs to encourage farmers to keep receipts
Monitor keeping of receipts</t>
  </si>
  <si>
    <t>AP: Do we mean records or receipts that they receive from the buying station/group? In the standard, farmers are not requested to keep records so not sure if 'record books' is needed.
If receipt, then 
- the group needs to find a system for the farmer to keep them at the same place (ex: plastic folder)
- remove the term 'record' to align with the standard and avoid confusion
Changed</t>
  </si>
  <si>
    <t>Product separation</t>
  </si>
  <si>
    <t>Do you/will you only handle RA certified product and only buy from RA certified producers?</t>
  </si>
  <si>
    <t>No further actions needed (apart from actions on compliance with the standard)</t>
  </si>
  <si>
    <t>Implement a system for identifying the products originating from certified producers by means of physical or visual identification and in the tracebaility documents (receipts, registry, etc.).
Example of visual identification can be tags on the bags during the product transportation and storage</t>
  </si>
  <si>
    <t>Do group members have access to different market outlets / different buyers for their certifiers product?</t>
  </si>
  <si>
    <t xml:space="preserve">Information on harvested volumes based on deliveries might not be reliable, therefore, put a system in place to get information on harvested volumes (this can be done by asking  producers directly through out the year or during internal inspections).
 Collect the information on harvested volume throughout the year (monthly basis) instead of once a year during internal inspections
</t>
  </si>
  <si>
    <t>AP: I would focus the mitigation action on getting the information on harvested volume through out the year (monthly basis) instead of once a year during internal inspections
Changed</t>
  </si>
  <si>
    <t>Anneke: how can you reduce this risk?</t>
  </si>
  <si>
    <t>Do group members often rely on farm operators to manage their farm?</t>
  </si>
  <si>
    <t>all</t>
  </si>
  <si>
    <t>Guarantee that the farm manager is the same year after year through the internal inspections and that they are aware of the traceability requirements. 
Check if farm operator also manages non-certified farms and if so, encourage to include them in the certified group as well. 
Always invite the farm operator to trainings (on traceability and other topics)</t>
  </si>
  <si>
    <t>AP: mitigation action could be to always invite the farm operator to trainings (on traceability and other topics), unless already in the standard
Changed</t>
  </si>
  <si>
    <t>Anneke: not the right place to put it in the risk assessment?</t>
  </si>
  <si>
    <t>Productivity &amp; profitability</t>
  </si>
  <si>
    <t>Optimum yield</t>
  </si>
  <si>
    <t>Is the average yield of the certified crop of the group members at or above the average yield for the crop in your country?</t>
  </si>
  <si>
    <t>Yes</t>
  </si>
  <si>
    <t>AP: is a definition of 'optimum yield' needed?
RR: Changed the formulation of the question</t>
  </si>
  <si>
    <t>Optmimum yield</t>
  </si>
  <si>
    <t>No/Don't know</t>
  </si>
  <si>
    <t>Train staff to recognise &amp; prioritise production constraints in field 
Identify the main productivity constraints in the field
Establish trials and business model farms to showcase impact of rejuvenation, fertilisation and good pest and disease control</t>
  </si>
  <si>
    <t>AP: production or productivity constraints?
RR: productivity, so also costs of production</t>
  </si>
  <si>
    <t>Access to inputs and knowledge</t>
  </si>
  <si>
    <t>Do all group members have access to agricultural inputs and adequate knowledge to optimize productivity?</t>
  </si>
  <si>
    <t>Identify the main needs among group members regarding inputs and knowledge.
Support group members with training on finance, business management and understanding production costs and net income (self-selected requirement 1.4.5)
If needed, facilitate accesss to financial services (e.g. loans for farm investments) (self-selected requirement 1.4.5)</t>
  </si>
  <si>
    <t>Living income</t>
  </si>
  <si>
    <t>Do you estimate that all group members earn a decent income with the production of the certified crop?</t>
  </si>
  <si>
    <t>Assess the total net income for a representative sample of group member households, using the Living Income benchmark (self-selected requirement 1.9.6)
Support group members with training on finance, business management and understanding production costs and net income (self-selected requirement 1.4.5)
If needed, facilitate accesss to financial services (e.g. loans for farm investments) (self-selected requirement 1.4.5)
Support group members to make informed decisions on income diversification strategies, e.g. other income generating activities, product upgrading (self-selected requirement 1.4.6)</t>
  </si>
  <si>
    <t>Farming practices</t>
  </si>
  <si>
    <t>2.6 Agrochemical management</t>
  </si>
  <si>
    <t>Pesticides use</t>
  </si>
  <si>
    <t>Use of prohibited agrochemicals</t>
  </si>
  <si>
    <t xml:space="preserve">Review the Agrochemicals Rainforest Alliance Prohibited List : 
Is it common practice in the region to use one or more of the agrochemicals from the Rainforest Alliance Prohibited List, including on the non-certified crops on the farm? </t>
  </si>
  <si>
    <t xml:space="preserve">In case use of banned pesticide use is found during the external audit, the CB may issue a non-certification. To avoid this, include in your management plan:
Group member training on the prohibition of the use of banned agrochemicals, and which ones those are. 
Group members training on the risk of using highly hazardous agrochemicals.
Verify use of banned agrochemicals in internal inspections. 
Monitoring of use of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</si>
  <si>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AP: I would separate the 2 questions, answering a Yes/No is confusing here.  
Changed</t>
  </si>
  <si>
    <t xml:space="preserve">Review the Agrochemicals Rainforest Alliance Prohibited List : 
do you use one or more of the agrochemicals from the Rainforest Alliance Prohibited List, including on the non-certified crops on the farm? </t>
  </si>
  <si>
    <t>In case use of prohibited pesticide use is found during the external audit, the CB may issue a non-certification. Farms that have used pesticides agrochemicals for the harvest to be certified cannot be included in the certification and have to wait for the next harvest cycle to apply again. If you haven't, then ensure ban of use of prohibited agrochemicals by implementing:
Get rid of all prohibited agrochemicals prohibited agrochemicals, and which ones those are. 
Staff training on the risk of using highly hazardous agrochemicals.
Verify use of prohibited agrochemicals in internal inspections. 
Monitoring of use of agrochemicals during application period.</t>
  </si>
  <si>
    <t>If you are certified by other standards, are there any RA banned agrochemicals that are not banned under these other standards?</t>
  </si>
  <si>
    <t xml:space="preserve">In case use of prohibited pesticide is found during the external audit, the CB may issue a non-certification. To avoid this, include in your management plan:
Group member training on the ban of the use of prohibited agrochemicals, and which ones those are. 
Group members training on the risk of using highly hazardous agrochemicals.
Verify use of prohibited agrochemicals in internal inspections. 
Monitoring of use of agrochemicals during application period.
Set up system to collect stocks of prohibited agrochemicals from the group members.
Note: farmers that have used prohibited agrochemicals for the harvest to be certified cannot be included in the certification and have to wait for the next harvest cycle to apply again. </t>
  </si>
  <si>
    <t>If you are certified by other standards, are there any Rainforest Alliance prohibited agrochemicals that are not banned under these other standards?</t>
  </si>
  <si>
    <t>In case use of prohibited pesticide use is found during the external audit, the CB may issue a non-certification. Farms that have used prohibited agrochemicals for the harvest to be certified cannot be included in the certification and have to wait for the next harvest cycle to apply again. If you haven't, then ensure ban of use of prohibited agrochemicals by implementing:
Get rid of all prohibited agrochemicals.
Staff training on the ban of the use of prohibited agrochemicals, and which ones those are. 
Staff training on the risk of using highly hazardous agrochemicals.
Verify use of prohibited agrochemicals in internal inspections. 
Monitoring of use of agrochemicals during application period.</t>
  </si>
  <si>
    <t>Amount of pesticide applications</t>
  </si>
  <si>
    <t>Is it common practice that producers firstly try biological, physical, and other non-chemical control methods for pest control before using agrochemicals?</t>
  </si>
  <si>
    <t xml:space="preserve">Pay special attention to compliance with chapter 2.5 of the Agricultural Standard. In case needed, contact a local university or extension service for development of the Integrated Pest Management procedure. Identify sources for the purchase of lower toxicity agrochemicals as well as non-chemical pest control products.
Make sure all members have the necessary knowledge and skills to apply Integrated Pest Management.
Train members on record keeping.
Monitor use of agrochemicals and application of IPM procedure by group members (including record keeping), during application time. 
</t>
  </si>
  <si>
    <t>Use of PPE</t>
  </si>
  <si>
    <t xml:space="preserve">
Is it common practice that group members or their workers use Personal Protective Equipment (PPE) for application of agrochemicals? </t>
  </si>
  <si>
    <t>AP: don't use the abbreviation PPE but the entire words
I would rephrase 'Is it common practice that workers of group members use PPE for application of agrochemicals? ' to 'Is it common practice that group members or their workers use PPE for application of agrochemicals? 
Changed</t>
  </si>
  <si>
    <t>Ensure availability of sufficient PPE for all those applying agrochemicals.
Develop and implement management policies on the correct use of PPE.
Make sure all those applying agrochemicals are trained on correct application of the agrochemicals and PPE.
Group members trained on the risk of using highly hazardous agrochemicals.
Explore the option of developing spray teams to replace agrochemical application by individual group members.
Monitor the use of PPEs during application time.</t>
  </si>
  <si>
    <t xml:space="preserve">AP: Remove the part 'for group', this question will only populate for group certification
Why 'training on banned agrochemicals' as a mitigation measure for this point? 
Changed </t>
  </si>
  <si>
    <t>Are all workers spraying agrochemicals using the correct  Personal Protective Equipment (PPE) at all times when they apply agrochemicals?</t>
  </si>
  <si>
    <t xml:space="preserve">No </t>
  </si>
  <si>
    <t>Make an assessment among the workers on the reasons for not using PPE. 
Use the outcomes of this assessment to define the measures.
Develop and implement management policies on the correct use of PPE.
Make sure all those applying agrochemicals are trained on correct application of the agrochemicals and PPE.
Ensure availability of sufficient PPE for all those applying agrochemicals.
Monitor the use of PPEs during application time.</t>
  </si>
  <si>
    <t>2.4 Soil conservation</t>
  </si>
  <si>
    <t>Erosion</t>
  </si>
  <si>
    <t>Are there any areas that have a slope steeper than 1m rise over 3m run over an area &gt;0.1ha?</t>
  </si>
  <si>
    <t>Implement measures to protect against erosion, including planting of native groundcover, contour planting, living barriers and drainage/dewatering systems.</t>
  </si>
  <si>
    <t xml:space="preserve">Make sure no gully forming is happening and that organic top layer is not washed </t>
  </si>
  <si>
    <t>Waterlogging</t>
  </si>
  <si>
    <t>Are there any areas within the farm / group member farms with long periods of standing water after rain?</t>
  </si>
  <si>
    <t>Implement measures to improve drainage through physical measures, digging drainage trenches, or improving soil structure to increase the soil’s potential to take up water and store it</t>
  </si>
  <si>
    <t>Is high ground water level a problem in certain areas?</t>
  </si>
  <si>
    <t>Assess whether the area is suitable for crop cultivation and consider what crops are suitable for these areas. 
In some cases: improve drainage and/or conserve protective vegetation</t>
  </si>
  <si>
    <t>Drought</t>
  </si>
  <si>
    <t>Is drought (becoming) a limiting factor for crop production?</t>
  </si>
  <si>
    <t xml:space="preserve">Keep soil covered to reduce evapotransperation.                                                
Assure deep-rooting crops are used.                                                                         
Consider mixed cropping, preferable with shrub / tree crops 
Provide shade
When irrigating: assure water losses are minimised and check if lime/salt crusts are found in upper layer. If so, consult a soil institute.                                                                                                      </t>
  </si>
  <si>
    <t>ALl</t>
  </si>
  <si>
    <t xml:space="preserve">Make sure soil structure is conserved to avoid compaction </t>
  </si>
  <si>
    <t>Working Conditions</t>
  </si>
  <si>
    <t>1.5 Grievance mechanism</t>
  </si>
  <si>
    <t>Grievance Mechanism</t>
  </si>
  <si>
    <t>Is information about the grievance mechanism and the assess and address committee visible and accessible to all workers?</t>
  </si>
  <si>
    <t>Check &amp; update public display regularly to make sure information is still correct, visible and accessible to all; including languages of local and temporary staff</t>
  </si>
  <si>
    <t xml:space="preserve">Grievance Mechanism </t>
  </si>
  <si>
    <t>Ensure that producers and workers have access to practical information in their language about how and where they can access the grievance mechanism and the assess and address committee when they have a grievance that they want to be resolved.</t>
  </si>
  <si>
    <t>3.1 A&amp;A</t>
  </si>
  <si>
    <t xml:space="preserve">Equal opportunities &amp; prevention of discrimination </t>
  </si>
  <si>
    <t xml:space="preserve">Are any of the following populations present on or near the farm or group:
- Migrant workers (foreign or from within the country)
- Specific ethnic minorities (any ethnicities which are not the largest ethnicity within the workforce)
-Indigenous people (where applicable)
-People that do not speak the dominant language in the country &amp; region </t>
  </si>
  <si>
    <t>Assess whether members of these populations are working on the farm or contracted by group members.
Make sure that group and farm management is aware of the kind of populations that are present and registers their specifics: kind of population, number (estimation), language and other where relevant</t>
  </si>
  <si>
    <t>Do hiring procedures follow rules and regulations to prevent discriminatory practices?</t>
  </si>
  <si>
    <t>Make sure all job vacancies are announced widely, in appropriate languages</t>
  </si>
  <si>
    <t>Workplace Violence and Harassment prevention</t>
  </si>
  <si>
    <t xml:space="preserve">Has the management taken any targeted action to prevent violence and harassment (including sexual harassment)? </t>
  </si>
  <si>
    <t xml:space="preserve">Workplace Violence and Harassment </t>
  </si>
  <si>
    <t xml:space="preserve"> Implement at least one of the following measures:
- Training of trainers, technical staff and other persons in direct contact with members and  workers on respectful behavior and concepts of workplace violence and harassment
- training of workers on the topic on respectful behavior and concepts of workplace violence and harassment
Please note: in most cases workplace violence and harassment will relate to experiences faced by women. However risks are also faced by men. Ensure your answers cover risks in relation to all workers regardless of gender.</t>
  </si>
  <si>
    <t>Age verification</t>
  </si>
  <si>
    <t>Is there a risk that farm group members are not validating hired workers' ages at the time they are appointed?</t>
  </si>
  <si>
    <t>Check with internal inspections the small farms' workers registration on year of birth</t>
  </si>
  <si>
    <t>1) Communicate to all farmers that have hired workers, how to verify the age of all new hires at the workplace, including those supplied by labour providers. 
2) Verification of age should be based on identity documents, school and medical records or other verifiable forms of identification proof. 
3) Check with internal inspection the data in the workers list</t>
  </si>
  <si>
    <t>Does the site require proof of age and retain documentation when hiring workers?</t>
  </si>
  <si>
    <t>Medium &amp; High
According to RA risk maps on Child Labor</t>
  </si>
  <si>
    <t xml:space="preserve">Conduct a review once per year to verify that there are identity documents on file for all workers under the age of 18; </t>
  </si>
  <si>
    <t>AP:'Country/sector risk context applicability' =&gt;  specify that we are using the child labor risk maps (not visible for the producer but needed for technology)</t>
  </si>
  <si>
    <t>Low</t>
  </si>
  <si>
    <t>1) Verify the ages of all young workers on site while respecting children’s protection and privacy rights 
2) Develop and implement a system to verify the identity and age of all new hires at the workplace, including those supplied by labour providers. 
3) Ensure the system bases its decisions on verifiable forms of identification proof, including identity documents, school and medical records. Include in the age verification system school enrolment &amp; status. 
4) Ensure information about age from which children can work and circumstances under which are clearly communicated to staff and workers.</t>
  </si>
  <si>
    <t xml:space="preserve">                     </t>
  </si>
  <si>
    <t>Hazardous work</t>
  </si>
  <si>
    <t>Has the group management listed any tasks, processes or other working conditions that could be hazardous to young workers?</t>
  </si>
  <si>
    <t xml:space="preserve">Low </t>
  </si>
  <si>
    <t>Communicate this list to all group members that hire young workers</t>
  </si>
  <si>
    <t>List the tasks and processes that involve hazardous working conditions ; communicate this to all group members</t>
  </si>
  <si>
    <t>1) List the hazardous tasks / processes. 
2) Communicate this list to all group members and; 
3) through training and child labor monitoring, ensure members are aware that workers younger than 18 cannot perform these hazardous tasks. 
4) check with internal inspections</t>
  </si>
  <si>
    <t xml:space="preserve">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
</t>
  </si>
  <si>
    <t>Farm has formally registered workers aged under the age of 18</t>
  </si>
  <si>
    <t xml:space="preserve">Has the farm management listed any tasks, processes or other working conditions taking place on the farm that could be hazardous to young workers? </t>
  </si>
  <si>
    <t xml:space="preserve">List the hazardous tasks / processes and ensure all supervisors are aware that workers younger than 18 cannot perform these. </t>
  </si>
  <si>
    <t>AP: 'Farm has formally registered workers aged under the age of 18' is part of the profile completion 1 (or do we expect the producer to answer that in the risk assessment tool)?
RR: Is that indeed included in profile completion 1? I would not agree to put it in profile completion, since this can change at any time...</t>
  </si>
  <si>
    <t xml:space="preserve">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</si>
  <si>
    <t>1) Develop a list of tasks and work processes – aligned with relevant national policy or law - that under 18s are banned from performing. Ensure the list covers jobs that involve hazardous substances, dangerous equipment, working at height, and/ or heavy lifting. The list of tasks should also make clear that young workers are prohibited from performing work at night.
2) Review the list every season to ensure list is up to date with national law and policy  
3) Conduct a health and safety review/risk assessment of all major farm activities to identify the major hazards, plus proposed steps to remove or reduce exposure for young workers [e.g. remove dangers of machinery, sharp tools, harmful substances, work at height, carrying heavy loads, working at height and working at night). 
4) Ensure all supervisors are aware of the hazardous tasks list and which tasks young workers are allowed to perform. 
5) conduct awareness with your workers, especially those working in teams with young workers, about what tasks young workers are allowed to perform and from which age</t>
  </si>
  <si>
    <t>Education</t>
  </si>
  <si>
    <t>Is there a risk that school-going aged children of group staff, or group members, or children of workers, do not attend school within a safe walking / traveling distance? (Use the map of the group area to assess this)</t>
  </si>
  <si>
    <t xml:space="preserve"> 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</si>
  <si>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AP: why not group members' children? 
Changed</t>
  </si>
  <si>
    <t xml:space="preserve">Education </t>
  </si>
  <si>
    <t>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</si>
  <si>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Families living on-site</t>
  </si>
  <si>
    <t xml:space="preserve">Are children living on-site and of school-going age going to school within safe walking distance or at reasonable traveling distance using safe transport? </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</si>
  <si>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t>
  </si>
  <si>
    <t>AP: is 'Families living on-site?' part of profile completion 1 (or do we expect the producer to answer that in the risk assessment tool)?
RR: Yes, so only if they indicated this with YES in the profile completion 1, this question appears in the risk assessment</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</si>
  <si>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t>
  </si>
  <si>
    <t xml:space="preserve">Coordinate with the local school and request to be informed should any of the children living on site drop out or attend very irregularly [ensure this process is aligned with national law on data protection] </t>
  </si>
  <si>
    <t xml:space="preserve">Family workers </t>
  </si>
  <si>
    <t xml:space="preserve">Is there a risk that under-18s perform work on the farm?
</t>
  </si>
  <si>
    <t>Set up child labour monitoring process 
1)Appoint member of staff to supervise the work of all under 18s registered as working on the farm and to monitor the under 18s health and school attendance
2)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3) Follow the RA Remediation tool when removing children from child labor, ensuring care is taken to minimise damage to families when they miss out on income. Supervisors and workers are informed about policy of hiring young workers, including the age from which children can be hired individually, in accordance with the Rainforest Alliance Standard as well as the national law.</t>
  </si>
  <si>
    <t>Supervisors and workers are informed about policy of hiring young workers, including the age from which children can be hired individually, in accordance with the Rainforest Alliance Standard as well as the national law.</t>
  </si>
  <si>
    <t>Appoint child labor monitors [sufficient to provide an effective degree of coverage and visibility across farm] to maintain oversight over children’s working, health and school attendance patterns and to maintain awareness of the group child labor policy across inspectors, farmers, young worker supervisors and hired workers themselves.</t>
  </si>
  <si>
    <t>Inform supervisors and workers about policy of hiring young workers, including the age from which children can be hired individually, in accordance with the Rainforest Alliance Standard as well as the national law.</t>
  </si>
  <si>
    <t>Is there a risk that under-18s perform work on any of the farms within the group?</t>
  </si>
  <si>
    <t>1) Inform members about the policy regarding family child work, including the age from which children can support their parents, and from which age children can be hired individually to conduct light work, in accordance with the Rainforest Alliance Standard as well as the national law. 
2) Explain the assess and address model to members to promote transparency about child labor risks and support solutions to mitigate the risk</t>
  </si>
  <si>
    <t>Appoint child labor monitors [sufficient to provide an effective degree of coverage and visibility across farms in the producer group] to maintain oversight over children’s working, health and school attendance patterns and to maintain awareness of the group child labor policy across inspectors, farmers, young worker supervisors and hired workers themselves.</t>
  </si>
  <si>
    <t>Labour providers</t>
  </si>
  <si>
    <t>Is it likely that group members use labour providers to recruit workers?</t>
  </si>
  <si>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groups members are working (if any) and under what conditions. </t>
  </si>
  <si>
    <t>Medium &amp; High
According to RA risk maps on Forced Labor</t>
  </si>
  <si>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 members are working (if any) and under what conditions.
 4. Verify whether the workers recruited through labor providers are treated equally with other workers and provided the same information about their protections under the RA standard. </t>
  </si>
  <si>
    <t>Does the farm/group management  use labour providers to recruit any workers?</t>
  </si>
  <si>
    <t xml:space="preserve">yes </t>
  </si>
  <si>
    <t>1. Make sure that the labor providers used are licensed or certified by the appropriate government authority, if one exists.</t>
  </si>
  <si>
    <t>1. Ensure that farms have written contracts with each labor provider, requiring that labor providers abide by RA worker protection standards. 
2. When possible, farms should directly contract workers who are recruited by labor providers. 
3. For workers whose direct employer is a labor provider, check the Assess &amp; Address monitoring system periodically with some of these workers to ensure that their pay, working conditions, etc. are as promised by the labor provider. 
4. Make sure that the workers recruited through labor providers are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</si>
  <si>
    <t>Wage payment practices</t>
  </si>
  <si>
    <t>Is it likely that group members pay their workers by volume/piece rate?</t>
  </si>
  <si>
    <t>Training/awareness raising of group members on how to assure that workers receive a fair payment</t>
  </si>
  <si>
    <t>Are workers paid by volume/piece rate?</t>
  </si>
  <si>
    <t xml:space="preserve">1. Farm-group management must ensure that workers have written or verbal contracts in place according to requirement 3.3.
2. When calculated by volume, workers' pay must equal at least the minimum wage based on a 48-hour working week or national legal working hours limit. 
3. Deductions from wages for costs such as employer-provided housing or food must only be taken with workers' consent. 
4. Ensure that personnel responsible for wage payment are correctly trained in calculations and requirements. </t>
  </si>
  <si>
    <t xml:space="preserve">Freedom of movement </t>
  </si>
  <si>
    <t>Are there security guards on the farm?</t>
  </si>
  <si>
    <t>1.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3. Train security guards on rights of workers, eg that workers living on the farm have the right of movement on and off the farm outside working hours.</t>
  </si>
  <si>
    <t>AP: (I am not a specialist but) reading the mitigation measures, it seems that if the answer is Yes, they are in an illegal situation (restricting freedom of movement)??
Changed question and included other measure</t>
  </si>
  <si>
    <t>Prison/military labor</t>
  </si>
  <si>
    <t>Are any workers recruited/provided to the farm/group by military or prison officials?</t>
  </si>
  <si>
    <t>1. Military officials mobilizing military personnel to perform agricultural labor is a form of forced labor.  Make sure that farms do not utilize this type of labor.
2. Enusre that any prisoners working on the farm have freely provided their consent to work. 
3. Ensure that prison labors are treated the same as all other workers with respect to contracts, pay, working conditions, and all other worker protections in the RA standard.</t>
  </si>
  <si>
    <t>Deposit or document retention</t>
  </si>
  <si>
    <t>Do workers give any money (such as deposits) or documents (such as passports) to farm management or labor providers?</t>
  </si>
  <si>
    <t>1. Enusre that workers are not required to pay any type of deposit or provide any personal document to management, other than to confirm identity at the time of hiring.
2. In instances where workers prefer to provide documents or other belongings to management for safe keeping, ensure that workers have permanent, unrestricted access to these locations.</t>
  </si>
  <si>
    <t>1.6 Gender</t>
  </si>
  <si>
    <t xml:space="preserve">Gender Commitment from Leadership </t>
  </si>
  <si>
    <t>Has the group/farm management already been taking actions to address gender and/or women empowerment for at least more than a year?</t>
  </si>
  <si>
    <t>Continue the actions</t>
  </si>
  <si>
    <t>Formulate a policy on gender equality and women’s empowerment to be shared with the rest of the group.
Group/farm management to take a training course on gender, for example the RA gender training module on line. 
Stakeholder mapping of gender related organizations that could help to incorporate gender within group</t>
  </si>
  <si>
    <t>Female representation in group</t>
  </si>
  <si>
    <t xml:space="preserve">Are female members representing at least 25%  of the total number of group members? </t>
  </si>
  <si>
    <t>AP: this is already in the standard. I would put 'no action'
Changed</t>
  </si>
  <si>
    <t xml:space="preserve">Keep record of group members per gender 
Make an assessment of the reasons why female membership is limited, by interviewing female members and non members and consulting the policy on membership and document those. </t>
  </si>
  <si>
    <t>Representation in higher level functions</t>
  </si>
  <si>
    <t>Are women currently equally represented (in relation to the total % of female members or workers) amongst trainers, supervisors, management staff and/or other high level functions within the group or farm management?</t>
  </si>
  <si>
    <t>AP: same here, records of staff per gender is in the standard
Changed</t>
  </si>
  <si>
    <t>Keep records of all staff positions per gender and type of position 
Establish a minimum quota for female trainers, supervisors, management staff and other high level functions.  (For groups or farms with more than 50% of female members or workers, the female representation should at least be 50%, be doesn't need to be higher than 50%)
Organize training targeted at female farmers or workers that is needed to be eligible as a trainer, supervisor or other high level function 
Make sure job announcements reach male AND female farmers and workers and that job requirements are achievable for female farmers and workers
Give training to management staff involved in recruitment on unconscious bias and methodologies to prevent gender based discriminatory practices</t>
  </si>
  <si>
    <t>Female farmers participation in trainings</t>
  </si>
  <si>
    <t>Are female workers/group members currently equally participating (compared to the total % of female members or workers)  in trainings?</t>
  </si>
  <si>
    <t>Keep records of training participants per gender and monitor the continuity of the equal participation of female workers and members</t>
  </si>
  <si>
    <t>Female farmers particication in trainings</t>
  </si>
  <si>
    <t>Keep records of training participants per gender
Check with female members and workers what are the potential hindrances of their participation in trainings
Conduct trainings at days/times/locations where women can easily attend and send personal invitations</t>
  </si>
  <si>
    <t>3.4 Living Wage</t>
  </si>
  <si>
    <t>Payment of Living Wage</t>
  </si>
  <si>
    <t>Does the farm management keep records of the data that need to be inserted in the Rainforest Alliance Salary Matrix Tool? Data that need to be inserted are:  type of unit against which payments are made, overtime payments, bonus payments, payments in kind, etc. These data need to be specified per type of worker, and per gender.</t>
  </si>
  <si>
    <t>No further actions needed as a preparation to assess the total remunerations of workers against the Living Wage benchmark (3.4.1).</t>
  </si>
  <si>
    <t>To be checked. 
The more detailed questions on the LW assessment should be included in the guidance for the LW tool
AP: this means that the producer needs to receive the living wage tool before to answer that question (keep in mind for certification process)
RR: I agree. Maybe we should leave this out for now. It is mainly an assessment of the feasiblity to work with the LW tool....</t>
  </si>
  <si>
    <t>Set up a system for collecting the necessary data about piece-rate payments (if applicable), additional financial payments(over-time wor, bonuses); additional in-kind benefits provided to workers (food donations, health care services, housing); disaggregated by types of workers, and gender, to be able to assess the total remuneration of workers against the LW benchmark (3.4.1)</t>
  </si>
  <si>
    <t>3.7 Housing</t>
  </si>
  <si>
    <t>Are there any variations in the climate regime or high labor intensive periods that would require you to take adaptive measures in the housing conditions provided to the workers?</t>
  </si>
  <si>
    <t>For climate reasons:  check the risks for flooding, leakages, heat, etc. of the housing. Take measures to improve.
For amount of labor coming in: check if there is enough space for all workers, is there enough ventilation; is there sufficient separation of housing by gender. Take the measures to improve</t>
  </si>
  <si>
    <t>Environment</t>
  </si>
  <si>
    <t>4.1.3 / 4.1.4 HCV assessment</t>
  </si>
  <si>
    <t>HCVA</t>
  </si>
  <si>
    <t>Is the farm located closer than 5 km to an Intact Forest Landscape?</t>
  </si>
  <si>
    <t xml:space="preserve">List all activities by farmers (and any resident staff) that involve tree felling, clearing or burning of vegetation, cattle-grazing, and hunting/collection in the wider landscape outside the farm, and stop or redirect any activity that may degrade the structure or species composition of an IFL. </t>
  </si>
  <si>
    <t xml:space="preserve">
RR: For groups this should be part of the improvement, year 3, since HCV assessment is an improvement for groups. Or do we change this as a core for groups as well? </t>
  </si>
  <si>
    <t>AP: 'intact forest landscape' ? Makes it confusing if we are using terms that are not part of the standard - RR: needs to be in, because this is the HCV risk assessment part</t>
  </si>
  <si>
    <t>Is the farm  located in or closer than 2 km to a designated Protected Area (PA), a Key Biodiversity Area (KBA), a Ramsar site or a UNESCO World Heritage site</t>
  </si>
  <si>
    <t>Make sure the main conservation attributes of the area are not threatened, i.e. the values for which the area has been protected or classified as a PA, KBA or Ramsar site</t>
  </si>
  <si>
    <t>AP: Makes it confusing if we are using terms that are not part of the standard RR: needs to be in, because this is the HCV risk assment part</t>
  </si>
  <si>
    <t xml:space="preserve">Do local communities have any legal or customary rights on the farm? </t>
  </si>
  <si>
    <t>a) Map local community land uses on the farm in a participatory and inclusive way with the affected community; 
b) Identify and mitigate any direct and indirect impacts from farming activities on these resources, or on habitat that support these resources;
c) Formalise agreements with communities on the use and management of such areas using Free, Prior and Informed Consent principles, and document the process.</t>
  </si>
  <si>
    <t>Do you use communal lands for purposes related to production or processing of the certified crop, e.g. timber collection?</t>
  </si>
  <si>
    <t>a) Identify and describe all current or planned practices related with farming or processing of the certified crops, such as drying, building sheds, etc. that use resources from communal lands; 
b) Evaluate if these activities impact on the vegetation structure or on the community’s land-uses;
c) Seek ways to reduce negative impacts and avoid relying on the resources of communal lands when expanding or diversifying farming activities</t>
  </si>
  <si>
    <t xml:space="preserve"> larger than 10,000 hectares</t>
  </si>
  <si>
    <t>Have you answered yes to questions on Intact Forst Landscapes (IFL), Key Biodiversity Areas (KBAs) (etc.) or customary rights of communities?</t>
  </si>
  <si>
    <t>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(covers basic needs of indigenous and local people which are supplied by natural_x000D_
ecosystems) , develop your management and monitoring plan in collaboration with the affected communities.</t>
  </si>
  <si>
    <t xml:space="preserve">Can this be automatized? We know the size, and the answers to the previous questions. Henriette: We know the size, but we don't necessarily know the answer to the previous questions, as it will not be automized, right?
</t>
  </si>
  <si>
    <t>AP: I wouldn't use any abbreviation in this tool
Changed</t>
  </si>
  <si>
    <t xml:space="preserve">4.2 Conservation and enhancement of natural ecoystems and native Vegetation </t>
  </si>
  <si>
    <t>multiple areas of natural ecosystem</t>
  </si>
  <si>
    <t>Ecosystem Connectivity</t>
  </si>
  <si>
    <t xml:space="preserve">Are the areas of natural ecosystem and natural vegetation cover connected by landscape corridors? </t>
  </si>
  <si>
    <t>Plan to connect existing ecosystem fragments with habitat or landscape corridors. 
Maintain and enhance buffer zones around existing ecosystem fragments to prevent encroachment of farm activities and enforce agrochemical "non-application zones".</t>
  </si>
  <si>
    <t>AP: 
- is 'multiple areas of natural ecosystem' part of profile completion 1 (or do we expect the producer to answer that in the risk assessment tool)?
- do we mean Areas of natural ecosystems within the group members' property? If not, I don't see how the mitigation measure is possible for a group</t>
  </si>
  <si>
    <t>natural  vegetation</t>
  </si>
  <si>
    <t xml:space="preserve">Do you expect all on-farm natural ecosystems, including hedges, tree lines, riparian buffers, and forest, to contain locally adapted vegetation? </t>
  </si>
  <si>
    <t>Maintain existing natural vegetation; Ensure that the total farm area with natural vegetation meets the criteria in 4.2.2-4.2.6</t>
  </si>
  <si>
    <t>Change native into natural?</t>
  </si>
  <si>
    <t>Don't know</t>
  </si>
  <si>
    <t xml:space="preserve">Investigate whether all on-farm natural ecosystems, including hedges, tree lines, riparian buffers, and forest, contain locally adapted vegetation. If not identify appropriate species that can be planted to increase the proportion of natural vegetation in on-farm natural ecosystems including forests, riparian buffers, hedges, and tree lines. </t>
  </si>
  <si>
    <t>natural vegetation</t>
  </si>
  <si>
    <t xml:space="preserve">Identify appropriate natural species that can be planted to increase the proportion of natural vegetation in on-farm natural ecosystems including forests, riparian buffers, hedges, and tree lines. </t>
  </si>
  <si>
    <t>Please select the natural eco-systems that you have on your farm: on-site forest, on-site wetlands, on-farm grassland/rangeland or non-natural desert,  permanently fallow land, multiple areas of natural ecosystem.</t>
  </si>
  <si>
    <t>Drop down with multiplpe answers possible</t>
  </si>
  <si>
    <t>Determines if next questions apply</t>
  </si>
  <si>
    <t>Group</t>
  </si>
  <si>
    <t>Please select the natural eco-systems that you expect to be on the geographical area of your sites and group members: on-site forest, on-site wetlands, on-site grassland/rangeland or non-natural desert,  permanently fallow land, multiple areas of natural ecosystem.</t>
  </si>
  <si>
    <t>On-site forest</t>
  </si>
  <si>
    <t>Forests</t>
  </si>
  <si>
    <t xml:space="preserve">Does the forest resemble natural forest in terms of canopy cover, forest strata, and the presence of vines or lianas? See document titiled Guidance on Implementing 4.1-4.3 for more information on measuring forest quality.
</t>
  </si>
  <si>
    <t>AP: is 'on site forest' a data part of profile completion 1 (or do we expect the producer to answer that in the risk assessment tool)?</t>
  </si>
  <si>
    <t>Plan to manage canopy cover, forest strata, and presence of vines or lianas (e.g., by creating openings, planting additional species, and restricting harvesting or grazing as neccessary) to facilitate natural forest regeneration and growth. See document titled Guidance on Implementing 4.1-4.3 for more details on managing on-farm forests.</t>
  </si>
  <si>
    <t>"Are there on-site forests, and do these resemble natural forests…"</t>
  </si>
  <si>
    <t xml:space="preserve"> on-farm wetlands</t>
  </si>
  <si>
    <t>Waterways, Water Sources, and Wetlands</t>
  </si>
  <si>
    <t xml:space="preserve">Do wetlands store or convey flood waters at any time of the year?
</t>
  </si>
  <si>
    <t>Plan to delineate and manage wetland and active floodplain, and ensure that production or processing activities do not encroach into the floodplain</t>
  </si>
  <si>
    <t>on-farm wetlands</t>
  </si>
  <si>
    <t>AP: is 'on farm wetland' part of profile completion 1 (or do we expect the producer to answer that in the risk assessment tool)?</t>
  </si>
  <si>
    <t>on-farm grassland/rangeland or non-natural desert</t>
  </si>
  <si>
    <t>Grassland, Rangeland, and Non-natural Desert</t>
  </si>
  <si>
    <t>Do grassland/rangeland or non-natural desert areas contain large bare areas that are at risk of eroding into nearby waterways?</t>
  </si>
  <si>
    <t>Plant additional native groundcover (grasses, shrubs, trees) and implement measures to protect against erosion.</t>
  </si>
  <si>
    <t>AP: is 'on-farm grassland/rangeland or non-natural desert' part of profile completion 1 (or do we expect the producer to answer that in the risk assessment tool)?</t>
  </si>
  <si>
    <t>Monitor the area for erosion and implement erosion control measures as neccessary. Conserve and enhance any existing native vegetation.</t>
  </si>
  <si>
    <t xml:space="preserve"> permanently fallow land</t>
  </si>
  <si>
    <t>Fallow Land</t>
  </si>
  <si>
    <t xml:space="preserve">Are trees regenerating naturally on permanently fallow land?
</t>
  </si>
  <si>
    <t>AP: is 'permanentlhy fallow land' part of profile completion 1 (or do we expect the producer to answer that in the risk assessment tool)?</t>
  </si>
  <si>
    <t>permanently fallow land</t>
  </si>
  <si>
    <t xml:space="preserve">Re-vegetate fallow land by planting native grass, shrub, and tree species in accordance with an appropriate successional regime </t>
  </si>
  <si>
    <t xml:space="preserve">Climate Change </t>
  </si>
  <si>
    <t>Climate change risks</t>
  </si>
  <si>
    <t>Are management, supervisors, and/or technical staff trained in assessing the risks and impacts that climate change poses to livelihoods and production systems?</t>
  </si>
  <si>
    <t>Training/awareness raising on climate change risks and their impacts on agricultural production systems and livelihoods more broadly.</t>
  </si>
  <si>
    <t>Have management, supervisors, and/or technical staff identified the most significant climate change threats/risks/impacts (current and projected) on livelihood resources and farming systems?</t>
  </si>
  <si>
    <t>Carry out the RA climate change risk assesment to identify and describe the most significant climate risks based on RA CC risk assessment tool.
a) Develop a farm map identifying most at risk areas based on identified climate impacts;    
 b) Develop mitigation strategies to address identified risk as they relate to other standard criteria e.g. soil management;   
c) Develop mitigation strategies to address identified risk as they relate to other livelihood strategies i.e. opportunties for diversification so that people are managing risk by planning for and investing in the future.</t>
  </si>
  <si>
    <t>Link with the CCA risk assessment tool</t>
  </si>
  <si>
    <t>`</t>
  </si>
  <si>
    <t xml:space="preserve">Do management, supervisors, and /or technical staff have access to relevant climate change information, skills and services to develop and employ adaptation strategies?  </t>
  </si>
  <si>
    <t>Awareness raising about available information to improve adaptive capacity and resilience, early warning systems, support tools and importance of equal rights to access resources.</t>
  </si>
  <si>
    <t>Are emergency measures to deal with extreme weather events and their potential impacts (i.e. evacuation plan) developed and in place?</t>
  </si>
  <si>
    <t>Based on risk map and where appicable develop an emergency response plan for household and/wider community locations e.g. households located on steep slopes at risk of landslides.</t>
  </si>
  <si>
    <t>Suggested additional questions on productivity and profitability</t>
  </si>
  <si>
    <t>Initial Risk Assessment</t>
  </si>
  <si>
    <t>Initial GAP assessment</t>
  </si>
  <si>
    <t xml:space="preserve">GAP assessment: the GAP assessment is an assessment of the GAPs between the current state of a Certificate Holder (estate or group) and the requirements of the Rainforest Allianca. This assessment is based on the Rainforest Alliance standard. This assessment is not mandatory, however will help you identify the areas that need to be worked on and the amount of work needed still to be ready for the certification audit. </t>
  </si>
  <si>
    <t>Self Assessment</t>
  </si>
  <si>
    <t>Mitigation Actions</t>
  </si>
  <si>
    <t>Chapter</t>
  </si>
  <si>
    <t>Theme</t>
  </si>
  <si>
    <t xml:space="preserve">Which farmers does this apply to? </t>
  </si>
  <si>
    <t>Question applicable to (Group Management, medium/large estate management, group member during internal inspections)</t>
  </si>
  <si>
    <t>A. Management.</t>
  </si>
  <si>
    <t>Traceability</t>
  </si>
  <si>
    <t>All farm businesses</t>
  </si>
  <si>
    <t xml:space="preserve">Traceability procedure </t>
  </si>
  <si>
    <t>Do you/will you make use of intermediaries/subcontractors* in your supply chain?</t>
  </si>
  <si>
    <t>Set up a clear traceability flow, that includes the documented and physical traceability rules for all actors (subcontractors/intermediary, processing units, CH management etc.).
Train all actors on your traceability procedure.
Monitor traceability and record keeping at intermediaries/subcontractors (during the harvest period). (Part of the Internal inspection (TBD))</t>
  </si>
  <si>
    <t>Set up a clear traceability flow, that includes the documented and physical traceability rules for all actors (farmer, collection centers, CH management).</t>
  </si>
  <si>
    <t>B. Farming Practices</t>
  </si>
  <si>
    <t>Inputs</t>
  </si>
  <si>
    <t>Review the Rainforest Alliance list of banned agrochemicals. Do you use one or more of the agrochemicals from the pesticide watchlist?</t>
  </si>
  <si>
    <t>Set up an IPM.</t>
  </si>
  <si>
    <t>(RR:) Are you applying pesticides more than XX times per year? (Define per crop what is an expected number of times to apply pesticides per year)</t>
  </si>
  <si>
    <t>Define strategy to reduce use of pesticides. Stress use of PPE. High risk for MRL.</t>
  </si>
  <si>
    <t>4. Environment</t>
  </si>
  <si>
    <t>Steep Slopes</t>
  </si>
  <si>
    <t>Are there any areas that have a slope greater than 1m rise over 3m run over an area &gt;0.1ha?</t>
  </si>
  <si>
    <t>Implement measures to protect against erosion, including planting of native groundcover.</t>
  </si>
  <si>
    <t>No further action</t>
  </si>
  <si>
    <r>
      <t xml:space="preserve">C. Working Conditions </t>
    </r>
    <r>
      <rPr>
        <b/>
        <sz val="12"/>
        <color rgb="FFFF0000"/>
        <rFont val="Calibri"/>
        <family val="2"/>
        <scheme val="minor"/>
      </rPr>
      <t>(</t>
    </r>
    <r>
      <rPr>
        <b/>
        <sz val="12"/>
        <color rgb="FFFFC000"/>
        <rFont val="Calibri"/>
        <family val="2"/>
        <scheme val="minor"/>
      </rPr>
      <t>social chapter or "workers and communities" which was our proposal)</t>
    </r>
  </si>
  <si>
    <t xml:space="preserve">General </t>
  </si>
  <si>
    <t xml:space="preserve">There are 20 or more employees engaged at any point during the growing season </t>
  </si>
  <si>
    <t>Structure</t>
  </si>
  <si>
    <t>Does the farm have a trained committee/person in charge of the work around Assess and Address within the RA Standard? Is there a  trained Grievance Committee (criterion 1.5)? Is there a trained Gender Committee (1.6)?</t>
  </si>
  <si>
    <t xml:space="preserve">No further action </t>
  </si>
  <si>
    <t>No [to any]</t>
  </si>
  <si>
    <t xml:space="preserve">all </t>
  </si>
  <si>
    <t>Committee/person are (s)elected and committee set up; they participate in the A&amp;A online training module / gender online training module and / or grievance mechanism training module as applicable ensuring all committees are set up and trained.</t>
  </si>
  <si>
    <t>Skills/ capabilities</t>
  </si>
  <si>
    <t>Have supervisors and management experience / knowledge on dealing with cases of  child labour, forced labour, discrimination and workplace violence/harassment?</t>
  </si>
  <si>
    <t>No further actions</t>
  </si>
  <si>
    <t>Have supervisors and management experience / knowledge in dealing with cases of  child labour, forced labour, discrimination and workplace violence/harassment?</t>
  </si>
  <si>
    <t xml:space="preserve">Management representatives / supervisors undergo training on assess and address topics  </t>
  </si>
  <si>
    <t>Public communication about Grievance Mechanism and Assess and Address Committee and its responsibilities</t>
  </si>
  <si>
    <t>Discrimination</t>
  </si>
  <si>
    <t>Prevention of discrimination</t>
  </si>
  <si>
    <t>- Make sure all job vacancies are announced widely, in appropriate languages</t>
  </si>
  <si>
    <t>Medium, High</t>
  </si>
  <si>
    <t>- Conduct in-person training of managers and supervisors on unconscious bias and on avoiding any kind of discriminatory decision in relation to hiring, working conditions, pay, benefits, training, promotion, termination, redundancy
- develop procedures to prevent discrimination during hiring, between others: organize job interviews with more than one interviewer, preferibly of different genders; widespread announcement of job vacancies in appropriate languages; job description should not exclude certain groups of people</t>
  </si>
  <si>
    <t xml:space="preserve">Discrimination </t>
  </si>
  <si>
    <r>
      <t xml:space="preserve">If any of the following groups are present at the farm, have you taken actions to fairly represent them amongst management and supervisory staff? These groups could include: 
</t>
    </r>
    <r>
      <rPr>
        <strike/>
        <sz val="10"/>
        <color theme="1"/>
        <rFont val="Calibri"/>
        <family val="2"/>
        <scheme val="minor"/>
      </rPr>
      <t>-Women -</t>
    </r>
    <r>
      <rPr>
        <sz val="10"/>
        <color theme="1"/>
        <rFont val="Calibri"/>
        <family val="2"/>
        <scheme val="minor"/>
      </rPr>
      <t xml:space="preserve">&gt; </t>
    </r>
    <r>
      <rPr>
        <sz val="10"/>
        <color rgb="FFFF0000"/>
        <rFont val="Calibri"/>
        <family val="2"/>
        <scheme val="minor"/>
      </rPr>
      <t>will go to gender requirement</t>
    </r>
    <r>
      <rPr>
        <sz val="10"/>
        <color theme="1"/>
        <rFont val="Calibri"/>
        <family val="2"/>
        <scheme val="minor"/>
      </rPr>
      <t xml:space="preserve">
-Migrants (foreign or from within the country)
- Specific ethnic minority groups (any ethnicities which are not the largest ethnicity within the workforce)
-Indigenous groups (where applicable)
-Groups whose members do not speak the dominant language in the country &amp; region 
</t>
    </r>
  </si>
  <si>
    <t xml:space="preserve">If any of the following groups are present at the farm, have you taken actions to fairly represent them amongst management and supervisory staff? These groups could include: 
-Women -&gt; will go to gender requirement
-Migrants (foreign or from within the country)
- Specific ethnic minority groups (any ethnicities which are not the largest ethnicity within the workforce)
-Indigenous groups (where applicable)
-Groups whose members do not speak the dominant language in the country &amp; region </t>
  </si>
  <si>
    <t>publish vacancies for management and supervisory functions in a language(s) and in places accessible for all</t>
  </si>
  <si>
    <r>
      <t>If any of the following groups are present at the farm, have you taken actions to fairly represent them amongst management and supervisory staff? These groups could include: 
-</t>
    </r>
    <r>
      <rPr>
        <strike/>
        <sz val="10"/>
        <color theme="1"/>
        <rFont val="Calibri"/>
        <family val="2"/>
        <scheme val="minor"/>
      </rPr>
      <t xml:space="preserve">Women -&gt; </t>
    </r>
    <r>
      <rPr>
        <sz val="10"/>
        <color rgb="FFFF0000"/>
        <rFont val="Calibri"/>
        <family val="2"/>
        <scheme val="minor"/>
      </rPr>
      <t>will go to gender requirement</t>
    </r>
    <r>
      <rPr>
        <sz val="10"/>
        <color theme="1"/>
        <rFont val="Calibri"/>
        <family val="2"/>
        <scheme val="minor"/>
      </rPr>
      <t xml:space="preserve">
-Migrants (foreign or from within the country)
- Specific ethnic minority groups (any ethnicities which are not the largest ethnicity within the workforce)
-Indigenous groups (where applicable)
-Groups whose members do not speak the dominant language in the country &amp; region 
</t>
    </r>
  </si>
  <si>
    <t>- include unconscious bias and other anti discriminatory practices in the training and awareness raising of staff and management as required in 3.1.1 AND
- publish vacancies for management and supervisory functions in a language(s) and in places accessible for all</t>
  </si>
  <si>
    <t>Has management taken any targeted action to prevent workplace violence and harassment (including sexual harassment)?</t>
  </si>
  <si>
    <t>- do a risk scan of the workplace that will identify high risk areas (e.g. dark corridors, sections where people work on their own, etc.)</t>
  </si>
  <si>
    <t xml:space="preserve">Has management taken any targeted action to prevent workplace violence and harassment (including sexual harassment)? </t>
  </si>
  <si>
    <t xml:space="preserve"> Implement at least one of the following measures:
- Training for supervisors, safety guards and other staff in direct contact with workers on respectful behavior and concepts of workplace violence and harassment
- training of workers on the topic on respectful behavior and concepts of workplace violence and harassment
- do a risk scan of the workplace that will identify high risk areas and define actions to make them safer (e.g. dark corridors, sections where people work on their own, etc.)
Please note: in most cases workplace violence and harassment will relate to experiences faced by women. However risks are also faced by men. Ensure your answers cover risks in relation to all workers regardless of gender.</t>
  </si>
  <si>
    <t>Child labour</t>
  </si>
  <si>
    <t>High</t>
  </si>
  <si>
    <t xml:space="preserve">1) Conduct a review once per year to verify that there are identity documents on file for all workers under the age of 18; </t>
  </si>
  <si>
    <t>Lower, Med</t>
  </si>
  <si>
    <t>1) In line with core requirement 1.2.2, for hired young workers (15 - 17 years), the registry contains:
•	housing address
•	Name and address of parent(s) or legal guardian(s)
•	School registration
•	Type of work or tasks
•	The number of daily and weekly working hours.                                               2) Develop and implement a system to verify the identity and age of all new hires at the workplace, including those supplied by labour providers. Ensure the system bases its decisions on verifiable forms of identification proof. Include in the system school enrolment &amp; status. 3) Ensure information about age from which children can work and circumstances under which are clearly communicated to staff and workers.</t>
  </si>
  <si>
    <t>Verify the ages of all young workers on site while respecting children’s protection and privacy rights (see basic risk assessment)</t>
  </si>
  <si>
    <t xml:space="preserve">Have you listed any tasks, processes or other working conditions taking place on your farm that could be hazardous to young workers? </t>
  </si>
  <si>
    <t>Yes, please list</t>
  </si>
  <si>
    <t xml:space="preserve">Lower </t>
  </si>
  <si>
    <t xml:space="preserve">List the hazardous tasks/processes </t>
  </si>
  <si>
    <t xml:space="preserve">High </t>
  </si>
  <si>
    <t xml:space="preserve">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</si>
  <si>
    <t>Med, High</t>
  </si>
  <si>
    <t xml:space="preserve">In addition to above (row 46): 
1) Conduct a health and safety review/risk assessment of all major field activities to identify the major hazards, plus proposed steps to remove or reduce exposure for young workers [e.g. remove dangers of machinery, sharp tools, harmful substances, work at height, carrying heavy loads and workign at night ]. 3) Ensure all supervisors are aware of the hazardous tasks list and which tasks children are allowed to perform. 4) conduct awareness with your workers, especially those working in teams with young workers, about what tasks children are allowed to perform and from which age
</t>
  </si>
  <si>
    <t>Farm has formally registered workers aged under the age of 19</t>
  </si>
  <si>
    <t>Is the company / site taking any steps to protect under 18 year old workers / children of group members from  conducting hazardous tasks?</t>
  </si>
  <si>
    <t>Please list the steps; In addition to steps outlined in row 45, develop and implement Child Labor Monitoring System in accordance with A&amp;A Monitoring Guidance and steps outlined in row 56</t>
  </si>
  <si>
    <t>Farm has formally registered workers aged under the age of 20</t>
  </si>
  <si>
    <t>low</t>
  </si>
  <si>
    <t>Please list the steps</t>
  </si>
  <si>
    <t>Farm has formally registered workers aged under the age of 21</t>
  </si>
  <si>
    <t>In addition to steps outlined in row 46 and 47, set up child labor monitoring system in accordance with steps outlined in row 56 and Assess and Address monitoring guidance</t>
  </si>
  <si>
    <t>Farm has formally registered workers aged under the age of 22</t>
  </si>
  <si>
    <t>no further steps (beyond those outlined in row 46 and 47)</t>
  </si>
  <si>
    <t>Under 18s are employed, or there are workers with families living on the estate</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</si>
  <si>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 set up child labor monitoring system in accordance with Monitoring Guidance and steps outline in row 56</t>
  </si>
  <si>
    <t>Low, Medium</t>
  </si>
  <si>
    <t>High, Medium</t>
  </si>
  <si>
    <r>
      <t xml:space="preserve">Do workers bring their own children to the farm (to live or work)? </t>
    </r>
    <r>
      <rPr>
        <sz val="10"/>
        <color rgb="FFFF0000"/>
        <rFont val="Calibri"/>
        <family val="2"/>
        <scheme val="minor"/>
      </rPr>
      <t xml:space="preserve"> </t>
    </r>
  </si>
  <si>
    <t>Set up child labour monitoring process
1)Appoint  member of staff to supervise the work of all under 18s registered as working on the farm. 
2) Develop a process to record for each worker under the age of 18 a) their work designation for the week b) the expected hours of the work for that week  c) the specific location/section of the farm where they will work d) the name of the supervisor responsible for them.
3)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4) Follow the RA Remediation tool when removing children from child labor, ensuring care is taken to minimise damage to families when they miss out on income.</t>
  </si>
  <si>
    <t>Do workers bring their own children to the farm (to live or work)?</t>
  </si>
  <si>
    <t>Workers are informed about policy of hiring young workers, including the age from which children can be hired individually, in accordance with the Rainforest Alliance Standard as well as the national law.</t>
  </si>
  <si>
    <t>Workers are informed about policy of hiring young workers, including the age from which children can be hired individually, in accordance with the Rainforest Alliance Standard as well as the national law. Assess and Address Committee conducts periodic visits to randomly selected sections of the farm in order to verify that all workers -particularly those who visibly look under the age of 18 - are registered and on the company payroll</t>
  </si>
  <si>
    <t>Lower</t>
  </si>
  <si>
    <t xml:space="preserve">Forced labour </t>
  </si>
  <si>
    <t>All workplaces</t>
  </si>
  <si>
    <t>Farm management</t>
  </si>
  <si>
    <t>Does the farm use labour providers to recruit any workers?</t>
  </si>
  <si>
    <t xml:space="preserve">1. Farm must ensure that any labor providers used are licensed or certified by the appropriate government authority, if one exists.
</t>
  </si>
  <si>
    <t>1. Farms must have written contracts with each labor provider, requiring that labor providers abide by RA worker protection standards.
2. When possible, farms should directly contract workers who are recruited by labor providers.
3. For workers whose direct employer is a labor provider, the Assess &amp; Address monitoring system should check periodically with some of these workers to ensure that their pay, working conditions, etc. are as promised by the labor provider.
4. Workers recruited through labor providers should be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</si>
  <si>
    <t>No further action.</t>
  </si>
  <si>
    <t>1. Farms must ensure that workers have written or verbal contracts in place according to requirement 3.3.1.
2. When calculated by volume, workers' pay must equal at least the minimum wage based on a 48-hour working week or national legal working hours limit.
3. Deductions from wages for costs such as employer-provided housing or food must only be taken with workers' consent.
4. Workers must be paid at least monthly.
5. Workers must be provided pay slips showing hours worked (regular and overtime) and/or volume produced, calculation of wages and deductions, and wages paid.</t>
  </si>
  <si>
    <t>1. Management should confirm that personnel responsible for wage payment are correctly trained in calculations and requirements.
2. Management should make available personnel who speak the appropriate languages to explain/answer workers' questions about wage calculations and pay slips.
3. Management should assign responsibility to a member of staff to conduct a periodic review of pay records to identify instances of underpayment, delayed payment, and other inconsistencies.</t>
  </si>
  <si>
    <t>Are security guards present on the farm/group premises?</t>
  </si>
  <si>
    <t xml:space="preserve">1. Farms must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t>
  </si>
  <si>
    <t>1. The Assess &amp; Address monitoring system, working with other committees such as the Gender Committee, should periodically check with workers to see if they feel threatened by security guards.</t>
  </si>
  <si>
    <r>
      <t xml:space="preserve">Non-local workers are included among the workforce 
</t>
    </r>
    <r>
      <rPr>
        <sz val="10"/>
        <color rgb="FFFF0000"/>
        <rFont val="Calibri"/>
        <family val="2"/>
        <scheme val="minor"/>
      </rPr>
      <t>How will we know this; is it a question in the registry?</t>
    </r>
  </si>
  <si>
    <t>Are any workers recruited/provided to the farm by military or prison officials?</t>
  </si>
  <si>
    <t>No further actions.</t>
  </si>
  <si>
    <t>1. Military officials mobilizing military personnel to perform agricultural labor is a form of forced labor.  Farms must not utilize this type of labor.
2. Farms must ensure that any prisoners working on the farm have freely provided their consent to work. 
3. Prison labor must be treated the same as all other workers with respect to contracts, pay, working conditions, and all other worker protections in the RA standard.</t>
  </si>
  <si>
    <t>1. The Assess &amp; Address monitoring system should periodically check with prison laborers to ensure they are receiving the same treatment as other workers.</t>
  </si>
  <si>
    <t>1. Farms should not require workers to pay any type of deposit or provide any personal document to management, other than to confirm identity at the time of hiring.</t>
  </si>
  <si>
    <t>1. The Assess &amp; Address monitoring system, working with other committees such as the Grievance Committee, should periodically check with workers to see if they have had to pay deposits or hand over documents.
2. In instances where workers prefer to provide documents or other belongings to management for safe keeping, management must ensure that workers have permanent, unrestricted access to these locations.</t>
  </si>
  <si>
    <t>Living Wage</t>
  </si>
  <si>
    <t>Group management; medium/large estate management</t>
  </si>
  <si>
    <t>Does the business have a constant production level or are there peaks of production over a year (high and low production seasons)?</t>
  </si>
  <si>
    <t>If No, the business needs to set in place a system to start collecting the necessary data about types of workers.</t>
  </si>
  <si>
    <t>If there were variations in production levels during the year, what is the number of months per year with average production, high peaks, and low peaks?</t>
  </si>
  <si>
    <t>N/A</t>
  </si>
  <si>
    <t>See above.</t>
  </si>
  <si>
    <t>Does your business hav a  piece-rate payments or periods of time, or a combination
of both type of structure?</t>
  </si>
  <si>
    <t>Yes/No</t>
  </si>
  <si>
    <t>If No, the business needs to set in place a system for collecting the necessary data about types of workers.</t>
  </si>
  <si>
    <t>What is the difference between this question and the question in row 82?</t>
  </si>
  <si>
    <r>
      <t xml:space="preserve">Do you know what is the total number of men and women who occupy each type of position (averaged throughout the year)? </t>
    </r>
    <r>
      <rPr>
        <sz val="10"/>
        <color rgb="FF000000"/>
        <rFont val="Calibri"/>
        <family val="2"/>
      </rPr>
      <t>-&gt; to gender</t>
    </r>
  </si>
  <si>
    <t>If no, business sets a system in place to collect gender disaggregated data on type of positions.</t>
  </si>
  <si>
    <t xml:space="preserve">Align with the gender questions. </t>
  </si>
  <si>
    <t>Do you keep record of the type of unit against which payments are made?  For example, the units for positions with piece-rate; payment schemes could be hectares, linear meters, production volume (e.g., boxes, kilograms), and others. For other positions, the unit of payment may be hour, day, week, or month.</t>
  </si>
  <si>
    <t>If No, business sets a system in place to collect data for the type of unit against which payments are made for all major types of workers.</t>
  </si>
  <si>
    <t>Does the farm collect data on the amount paid in local currency per unit worked for each type of position in the form of values based on gross wages paid per unit?</t>
  </si>
  <si>
    <t>Can the farm calculate the Average number of units that are worked in a day for each type of position (for high, low, and average periods, if applicable)?</t>
  </si>
  <si>
    <t>What do you want to achieve with this one? Is it that management should have records on payments?</t>
  </si>
  <si>
    <t>Does the farm collect data on Average hours per day worked for each type of position (for high, low, and average periods, if applicable)?</t>
  </si>
  <si>
    <t>Does the farm collect data on Average hours per week worked for each type of position (for high, low, and average periods, if applicable)</t>
  </si>
  <si>
    <t>Does the farm collect data on Average amount of monthly bonuses granted for each type of position if bonuses for performance or quality that depend directly on the worker exist?</t>
  </si>
  <si>
    <t>Does your company provide subsidizedor donated food services to workers?</t>
  </si>
  <si>
    <t>Does your company provide subsidized or donated food services to workers?</t>
  </si>
  <si>
    <t>As the living wage benchmark reports do not stipulate a specific amount for transportation from home to the workplace and vice versa, there is no explicit reference value for this benefit, so the average monthly amount paid by_x000D_
the company to provide this service to each worker is included in the analysis</t>
  </si>
  <si>
    <t>Does your company provide donated health care services to workers? Does the medical service provided by the company cover all medical consultation expenses not covered by
public health entities?</t>
  </si>
  <si>
    <t>If the answer to all these questions is yes, then the reference amount associated with expenses for private medical services is factored into the calculations according to the living wage benchmark report for the area.</t>
  </si>
  <si>
    <t>Does your company donate packages of school supplies for the workers’ children?</t>
  </si>
  <si>
    <t xml:space="preserve">If the amount paid by the company for the purchase of school supplies is less than the reference value according to the living wage benchmark report for the area, the actual amount paid by the company (divided by 12 months) is included in the analysis. If the amount paid by the company is greater than the reference value according to the living wage benchmark report, it should be noted that the purchased items are in accordance with the official lists recommended by the relevant authorities (e.g., ministries of education). </t>
  </si>
  <si>
    <t xml:space="preserve">Does your company provide family housing for its workers?_x000D_
 </t>
  </si>
  <si>
    <t>If Yes, only family homes provided by the company that comply with decent housing standards are included. The reference value for renting a decent home in the area is included in the Matrix. If the company covers the costs associated with maintenance
and public services, then the reference values for for renting a decent home in the_x000D_
area is included in the Salary Matrix tool.</t>
  </si>
  <si>
    <t>Overlap</t>
  </si>
  <si>
    <t>Gender</t>
  </si>
  <si>
    <t>Gender Training for Leadership</t>
  </si>
  <si>
    <t>Have management, supervisors and/or internal inspectors been trained in the past year on gender equality?</t>
  </si>
  <si>
    <t xml:space="preserve">Train management, supervisors, internal inspectors annually on issues related to gender equality and women’s empowerment (maternity leave, sexual harassment…), AND/OR
train management, supervisors, internal inspectors on gender bias in hiring, promotion, and employee engagement, AND/OR
make gender-related trainings (e.g. sexual harassment, discrimination, gender equality or gender bias) a requirement for all management, supervisors, and internal inspectors
</t>
  </si>
  <si>
    <t>Has management undertaken significant action in the past to address gender equality and/or women empowerment?</t>
  </si>
  <si>
    <t xml:space="preserve">Formulation of a policy on gender equality and women’s empowerment which will be shared with the rest of the workers AND/OR
Stakeholder mapping of gender related (human rights) organizations that could support addressing gender within workers, AND/OR
Ensure that management and/or other high-level functions are accountable for meeting the gender plan targets
</t>
  </si>
  <si>
    <t>Are women currently represented significally in relation to their number amongst supervisors, management and other high level functions within the farm?</t>
  </si>
  <si>
    <t>-establish a minimum quota for female trainers, supervisors, management and other high level functions AND/OR
- organize professional training targeted at female workers to improve their opportunities for higher level jobs AND/OR
-make sure that job advertisement reach male AND female workers and that job requirements are achievable for female workers
- give in person training to management staff invovled in recruitment on unconscious bias and methodologies to prevent gender based discriminatory practices</t>
  </si>
  <si>
    <t>Do you know what is the total number of men and women who occupy each type of position (averaged throughout the year)?</t>
  </si>
  <si>
    <t>yes/no</t>
  </si>
  <si>
    <t>C. Environment</t>
  </si>
  <si>
    <t>Forests and Protected Areas 4.1</t>
  </si>
  <si>
    <t>Ensure that producers and workers know that native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</si>
  <si>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HCV</t>
  </si>
  <si>
    <t>Farmers that are within X km of a protected area</t>
  </si>
  <si>
    <t>High Conservation Value Areas (HCV)</t>
  </si>
  <si>
    <t>bla</t>
  </si>
  <si>
    <t>. Is the farm (or any farm in a group) located closer than 5 km to an Intact Forest Landscape?</t>
  </si>
  <si>
    <t>Yes/No --&gt; if yes --&gt;</t>
  </si>
  <si>
    <r>
      <t xml:space="preserve">List all activities by farmers (and any resident staff) that involve tree felling, clearing or burning of vegetation, cattle-grazing, and hunting/collection in the wider landscape outside the farm, </t>
    </r>
    <r>
      <rPr>
        <sz val="10"/>
        <color rgb="FFFF0000"/>
        <rFont val="Calibri"/>
        <family val="2"/>
        <scheme val="minor"/>
      </rPr>
      <t>and stop or redirect</t>
    </r>
    <r>
      <rPr>
        <sz val="10"/>
        <color theme="1"/>
        <rFont val="Calibri"/>
        <family val="2"/>
        <scheme val="minor"/>
      </rPr>
      <t xml:space="preserve"> any activity that may degrade the structure or species composition of an IFL. </t>
    </r>
  </si>
  <si>
    <t xml:space="preserve">TIFFANY: this is not MVP for geosaptial analysis, focus is on deforestation and PA </t>
  </si>
  <si>
    <t>Is the farm (or any farm in a group) located in or closer than 2 km to a designated Protected Area (PA), a Key Biodiversity Area (KBA), a Ramsar site or a UNESCO World Heritage site</t>
  </si>
  <si>
    <t>•	respect the borders and integrity of the area;
•	comply with all applicable legal requirements and provisions – general national legislation related to PAs and their buffer zones as well as any specific regulations for the area; 
•	do not threaten the main conservation attributes of the area, i.e. the values for which the area has been protected or classified as a PA, KBA or Ramsar site</t>
  </si>
  <si>
    <t>Do you use communal lands for purposes related to farming, e.g. cattle grazing, timber collection, or hunting?</t>
  </si>
  <si>
    <t>a) Identify and describe all current or planned practices related with farming, including for the certified crops, livestock, construction, etc that use resources from communal lands; 
b) Evaluate if farming-associated activities impact on the vegetation structure or on the community’s land-uses;
c) Seek ways to reduce negative impacts and avoid relying on the resources of communal lands when expanding or diversifying farming activities</t>
  </si>
  <si>
    <t>Is the farm, or farm group, larger than 10,000 hectares, and is the answer ‘Yes’ to questions 1, 2, or 3?</t>
  </si>
  <si>
    <t>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develop your management and monitoring plan in collaboration with the affected communities.</t>
  </si>
  <si>
    <t>Native Vegetation</t>
  </si>
  <si>
    <t xml:space="preserve">Native Vegetation </t>
  </si>
  <si>
    <t xml:space="preserve">Do all on-farm natural ecosystems, including hedges, tree lines, riparian buffers, and forest contain native vegetation? </t>
  </si>
  <si>
    <t>Maintain existing native vegetation; Ensure that the total farm area with native vegetation meets the criteria in 4.2.2-4.2.6</t>
  </si>
  <si>
    <t xml:space="preserve">Identify appropriate native species that can be planted to increase the proportion of native vegetation in on-farm natural ecosystems including forests, riparian buffers, hedges, and tree lines. </t>
  </si>
  <si>
    <t>Natural Ecosystems</t>
  </si>
  <si>
    <t>All CHs with on-farm forest</t>
  </si>
  <si>
    <t>Does the forest resemble natural forest in terms of canopy cover, forest strata, and the presence of vines or lianas? See document titiled Guidance on Implementing 4.1-4.3 for more information on measuring forest quality.</t>
  </si>
  <si>
    <t>All CHs with on-farm wetlands</t>
  </si>
  <si>
    <t>Do wetlands store or convey flood waters at any time of the year?</t>
  </si>
  <si>
    <t>All CHs with on-farm grassland/rangeland or non-natural desert</t>
  </si>
  <si>
    <t xml:space="preserve">Do grassland/rangeland or non-natural desert areas contain large bare areas that are at risk of eroding into nearby waterways? </t>
  </si>
  <si>
    <t>All CHs with permanently fallow land</t>
  </si>
  <si>
    <t>Are trees regenerating naturally on permanently fallow land?</t>
  </si>
  <si>
    <t>All CHs with multiple areas of natural ecosystem</t>
  </si>
  <si>
    <t>Are the areas of natural ecosystem connected by landscape corridors?</t>
  </si>
  <si>
    <t>Plan to connect existing ecosystem fragments with habitat or landscape corridors. Maintain and enhance buffer zones around existing ecosystem fragments to prevent encroachment of farm activities and enforce agrochemical "non-application zones".</t>
  </si>
  <si>
    <t>Deforestation/conversion</t>
  </si>
  <si>
    <t>Harvesting in Forests</t>
  </si>
  <si>
    <t>Is there any harvesting of forestry products, including wood and non-timber forestry products, from natural ecosystems on the group of farms?</t>
  </si>
  <si>
    <t>Describe the harvesting activities and include a plan for sustainable continuation of these practices. Identify any potential threats to the quality or spatial extent of the natural ecosystems resulting from harvesting practices.</t>
  </si>
  <si>
    <t>Are producers aware of the risks and impacts that climate change poses to livelihoods and production systems?</t>
  </si>
  <si>
    <t>Yes/No --&gt; if no --&gt;</t>
  </si>
  <si>
    <t>Awareness raising on climate change risks and their impacts on agriculutral production systems and livelihoods more broadly.</t>
  </si>
  <si>
    <t>Have producers identified the most significant climate change threats/risks/impacts (current and projected) on livelihood resources and farming systems?</t>
  </si>
  <si>
    <t>a) Carry out a climate change risk assesment to identify and describe the most significant cimate risks based on RA CC risk assessment tool.</t>
  </si>
  <si>
    <t>Does a risk managament plan exist and have the identified risks and impacts (current and projected) been taken into account?</t>
  </si>
  <si>
    <t>a) Develop a farm map identifying most at risk areas based on identified climate impacts;                               b) Develop mitigation strategies to address identified risk as they relate to other standard criteria e.g. soil management;                                                                                                                                                                           c) Develop mitigation strategies to address identified risk as they relate to other livelihood strategies i.e. opportunties for diversification so that people are managing risk by planning for and investing in the future.</t>
  </si>
  <si>
    <t xml:space="preserve">Do producers have access to relevant climate change information, skills and services to develop and employ adaptation strategies?  </t>
  </si>
  <si>
    <r>
      <rPr>
        <b/>
        <sz val="10"/>
        <color theme="1"/>
        <rFont val="Calibri"/>
        <family val="2"/>
        <scheme val="minor"/>
      </rPr>
      <t>Initial Risk Assessment</t>
    </r>
    <r>
      <rPr>
        <sz val="10"/>
        <color theme="1"/>
        <rFont val="Calibri"/>
        <family val="2"/>
        <scheme val="minor"/>
      </rPr>
      <t>: the initial risk assessment is a set of questions a group or estate management shall answer before implementation of the certification program in order to have an indication on topics that require special attendion during planning and implementation of the program. E.g. topics that need to be covered in the trainings, topics that require special attention during internal inspections etc. 
-What topics do we want to include in the initial risk assessment? 
-Who can provide the questions per topic?</t>
    </r>
  </si>
  <si>
    <t>Requirement</t>
  </si>
  <si>
    <t>Feeds into: internal inspections</t>
  </si>
  <si>
    <t>High/Medium/Low</t>
  </si>
  <si>
    <t>Feeds into: management plan</t>
  </si>
  <si>
    <t>Level 0</t>
  </si>
  <si>
    <t>Level 1</t>
  </si>
  <si>
    <t>Level 2</t>
  </si>
  <si>
    <t>Level 3</t>
  </si>
  <si>
    <r>
      <t xml:space="preserve">(1.3.5) Management conducts a risk assessment in relation to the criteria in this standard for their group/farm at least every three years, including at least the risks associated with:
</t>
    </r>
    <r>
      <rPr>
        <b/>
        <sz val="10"/>
        <color rgb="FFFF0000"/>
        <rFont val="Calibri"/>
        <family val="2"/>
        <scheme val="minor"/>
      </rPr>
      <t>-Traceability</t>
    </r>
    <r>
      <rPr>
        <b/>
        <sz val="10"/>
        <color theme="1"/>
        <rFont val="Calibri"/>
        <family val="2"/>
        <scheme val="minor"/>
      </rPr>
      <t xml:space="preserve">
- Social risks including child labor, forced labor and workplace harassment and violence
- Agrochemicals management
- Deforestation and biodiversity loss
- Economic fluctuations or shocks 
- Climate change, extreme weather, environmental hazards</t>
    </r>
  </si>
  <si>
    <t>(1.3.1) An internal inspection system is in place to assess compliance of group members with the Rainforest Alliance standard. 
...
- consecutive years:
     - scope of inspection is based on risk assessment and on previous inspections</t>
  </si>
  <si>
    <r>
      <t xml:space="preserve">(1.4.1) Management makes a management plan, describing improvement areas, actions to be taken, services to be delivered and usage of Premium. The management plan is based on at least, but not limited to, </t>
    </r>
    <r>
      <rPr>
        <b/>
        <sz val="10"/>
        <color rgb="FFFF0000"/>
        <rFont val="Calibri"/>
        <family val="2"/>
        <scheme val="minor"/>
      </rPr>
      <t xml:space="preserve">the internal inspection </t>
    </r>
    <r>
      <rPr>
        <b/>
        <sz val="10"/>
        <color theme="1"/>
        <rFont val="Calibri"/>
        <family val="2"/>
        <scheme val="minor"/>
      </rPr>
      <t>(1.3.1) and risk assessment (1.3.5). Actions are implemented, monitored, and documented. The management plan is updated at least every three years.</t>
    </r>
  </si>
  <si>
    <t>No PDCA: Lack of documentation (processes and policies). No structure or formalized organization.</t>
  </si>
  <si>
    <t>Reactive, but documented (PDCA): Documentation exists with an informal structure implementing the processes and policies. Implementation occurs in reaction to the system, as no planning was taken into account when policies and process were developed.</t>
  </si>
  <si>
    <t>Proactive (PDCA): Formal documentation and structure to implement policies and processes, stakeholder involvement and planning has been involved during the development of the policies and processes. Post-implementation, there was a lack of evaluation and learning.</t>
  </si>
  <si>
    <t>Continuous improvement (PDCA): Formal documentation and structure to implement policies and processes, stakeholder involvement and planning has been involved during the development of the policies and processes. Post-implementation, activities were checked, evaluated and monitored to ensure that learning and improvement takes place.</t>
  </si>
  <si>
    <t>This page has:</t>
  </si>
  <si>
    <t>A. Management (see capacity assessment tool?)</t>
  </si>
  <si>
    <t>Topic</t>
  </si>
  <si>
    <t>Question applicable to (Group Managemet, medium/large estate management, group member during internal inspections)</t>
  </si>
  <si>
    <t>If yes, should show in Mitigation Actions</t>
  </si>
  <si>
    <t>Supporting documents /  evidence:</t>
  </si>
  <si>
    <t>Selection</t>
  </si>
  <si>
    <t>Weighted</t>
  </si>
  <si>
    <t>Maximum</t>
  </si>
  <si>
    <t>A.</t>
  </si>
  <si>
    <t>Group management capacity</t>
  </si>
  <si>
    <t>Economic fluctuations or shocks</t>
  </si>
  <si>
    <t>CH management</t>
  </si>
  <si>
    <t>Do you/will you make use of intermediaries in your supply chain?</t>
  </si>
  <si>
    <t xml:space="preserve">Set up a clear traceability flow, that includes the documented and physical traceability rules for all actors (farmer, intermediary, CH management).
Train the intermediaries on traceability.
Monitor traicability and record keeping at intermediaries (during the harvest period). </t>
  </si>
  <si>
    <t xml:space="preserve">B.  </t>
  </si>
  <si>
    <t>Agrochemical management</t>
  </si>
  <si>
    <t>Farm level</t>
  </si>
  <si>
    <t>Review the Rainforest Alliance list of banned agrochemicals. Is it common practice in the region to use one or more of the agrochemicals from the banned pesticide list?</t>
  </si>
  <si>
    <t xml:space="preserve">Group member training on the prohibition of the use of banned agrochemicals, and which ones those are. 
Include verification on use of banned agrochemicals in internal inspections. 
Monitoring of use of banned agrochemicals during application period. 
Note: farmers that have used banned agrochemicals for the harvest to be certified cannot be included in the certification and have to wait for the next harvest cycle to apply again. </t>
  </si>
  <si>
    <t>C. Working Conditions</t>
  </si>
  <si>
    <t xml:space="preserve">C.  </t>
  </si>
  <si>
    <t>Group members</t>
  </si>
  <si>
    <t>If you hire labor (beyond family labor), are any of the workers from historically discriminated groups (indigenous communities, minorities, lower castes etc.)?</t>
  </si>
  <si>
    <t>Ensure that all workers receive equal pay for jobs of equal value.
Ensure that all workers understand the working conditions if needed by explaining in their own language.</t>
  </si>
  <si>
    <t>Is it possible that any of the group members hires labor (beyond family labor), are any of the workers from historically discriminated groups (indigenous communities, minorities, lower castes etc.)?</t>
  </si>
  <si>
    <t>Do you have any female workers beyond family labor?</t>
  </si>
  <si>
    <t>Ensure that a registry is kept, also if they are casual workers, indicating their sex.
Ensure that they understand the working conditions, including remuneration level and other benefits, if needed by explaining in their own language.</t>
  </si>
  <si>
    <t>Is it possible that any of the group members hires any female workers beyond family labor?</t>
  </si>
  <si>
    <t>Forced Labor</t>
  </si>
  <si>
    <t>Is it possible that there migrant workers (including seasonal and temporary) working on any of the farms?</t>
  </si>
  <si>
    <t>Ensure that migrant workers have safe place to keep their identity and other important documents, which is accessible to them at all times.</t>
  </si>
  <si>
    <t>Is it possible that there are workers on any of the farms who were recruited by a third-party labor provider?</t>
  </si>
  <si>
    <t>Maintain records of which workers were recruited by which labor provider. 
Ensure that written contracts are in place between the farm/group and each labor provider, specifying that providers must abide by all Rainforest Alliance standards and that the workers they recruit must not pay any recruitment fees.
Ensure that workers are always paid their wages directly, not indirectly through a third party.</t>
  </si>
  <si>
    <t>Is it possible that workers on any of the farms have paid a recruitment fee to labor providers or other actors in the recruitment chain?</t>
  </si>
  <si>
    <t>In the hiring process, integrate a process to ask workers whether they hold any recruitment-related debt.</t>
  </si>
  <si>
    <t>Is it possible that any workers are lacking a written contract, or documented verbal agreement?</t>
  </si>
  <si>
    <t>Group members work towards signing direct contracts/verbal agreements with permanent workers and workers who are employed for more than 3 consecutive months.</t>
  </si>
  <si>
    <t>Is it possible that any workers are directly employed by labor providers (contract signed between worker and labor provider)?</t>
  </si>
  <si>
    <t>Do hired workers receive food, housing, and/or transportation provided by the farmer/group management?</t>
  </si>
  <si>
    <t>Ensure that workers' contracts/records of verbal agreements specify the in-kind benefits they will receive and specific cost deductions that will be taken for them.  In-kind benefits must be in accordance with national law, and never exceed 30% of the total remuneration.</t>
  </si>
  <si>
    <t>@Lennie: It would.  But isn't that OK?  If this tool helps a farmer identify an actual gap, it also helps the farmer remediate that gap.</t>
  </si>
  <si>
    <t>Eliminate any restrictions on workers' freedom of movement outside their working hours. Allow workers to maintain possession of their mobile phones and other communication devices.</t>
  </si>
  <si>
    <t>Do workers ever wait longer than 1 month to be paid?</t>
  </si>
  <si>
    <t>Ensure that workers are paid regularly at scheduled intervals, at least monthly. Payments must be documented with a pay slip or other suitable wage record to allow verification.</t>
  </si>
  <si>
    <t>Do workers ever receive advances or loans from the farm/group?</t>
  </si>
  <si>
    <t>Ensure that advances/loans amount to no more than 1-2 months' salary and that repayment terms are reasonable (no higher than prevailing market interest rates), documented, and agreed by both parties.</t>
  </si>
  <si>
    <t>Child Labor</t>
  </si>
  <si>
    <t>Is pre-school education and/or day care freely available for children in this community?</t>
  </si>
  <si>
    <t>Check if pre-school age children are taken on to farms and if so, if there is a safe place for them to be.</t>
  </si>
  <si>
    <t>Talk to parents and guardings about risk of children being on farms and work with farm owners and local organisations to find suitable and safe places for children to be when parent’s work.</t>
  </si>
  <si>
    <t>Does this community lack sufficient primary and secondary schools to educate all children?</t>
  </si>
  <si>
    <t>As a longer-term measure, engage with external actors to obtain support to improve school access.</t>
  </si>
  <si>
    <t>If there are schools in the community, do they charge any formal or informal fees to enroll children, or are there costs associated with education including books, uniform, transport, etc.?</t>
  </si>
  <si>
    <t>As a longer-term measure, engage with external actors to obtain support for children whose families cannot afford these costs.</t>
  </si>
  <si>
    <t>If schools are available in the community, do parents keep children home from school in order to work or do household tasks; and/or do older children drop out of school to work?</t>
  </si>
  <si>
    <t>Raise awareness among workers/members/families of the importance of sending children to school and the Rainforest Alliance requirement against child labor.</t>
  </si>
  <si>
    <t>Is it considered normal in this community for children to work in farming?</t>
  </si>
  <si>
    <t>Harassement and Violence</t>
  </si>
  <si>
    <t>If you hire labor (beyond family labor), are there female workers between them who work without the presence of their partner or another relative who work with male workers?</t>
  </si>
  <si>
    <t>Ensure that female workers work together, if possible, with a female supervisor.</t>
  </si>
  <si>
    <t>If you hire labor (beyond family labor), are there young workers (below 21) who work without the presence of a family member?</t>
  </si>
  <si>
    <t>Ensure that young workers work in a safe environment, in a group, if possible with a female supervisor.</t>
  </si>
  <si>
    <t>Do you have female and/or young workers amongst your hired labor (beyond family labor) who work in an isolated environment?</t>
  </si>
  <si>
    <t>Ensure that they work in groups with at least several women, if possible with a female supervisor.</t>
  </si>
  <si>
    <t>Have all supervisors been trained on appropriate behavior and the procedures that are in place to address inappropriate behavior towards other workers?</t>
  </si>
  <si>
    <t>Company supervisors are trained to use appropriate disciplinary techniques and procedures. A policy is in place to suspend or terminate supervisors who do not adhere to these techniques and procedures.</t>
  </si>
  <si>
    <t>Does the farm/group hire security guards to protect the premises?</t>
  </si>
  <si>
    <t>Ensure that workers are able to come and go from the farm without intimidation from security guards.  Train security guards on proper conduct including a prohibition on threats and bribery.</t>
  </si>
  <si>
    <t>Do workers lack awareness of how they can raise concerns about any labor abuses?</t>
  </si>
  <si>
    <t>Distribute information within the group/farm and/or conduct trainings for workers on the use and functioning of the grievance mechanism and the presence and functions of the pp/committee for human rights issues.</t>
  </si>
  <si>
    <t>Do workers/member farmers lack awareness of the concepts of discrimination, forced labor, child labor, and workplace harassment and violence and the difference between acceptable and unacceptable behavior.</t>
  </si>
  <si>
    <t>Inform workers in their own language on concepts, acceptable behavior, rights and procedures in place regarding the four topics.</t>
  </si>
  <si>
    <t>C.</t>
  </si>
  <si>
    <t>Will the gender plan elaborated with the outcomes of this assessment be incorporated in the general management plan?</t>
  </si>
  <si>
    <t>Share the outcomes of this gender analysis with group/farm management. Elaborate the gender plan in coordination with group/farm management and have it incorporated in the general management plan</t>
  </si>
  <si>
    <t>Ensure that progress of the gender plan will be frequently discussed in the management meetings</t>
  </si>
  <si>
    <t>Does farm/group management understand the concepts of sex, gender,and gender equality?</t>
  </si>
  <si>
    <t>Organize awareness sessions with management on concepts and importance of gender equality and related issues</t>
  </si>
  <si>
    <t>Is monitoring with sex-disaggregated data carried out for (elected) leadership positions, participation in training, access to loans for farm investments, diversification, workers wages (SH) or for workers, workers wages, access to supervisory, f/m in workers union, f/m in supervisory or management positions... (M/LF)</t>
  </si>
  <si>
    <t>Introduce monitoring with sex-disaggregated data and make sure that the collected data are shared with the person/committee responsible for gender.</t>
  </si>
  <si>
    <t>Do men and women have an equal role in decision making?</t>
  </si>
  <si>
    <t>Raise awareness about importance to include more women (or men) in decision making positionsOrganize leadership trainings for womenFacilitate participation of women in meetings by adjusting location, timing, etc.</t>
  </si>
  <si>
    <t>Are supervisory and management jobs and other better paid jobs accessible for men and women?</t>
  </si>
  <si>
    <t>Ensure that job requirements can be fulfilled by both men and women where possibleOffer additional training on management, administration and other topics for women to facilitate their access to better paid jobs</t>
  </si>
  <si>
    <r>
      <t>CH management</t>
    </r>
    <r>
      <rPr>
        <sz val="10"/>
        <color rgb="FFFF0000"/>
        <rFont val="Calibri"/>
        <family val="2"/>
        <scheme val="minor"/>
      </rPr>
      <t>/group members</t>
    </r>
  </si>
  <si>
    <r>
      <t xml:space="preserve">Are trainings </t>
    </r>
    <r>
      <rPr>
        <sz val="10"/>
        <color rgb="FFFF0000"/>
        <rFont val="Calibri"/>
        <family val="2"/>
        <scheme val="minor"/>
      </rPr>
      <t>(for farmers and CH staff?)</t>
    </r>
    <r>
      <rPr>
        <sz val="10"/>
        <color theme="1"/>
        <rFont val="Calibri"/>
        <family val="2"/>
        <scheme val="minor"/>
      </rPr>
      <t xml:space="preserve"> considering the needs and interests of both men and women?</t>
    </r>
  </si>
  <si>
    <t>Do assessment for training and organize training on topics on basis of its outcomesFacilitate participation of women by adjusting location, timing, use of female facilitators, local language...Train women to become internal inspector or trainer</t>
  </si>
  <si>
    <t>Do women and men receive the same remuneration and benefits related to a job of equal value?</t>
  </si>
  <si>
    <t>Ensure that all workers have access to information about the wages and benefits that relateto different job types in their own languageEnsure that jobs of equal value receive equal pay and benefits</t>
  </si>
  <si>
    <t>Do women and men have the same access to farmers' cooperative? (SH)</t>
  </si>
  <si>
    <t>Promote members registration as a coupleUse agricultural activities as a criterion to become a member, instead of landownershipFacilitate female farmers registration by offering a reduction of memberships fee Approach female farmers personally to invite them to becomemember</t>
  </si>
  <si>
    <t>Do female and male workers have the same access to workers union? (M/LF)</t>
  </si>
  <si>
    <t>Promote female workers participation by training, awareness raising of male leaders and workers, personal invites, target setting</t>
  </si>
  <si>
    <t>Do female and male farmers have the same access to inputs and services like loans for agricultural investment, seedlings, information, etc.? (SH)</t>
  </si>
  <si>
    <t>Ensure that male and female farmers are aware of inputs and services being offered and know where and how to access themEnsure that measures are in place to facilitate access of female farmers to inputs and services taking into account their time poverty and lack of means of transport (time and place of reception, required documents, etc.)Monitor the reception of inputs and services with sex-disaggregated data, identify gaps</t>
  </si>
  <si>
    <t>Do female and male workers have the same access to inputs and services like training, health services, benefits</t>
  </si>
  <si>
    <t>Ensure that male and female farmers are aware of inputs and services being offered and know where and how to access themEnsure that measures are in place to facilitate access of female farmers to inputs and services taking into account their time poverty and lack of means of transport (time and place of reception, required documents, etc.). Monitor the reception of inputs and services with sex-disaggregated data, identify gaps.</t>
  </si>
  <si>
    <t xml:space="preserve">D. </t>
  </si>
  <si>
    <t>Deforestation and Biodiversity (Align with work of Tiffany)</t>
  </si>
  <si>
    <t>Group management</t>
  </si>
  <si>
    <t>Is there a map in place that outlines natural forests and other natural ecosystems (such as savanna, wetlands, peatlands), production areas, protected areas and set-aside land, and rivers?</t>
  </si>
  <si>
    <t>Concerning group members</t>
  </si>
  <si>
    <t xml:space="preserve">Is it probable that there producers that have borders to forests, protected areas and rivers? </t>
  </si>
  <si>
    <t>Awareness raising of the requirements related to these – no degradation of forests, protected areas and natural ecosystems, no-application zones of pesticides and riparian buffer zones?</t>
  </si>
  <si>
    <t>Is it likely producers are not aware that the should maintain natural vegetation on the farm?</t>
  </si>
  <si>
    <t xml:space="preserve">Awareness raising of producers on maintenance of natural vegetation on the farm. </t>
  </si>
  <si>
    <t>Is it likely that producers hunt on the farm?</t>
  </si>
  <si>
    <t xml:space="preserve">Awareness raising of producers on hunting requirements. </t>
  </si>
  <si>
    <t>Are there any endangered species in the area? And if so, do you think that farmers are aware of the endangered species there are and how to protect them?</t>
  </si>
  <si>
    <t>Awareness raising on endangered species and how to protect them.</t>
  </si>
  <si>
    <t>Main aspects based on AMEA guidelines:</t>
  </si>
  <si>
    <t>A. Organizational purpose and Governance practices</t>
  </si>
  <si>
    <t>B. Business management</t>
  </si>
  <si>
    <t>C. Member engagement and planning</t>
  </si>
  <si>
    <t>D. Human resource management</t>
  </si>
  <si>
    <t>E. Financial management</t>
  </si>
  <si>
    <t>F. Community and stakeholder engagement</t>
  </si>
  <si>
    <t>G. Member services and business activiies</t>
  </si>
  <si>
    <t>Red</t>
  </si>
  <si>
    <t>From the AMEA guidelines</t>
  </si>
  <si>
    <t>Yellow</t>
  </si>
  <si>
    <t>From the M4 tool</t>
  </si>
  <si>
    <t>Wit:</t>
  </si>
  <si>
    <t>From the NewForesight tool</t>
  </si>
  <si>
    <t>Beige:</t>
  </si>
  <si>
    <t>From the Adore tool</t>
  </si>
  <si>
    <t>Certification option (group or large estate)</t>
  </si>
  <si>
    <t xml:space="preserve">Which CHs does this apply to? </t>
  </si>
  <si>
    <t>All Farmer Groups</t>
  </si>
  <si>
    <t>Management capacity</t>
  </si>
  <si>
    <t xml:space="preserve">Based on the outcomes of the capacity assessment tool, have you identified areas to improve? If yes, please indicate which actions you want to take for the applicable areas of the 7 areas included in the Capacity Assessment Tool. </t>
  </si>
  <si>
    <t>Do you/will you make use of intermediaries* in your supply chain?</t>
  </si>
  <si>
    <t>Include all intermediaries in your traceability procedure. Train the intermediaries on traceability. Monitor traceability, calibration of scales and record keeping at intermediaries (during the harvest period) and cross-check with information of sales from a sample of producers. If intermediaires are paid according to weight bought in, mitigation should include regular verification of scales.</t>
  </si>
  <si>
    <t xml:space="preserve">Include record keeping in training plan.
Monitor record keeping. </t>
  </si>
  <si>
    <t>Do you expect farmers to have difficulties keeping records?</t>
  </si>
  <si>
    <t>All farmer organizations</t>
  </si>
  <si>
    <t>Implement a system for identifying the products originating from certified producers by means of physical or visual identification and in the tracebaility documents (receipts, registry, etc.).</t>
  </si>
  <si>
    <t>Yield estimation</t>
  </si>
  <si>
    <t>Is there an important pressure on the land? Do farmers often divide or sell their land?</t>
  </si>
  <si>
    <t xml:space="preserve">Include assessment of the certified area for each producer in the yearly internal inspections to ensure that the areas in the group member administration match the reality of the farms. </t>
  </si>
  <si>
    <t>Information on harvested volumes based on deliveries might not be reliable, therefore, put a system in place to get information on harvested volumes (this can be done by asking  producers directly through out the year or during internal inspections).</t>
  </si>
  <si>
    <t xml:space="preserve">Guarantee that the farm managers is the same year after year through the internal inspections and that they are aware of the traceability requirements. Check if farm operator also manages non-certified farms and if so, encourage to include them in the certified group as well. </t>
  </si>
  <si>
    <t>Does the certified product need to be aggregated for processing?</t>
  </si>
  <si>
    <t>Mixing with non-certified products might occur to guarantee minimum volume for processing. 
Group management to put a control system to regularly check that product separation is respected (also at subcontractor level).</t>
  </si>
  <si>
    <t>Use of banned inputs</t>
  </si>
  <si>
    <t>Review the Rainforest Alliance list of banned agrochemicals: 
Is it common practice in the region to use one or more of the agrochemicals from the banned pesticide list, including on the non-certified crops on the farm?</t>
  </si>
  <si>
    <t xml:space="preserve">Group member training on the prohibition of the use of banned agrochemicals, and which ones those are. 
Group members trained on the risk of using highly hazardous agrochemicals.
Include verification on use of banned agrochemicals in internal inspections. 
Monitoring of use of banned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</si>
  <si>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Review the Rainforest Alliance list of banned agrochemicals: 
Is it common practice in the region to use one or more of the agrochemicals from the banned pesticide list?</t>
  </si>
  <si>
    <t>No specific mitigation action</t>
  </si>
  <si>
    <t xml:space="preserve">Review the Rainforest Alliance list of banned agrochemicals: 
If you are certified by other standards, are there any RA banned agrochemicals that are not banned under these other standards?  
</t>
  </si>
  <si>
    <t xml:space="preserve">Group member training on the prohibition of the use of banned agrochemicals, and which ones those are. 
up member training on the prohibition of the use of banned agrochemicals, and which ones those are. 
Group members trained on the risk of using highly hazardous agrochemicals.
Include verification on use of banned agrochemicals in internal inspections. 
Monitoring of use of banned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</si>
  <si>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Does your group already have an effective IPM system for the certified crop in place, including the identification and monitoring of pests?</t>
  </si>
  <si>
    <t>Make sure all members have the necessary knowledge and skills to apply IPM.</t>
  </si>
  <si>
    <t>Develop the IPM strategy for your crop, including the development of a pest monitoring system and the establishment of action thresholds. (May need to contact local university or extension service.)
Make sure all members have the necessary knowledge and skills to apply IPM.
Train members on record keeping.
Identify sources for the purchase of lower toxicity agrochemicals as well as non-chemical pest control products.</t>
  </si>
  <si>
    <t>Pesticide residues</t>
  </si>
  <si>
    <t>Do you or your buyer regularly check samples of the crop for residues of agrochemicals (MRL)?</t>
  </si>
  <si>
    <t>Make sure there is a good traceability system back to the producer</t>
  </si>
  <si>
    <t>Make sure there is a good traceability system back to the farm units
Identify a laboratory for residue analysis and set up a sampling system and procedure</t>
  </si>
  <si>
    <t>Are all workers/farmers spraying agrochemicals using the correct PPE at all times when they apply agrochemicals?</t>
  </si>
  <si>
    <t>Ensure availability of sufficient PPE for all those applying agrochemicals.
Develop and implement management policies on the correct use of PPE.
Make sure all those applying agrochemicals are trained on correct application of the agrochemicals and PPE.
up member training on the prohibition of the use of banned agrochemicals, and which ones those are. 
Group members trained on the risk of using highly hazardous agrochemicals.
For group, explore the option of developing spray teams to replace agrochemical application by individual group members.</t>
  </si>
  <si>
    <t>Soil conservation</t>
  </si>
  <si>
    <t>Water management</t>
  </si>
  <si>
    <t>Soil fertility</t>
  </si>
  <si>
    <t>Nutrient deficiencies</t>
  </si>
  <si>
    <t>Is soil testing being done to determine fertilizer application?</t>
  </si>
  <si>
    <t>Determine appropriate fertilizer (both organic and inorganic) application schemes.</t>
  </si>
  <si>
    <t>See if soil testing can be introduced or if nutrient deficiency can be otherwise  determined by observation in crop or vegetation</t>
  </si>
  <si>
    <t>KM: I have copied this from Indiv CH for trader led groups - important that on sites with more than x no of workers, this rule also applies. What is the no of workers this should apply from?</t>
  </si>
  <si>
    <t xml:space="preserve">Are any of the following groups present on or near the farm or group:
- Migrant workers (foreign or from within the country)
- Specific ethnic minority groups (any ethnicities which are not the largest ethnicity within the workforce)
-Indigenous groups (where applicable)
-Groups whose members do not speak the dominant language in the country &amp; region 
</t>
  </si>
  <si>
    <t>Assess whether members of these groups are group members, or workers on the farm,  or working with group members, or contracted as group staff
If this is the case, include unconscious bias and other anti discriminatory practices in the training and awareness raising of staff and management as required in 3.1.1 AND
- publish vacancies for management and supervisory functions in a language(s) and in places accessible for all</t>
  </si>
  <si>
    <t>Wording to be adjusted (needs to be easy to understand). What do we mean with underrepresented?</t>
  </si>
  <si>
    <t xml:space="preserve">If any of the following groups are present on the farm, have you undertaken action to fairly represent them amongst management, as internal inspector, or other decision making functions? : 
-Women -&gt; will go to gender questions
-Migrant workers (foreign or from within the country)
- Specific ethnic minority groups (any ethnicities which are not the largest ethnicity within the workforce)
-Indigenous groups (where applicable)
-Groups whose members do not speak the dominant language in the country &amp; region </t>
  </si>
  <si>
    <t>medium, High</t>
  </si>
  <si>
    <t/>
  </si>
  <si>
    <t xml:space="preserve">Has the group's leadership taken any targeted action to prevent violence and harassment (including sexual harassment)? </t>
  </si>
  <si>
    <t>This is the only appropriate formulation  for this question  - even still risk of false answers is high</t>
  </si>
  <si>
    <t>Med &amp; High</t>
  </si>
  <si>
    <t xml:space="preserve"> Implement at least one of the following measures:
- Training of trainers, internal inspectors and other persons in direct contact with members and their workers on respectful behavior and concepts of workplace violence and harassment
- training of workers on the topic on respectful behavior and concepts of workplace violence and harassment
Please note: in most cases workplace violence and harassment will relate to experiences faced by women. However risks are also faced by men. Ensure your answers cover risks in relation to all workers regardless of gender.</t>
  </si>
  <si>
    <t>Are farmer members required to validate hired workers' ages at the time they are appointed?</t>
  </si>
  <si>
    <t xml:space="preserve">In line with core requirement 1.2.2, for hired young workers (15 - 17 years), the registry contains:
•	housing address
•	Name and address of parent(s) or legal guardian(s)
•	School registration
•	Type of work or tasks
•	The number of daily and weekly working hours.                                                                                                               </t>
  </si>
  <si>
    <t xml:space="preserve">This question is critical - while not focused on  external  risks - clarity and verifiability of  the question on age verification is of highest importance </t>
  </si>
  <si>
    <t xml:space="preserve">Communicate to all farmers, who report they hire labour, how to verify the age of all new hires at the workplace, including those supplied by labour providers, in line with Core Requirement 1.2.2. Verification of age should be based on identity documents, school and medical records or other verifiable forms of identification proof. In line with core requirement 1.2.2, for hired young workers (15 - 17 years), the registry should contains:
•	housing address
•	Name and address of parent(s) or legal guardian(s)
•	School registration
•	Type of work or tasks
•	The number of daily and weekly working hours.       </t>
  </si>
  <si>
    <t>a.For each under-18 year old worker, identify and record the name and contact information for their consenting family member.   b. For each under-18 year old worker, identify the responsible adult member who will be supervising and guiding the child in work (‘young worker supervisor’)
b.Where a high proportion of children and a low number of adults are part of the labor force, ensure the ratio of adult supervisors to workers younger than 18 meets national labor law requirements.</t>
  </si>
  <si>
    <t xml:space="preserve">List the tasks and processes that involve hazardous working conditions </t>
  </si>
  <si>
    <t xml:space="preserve">1) List the hazardous tasks / processes. 2) Communicate this list to all group members and; 3) through internal inspections and child labor monitoring, ensure members are aware that workers younger than 18 cannot perform these hazardous tasks. </t>
  </si>
  <si>
    <t xml:space="preserve">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
</t>
  </si>
  <si>
    <t xml:space="preserve">In addition to steps outlined in row 54: 1) Develop checklist to systematically monitor working conditions of under 18s, covering: protection against performing prohibited hazardous tasks, protection from harassment, abuse in the workplace. 2) Use this checklist at internal inspections; </t>
  </si>
  <si>
    <t>Is the group taking any steps to protect under 18 year old workers / children of group members from  conducting hazardous tasks?</t>
  </si>
  <si>
    <t xml:space="preserve">Please list the steps; In addition to steps outlined in row 53, develop and implement Child Labor Monitoring System in accordance with A&amp;A Monitoring Guidance and steps outlined in row 70 </t>
  </si>
  <si>
    <t>In addition to steps outlined in row 54 and 55, set up child labor monitoring system in accordance with steps outlined in row 70 and Assess and Address monitoring guidance</t>
  </si>
  <si>
    <t>no further steps (beyond those outlined in row 54)</t>
  </si>
  <si>
    <t xml:space="preserve">Do children of group staff, group members and group members' workers, of school-going age, attend school within a safe walking distance or at reasonable traveling distance using safe transport? </t>
  </si>
  <si>
    <t>1) Identify reasons why children do not go to school: a) distance to school b) quality of education/violence in school / absence of teacher c) costs associated with schooling; 3) based on the analysis, together with local department of education and local NGOs, develop ways to support access to education for children of group staff, members or members' workers; this could include satelite classrooms in villages currently without schools, setting up sustainable and safe transport for the youngest children; removing barriers to education (e.g. birth certificates, family income, learning materials through support from government/supply chain partners)  3) create awareness about importance of education with group members &amp; discuss ways with members how group can support children's education</t>
  </si>
  <si>
    <t xml:space="preserve">Ergon view: All  countries we are looking at  this stage offer some  free or heavily subsidized education option  -  risk is more in relation to accessibility as opposed to availability  or affordability </t>
  </si>
  <si>
    <t xml:space="preserve">Meike: there should be an option of don't know. The person filling in this information probably does not know exactly how far the schools are from all the farms...In the future maybe we can do something with automatization. </t>
  </si>
  <si>
    <t>1) Monitor school going behavior of members' children of school going age, through internal inspections and the assess and address monitoring; 2) The assess and address committee to establish contact with department of education to collaborate on drop-out cases / temporary absence / child labor cases when they happen</t>
  </si>
  <si>
    <t>Do under-18s perform work on any of the farms within the group?</t>
  </si>
  <si>
    <t xml:space="preserve"> A&amp;A committee to set up a child labour monitoring system including child labor monitors/child labor liaison officers. The plan should specify  1) how management will promote awareness (through child labor monitors as well as directly) on tasks that children are allowed to do and underage and hazardous child labor 2)  how frequent child labor monitors will monitor that children are only performing non-hazardous, age appropriate tasks that do not interfere with schooling and 3) what follow up steps will be taken when risk of child labor increases 4) what the remediation process involves when cases have been confirmed through the grievance mechanism. 
</t>
  </si>
  <si>
    <t>1) Members are informed about policy of family child work and hiring young workers, including the age from which children can support their parents and conduct light work, the age from which children can be hired individually, in accordance with the Rainforest Alliance Standard as well as the national law. 2) Assess and address model is cleary explained to promote transparency about child labor risks and support solutions to mitigate the risk</t>
  </si>
  <si>
    <t>When national law requirs medical screening tests for young workers before they start their employment contract, remind farmers of this requirement and verify this as part of internal inspections.</t>
  </si>
  <si>
    <t>Does the farm/group use labour providers to recruit any workers?</t>
  </si>
  <si>
    <t xml:space="preserve">1. In the case of a small farm, the name, contact, and, if labor provider is officially registered and the official registration number of the labor provider is recorded.
2. Farms that employ an average of 5 or more workers, and group management, must ensure that the labor provider is licensed or certified by the competent national authority, if applicable.
</t>
  </si>
  <si>
    <t>1. Farms employing an average of 5 or more workers and group management should have written contracts with each labor provider, requiring that labor providers abide by RA worker protection standards.
2. When possible, farms/groups should directly contract workers who are recruited by labor providers.
3. For workers whose direct employer is a labor provider, the Assess &amp; Address monitoring system should check periodically with some of these workers to ensure that their pay, working conditions, etc. are as promised by the labor provider.
4. Workers recruited through labor providers should be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Farms/groups should stop working with labor recruiters that do not meet these expectations.</t>
  </si>
  <si>
    <t>1. Farms/groups must ensure that workers have written or verbal contracts in place according to requirement 3.3.
2. When calculated by volume, workers' pay must equal at least the minimum wage based on a 48-hour working week or national legal working hours limit.
3. Deductions from wages for costs such as employer-provided housing or food must only be taken with workers' consent.
4. Farms that employ an average of 5 or more workers, and group management, must pay workers at least monthly and provide workers pay slips showing hours worked (regular and overtime) and/or volume produced, calculation of wages and deductions, and wages paid.</t>
  </si>
  <si>
    <t>1. Group management should confirm that personnel responsible for wage payment are correctly trained in calculations and requirements.</t>
  </si>
  <si>
    <t>1. Farms/groups should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t>
  </si>
  <si>
    <t>Non-local workers are included among the workforce 
How will we know this; is it a question in the registry?</t>
  </si>
  <si>
    <t>1. Farms/groups should not require workers to pay any type of deposit or provide any personal document to management, other than to confirm identity at the time of hiring.</t>
  </si>
  <si>
    <t>1. The Assess &amp; Address monitoring system, working with other committees such as the Grievance Committee, should periodically check with workers to see if they have had to pay deposits or hand over documents.
2. In instances where workers prefer to provide documents or other belongings to management for safe keeping, farm/group management must ensure that workers have permanent, unrestricted access to these locations.</t>
  </si>
  <si>
    <t xml:space="preserve">Shouldn't management keep these actions in place? </t>
  </si>
  <si>
    <t xml:space="preserve">Formulation of a policy on gender equality and women’s empowerment which will be shared with the rest of the group, AND/OR
Stakeholder mapping of gender related organizations that could help to incorporate gender within group, AND/OR
Ensure that management and/or other high-level functions are accountable for meeting the gender plan targets
</t>
  </si>
  <si>
    <t>Is a significant number of female farmers (co) member of the group?</t>
  </si>
  <si>
    <t>no further action needed</t>
  </si>
  <si>
    <t>- Develop measures to facilitate access of female farmers to the group (e.g. by lowering membership fees, by promoting co- registration with partner, by actively inviting female farmers to become a part, by installing a minimum quota, etc.) AND/OR
- Undertake measures to ensure that trainings and other services that are offered by the group are accessible for all female farmers</t>
  </si>
  <si>
    <t>Are female farmers currently represented significally in relation to their number amongst trainers, internal inspectors and/or other high level functions within the group</t>
  </si>
  <si>
    <t xml:space="preserve"> establish a minimum quota for female trainers and inspectors and other high level functions AND/OR
- organize training targeted at female farmers that is needed to be eligible as a trainer, inspector or other high level function AND/OR
- make sure job announcements reach male AND female farmers and that job requirements are achievable for female farmers AND/OR
- give training to management staff involved in recruitment on unconscious bias and methodologies to prevent gender based discriminatory practices</t>
  </si>
  <si>
    <t>Have management, supervisors, and/or internal inspectors been trained in the past year on gender equality?</t>
  </si>
  <si>
    <t>-Train management, supervisors, and/or internal inspectors annually on issues related to gender equality and women’s empowerment (maternity leave, sexual harassment…) AND/OR
make gender-related trainings (e.g. sexual harassment, discrimination, gender equality or gender bias) a requirement for all management, supervisors, and internal inspectors, AND/OR
partner with local NGOs to provide gender bias or gender equality training to management, supervisors, internal inspectors</t>
  </si>
  <si>
    <t>Analysis Geodata</t>
  </si>
  <si>
    <t>Deforestation</t>
  </si>
  <si>
    <t xml:space="preserve">Member provided envelope and the overlap with Deforestation country risk map showed risks </t>
  </si>
  <si>
    <t>Automatic</t>
  </si>
  <si>
    <t>?</t>
  </si>
  <si>
    <t>Identify farms located in the high and medium risk areas (red and orange) and include them in the Internal Inspection plan according to:
Farms in red area should be identified and if deforestation happened within the farm boundaries, the farm should be excluded from the certification 
For farms in orange area, verify if there are parts of them that fall within the red area and if so, identify whether deforestation happend within the boudaries, if yes, the farm should be excluded from the certification
For those producers that are orange or red, and it seems like they have not deforested, but are close to areas where there is still forest and/or where recent deforestation has happened: inform them that deforestation is not allowed, set up MoUs with them that they will not expand into the forest; organize awareness raising sessions</t>
  </si>
  <si>
    <t>Henriette: I thought we were going to discuss the follow up on the risk categories, and that it was not decided yet.</t>
  </si>
  <si>
    <t xml:space="preserve">Member provided geodata (point/polygon) and they overlap with deforestation country risk map </t>
  </si>
  <si>
    <t>Include in montintoring and internal inspection activities data from the analysis:
farms/farm units whose buffers/polygons overlap completely with deforested area should not be certified
Member to verify whether deforestation occurred inside farms/farm units whose buffers/polygons partly overlap with deforested area.</t>
  </si>
  <si>
    <t>Protected Areas</t>
  </si>
  <si>
    <t>Member provided points and they overlap with PA country risk map (for areas in which production is forbidden and for areas in which production is allowed under certain conditions)</t>
  </si>
  <si>
    <t>the follow ups of the member, are indicated per farm/farm unit in the table below. These are included in the management plan and should be checked in the internal inspections of the current year (if possible) or consecutive year after the audit. If the latter, the management plan must be updated because as a result of the audit, there could be farm/farm units that are excluded.
Farmers in no go Protected Area: are to be excluded from certification.
Farmers in area where certain production is allowed: verify whether regulations are met and management plan is in place. 
Farmers close to no go Protected Area: verify boundaries of farm and protected area do not overlap. With those farmers inform them that encroachment is not allowed (and inform them on the boundaries), set up MoUs that they won't encroach.</t>
  </si>
  <si>
    <t>HCVs 4.1</t>
  </si>
  <si>
    <t>Medium/Large Farms</t>
  </si>
  <si>
    <t>Is the farm (or any farm in a group) located closer than 5 km to an Intact Forest Landscape?</t>
  </si>
  <si>
    <t>no further action required</t>
  </si>
  <si>
    <t>Do not threaten the main conservation attributes of the area, i.e. the values for which the area has been protected or classified as a PA, KBA or Ramsar site</t>
  </si>
  <si>
    <t>`no further action required</t>
  </si>
  <si>
    <t>Medium/Large Farms that are larger than 10,000 hectares</t>
  </si>
  <si>
    <t>Have you answered yes to questions on IFLs, KBAs (etc.) or customary rights of communities?</t>
  </si>
  <si>
    <t>Can this be automatized? We know the size, and the answers to the previous questions. Henriette: We know the size, but we don't necessarily know the answer to the previous questions, as it will not be automized, right?</t>
  </si>
  <si>
    <t>Native Vegetation 4.2</t>
  </si>
  <si>
    <t>Natural Ecosystems 4.2</t>
  </si>
  <si>
    <t>Are management, supervisors, and/or internal inspectors aware of the risks and impacts that climate change poses to livelihoods and production systems?</t>
  </si>
  <si>
    <t>Have management, supervisors, and/or internal inspectors identified the most significant climate change threats/risks/impacts (current and projected) on livelihood resources and farming systems?</t>
  </si>
  <si>
    <t>a) Carry out a climate change risk assesment to identify and describe the most significant climate risks based on RA CC risk assessment tool.</t>
  </si>
  <si>
    <t xml:space="preserve">Do management, supervisors, and /or internal inpsectors have access to relevant climate change information, skills and services to develop and employ adaptation strategies?  </t>
  </si>
  <si>
    <t>Concat 1 (Do not Change)</t>
  </si>
  <si>
    <t>Concat 2(Do not Change)</t>
  </si>
  <si>
    <t>Problema</t>
  </si>
  <si>
    <t>Todos</t>
  </si>
  <si>
    <t>Grande</t>
  </si>
  <si>
    <t>Requirement in Standard</t>
  </si>
  <si>
    <t>Question #</t>
  </si>
  <si>
    <t>Answer (select)</t>
  </si>
  <si>
    <t>Mitigation measure</t>
  </si>
  <si>
    <t>Certificate's Holder own mitigation measure</t>
  </si>
  <si>
    <t>(Does not apply for this type of Certificate Holder)</t>
  </si>
  <si>
    <t>Certificate Holder's own risks identified</t>
  </si>
  <si>
    <t>Rainforest Alliance Basic Farm Risk Assessment Tool</t>
  </si>
  <si>
    <t>Type of Certificate Holder (select)</t>
  </si>
  <si>
    <t>Certificação em Grupo</t>
  </si>
  <si>
    <t>Não</t>
  </si>
  <si>
    <t>Sim</t>
  </si>
  <si>
    <t>Não/não sei.</t>
  </si>
  <si>
    <t>Tipo de Detentor de Certificado (selecione)</t>
  </si>
  <si>
    <t>Requisito da Norma</t>
  </si>
  <si>
    <t>Nº da Questão</t>
  </si>
  <si>
    <t>Questão</t>
  </si>
  <si>
    <t>Resposta (selecione)</t>
  </si>
  <si>
    <t>Medida de mitigação</t>
  </si>
  <si>
    <t>Medida de mitigação própria do Detentor de Certificado</t>
  </si>
  <si>
    <t>(Não se aplica para este tipo de Titular de Certificado)</t>
  </si>
  <si>
    <t>Riscos identificados pelo próprio Detentor de Certificado</t>
  </si>
  <si>
    <t>Ferramenta de Análise de Risco para Fazendas</t>
  </si>
  <si>
    <t>N/D</t>
  </si>
  <si>
    <t>በአደጋ ስጋት ዳሰሳ ውስጥ እስካሁን ላልተካተቱ አገሮች ወይም ሰብሎች፣ እባክዎ በተለዩት ስጋቶች ላይ በመመስረት ተገቢውን የማስተካከያ እርምጃዎችን ይምረጡ።</t>
  </si>
  <si>
    <t>リスク分布図にまだ含まれていない国や農作物については、特定されたリスクに基づいた適切な緩和策を選択してください。</t>
  </si>
  <si>
    <t>Untuk negara-negara atau tanaman yang belum termasuk dalam peta risiko, silakan pilih tindakan mitigasi yang sesuai berdasarkan risiko yang telah diidentifikasikan</t>
  </si>
  <si>
    <t>对于本风险地图未包含的国家或农作物，请根据判定出的风险选择适宜的减缓措施。</t>
  </si>
  <si>
    <t>Đối với các nước hay các loại cây trồng chưa có trong bản đồ rủi ro, vui lòng chọn biện pháp giảm thiểu rủi ro thích hợp dựa trên những rủi ro đã xác định.</t>
  </si>
  <si>
    <t>Risk haritalarında yer almayan ülkeler ya da ürünler için lütfen tanımlanan risklere dayanarak uygun hafifletme önlemlerini seçin.</t>
  </si>
  <si>
    <t>Para países ou cultivos ainda não incluídos nos mapas de risco, por favor selecionar uma medida de mitigação com base nos riscos identificados.</t>
  </si>
  <si>
    <t>Pour les pays ou les cultures qui ne sont pas encore inclus dans les cartes de risques, veuillez sélectionner les mesures d'atténuation appropriées en vous basant sur les risques identifiés.</t>
  </si>
  <si>
    <t>Por favor seleccione las medidas de mitigación adecuadas basados en los riesgos identificados en caso de esos paises o cultivos que todavía no estén incluidos en los mapas de riesgos.</t>
  </si>
  <si>
    <t>For the countries or crops not included yet in the risk maps, please select the appropriate mitigation measures based on the identified risks.</t>
  </si>
  <si>
    <t>手引きM：自然生態系と植生</t>
  </si>
  <si>
    <t xml:space="preserve">Panduan M: Ekosistem dan Vegetasi Alami </t>
  </si>
  <si>
    <t>指南M：自然生态系统和植被</t>
  </si>
  <si>
    <t>Hướng dẫn M: Thảm thực vật và Hệ sinh thái Tự nhiên</t>
  </si>
  <si>
    <t>Kılavuz M: Doğal Ekosistemler ve Bitki Örtüsü</t>
  </si>
  <si>
    <t>Orientação M: Vegetação Nativa e Ecossistemas Naturais</t>
  </si>
  <si>
    <t>Document d’orientation M : Document d’orientation végétation indigène et écosystèmes naturels</t>
  </si>
  <si>
    <t>Guía M: Vegetación Nativa y Ecosistemas Naturales</t>
  </si>
  <si>
    <t>Guidance M: Natural Ecosystems and Vegetation</t>
  </si>
  <si>
    <t>የማስተካከያ እርምጃ  ("ዝቅተኛ፣ መካከለኛ፣ ከፍተኛ ስጋት" ለሚመለከተው ሀገር እና ምርት የህፃናት ጉልበት ብዝበዛ እና አስገድዶ ማሰራትን በተመለከተ ተፈፃሚ የሚሆነውን የሬንፎረስት አሊያንስ ስጋት ዳሰሳ ካርታን ይመልከቱ)</t>
  </si>
  <si>
    <t>緩和策（「低い、中間の、高いリスク」は、貴方の国と製品に適用される、児童労働と強制労働のためのレインフォレスト・アライアンスリスクマップを参照する）</t>
  </si>
  <si>
    <t>Tindakan mitigasi ("risiko rendah, medium, tinggi" mengacu pada Peta Risiko Rainforest Alliance untuk Pekerja Anak dan Kerja Paksa yang berlaku di negara dan produk Anda)</t>
  </si>
  <si>
    <t>缓解措施
（“低、中、高风险”指适用于贵国和产品的雨林联盟童工和强迫劳动风险地图）</t>
  </si>
  <si>
    <t xml:space="preserve">Giải pháp giảm nhẹ ("rủi ro thấp, trung bình, cao" đề cập đến Bản đồ Rủi ro của Rainforest Alliance đối với vấn đề Lao động Trẻ em và Lao động Cưỡng bức có thể áp dụng đối với quốc gia và sản phẩm của bạn) </t>
  </si>
  <si>
    <t>Hafifletme önlemi ("düşük, orta, yüksek risk" ülkenizde ve ürününüzde geçerli olan Çocuk İşçiliği ve Zorla Çalıştırma için Rainforest Alliance Risk Haritasını ifade eder)</t>
  </si>
  <si>
    <t>Medida de mitigação
("Baixo, médio e alto risco" se referem aos Mapas de Risco da Rainforest Alliance para trabalho infantil e trabalho forçado aplicáveis ao seu país e produto)</t>
  </si>
  <si>
    <t>Medida de mitigacion ("riesgo bajo, medio, alto" consulte los mapas de riesgo de Rainforest Alliance para trabajo infantil y trabajo forzoso aplicables a su país y producto)</t>
  </si>
  <si>
    <t>Mitigation measure 
("low, medium, high risk" refer to the Rainforest Alliance Risk Maps for Child Labor and Forced Labor applicable to your country and product)</t>
  </si>
  <si>
    <t xml:space="preserve">የሬንፎረስት አሊያንስ መሰረታዊ የእርሻ ስጋት ዳሰሳ መሳሪያ </t>
  </si>
  <si>
    <t>レインフォレスト・アライアンス基本的農場リスク査定ツール</t>
  </si>
  <si>
    <t>Alat bantu Penilaian Risiko Dasar Kebun Rainforest Alliance</t>
  </si>
  <si>
    <t>雨林联盟基本农场风险评估工具</t>
  </si>
  <si>
    <t>Công cụ Đánh giá Rủi ro Trang trại Cơ bản của Rainforest Alliance</t>
  </si>
  <si>
    <t>Rainforest Alliance Temel Arazi Risk Değerlendirmesi Aracı</t>
  </si>
  <si>
    <t>Herramienta de Evaluación Básica de Riesgos Agrícolas de Rainforest Alliance</t>
  </si>
  <si>
    <t>ሁሉም</t>
  </si>
  <si>
    <t>全て</t>
  </si>
  <si>
    <t>Semua</t>
  </si>
  <si>
    <t>所有</t>
  </si>
  <si>
    <t>Tất cả</t>
  </si>
  <si>
    <t>Hepsi</t>
  </si>
  <si>
    <t>Tous</t>
  </si>
  <si>
    <t xml:space="preserve">የቡድን ሰርተፊኬሽን </t>
  </si>
  <si>
    <t>団体認証</t>
  </si>
  <si>
    <t>Sertifikasi Kelompok</t>
  </si>
  <si>
    <t>团体证书</t>
  </si>
  <si>
    <t>Chứng nhận Nhóm</t>
  </si>
  <si>
    <t>Grup Sertifikasyonu</t>
  </si>
  <si>
    <t>Certification de groupe</t>
  </si>
  <si>
    <t>Certificación de grupo</t>
  </si>
  <si>
    <t xml:space="preserve">ትልቅ </t>
  </si>
  <si>
    <t>大きな</t>
  </si>
  <si>
    <t>Besar</t>
  </si>
  <si>
    <t>大的</t>
  </si>
  <si>
    <t>Lớn</t>
  </si>
  <si>
    <t>Büyük</t>
  </si>
  <si>
    <t>Grand</t>
  </si>
  <si>
    <t>አይመለከተውም</t>
  </si>
  <si>
    <t>該当なし</t>
  </si>
  <si>
    <t>Tidak berlaku</t>
  </si>
  <si>
    <t>不适用</t>
  </si>
  <si>
    <t>Không áp dụng</t>
  </si>
  <si>
    <t>G.D.</t>
  </si>
  <si>
    <t>No disponible</t>
  </si>
  <si>
    <t>አይደለም/አላውቅም</t>
  </si>
  <si>
    <t>いいえ/わかりません</t>
  </si>
  <si>
    <t>Tidak/Tidak tahu</t>
  </si>
  <si>
    <t>否/不知道</t>
  </si>
  <si>
    <t>Không/không biết</t>
  </si>
  <si>
    <t>Hayır/Bilmiyorum</t>
  </si>
  <si>
    <t>Non/Ne sais pas</t>
  </si>
  <si>
    <t>No/No sabe</t>
  </si>
  <si>
    <t>አይደለም</t>
  </si>
  <si>
    <t>いいえ</t>
  </si>
  <si>
    <t>Tidak</t>
  </si>
  <si>
    <t>否</t>
  </si>
  <si>
    <t>Không</t>
  </si>
  <si>
    <t>Hayır</t>
  </si>
  <si>
    <t>Non</t>
  </si>
  <si>
    <t xml:space="preserve">አዎ </t>
  </si>
  <si>
    <t>はい</t>
  </si>
  <si>
    <t>Ya</t>
  </si>
  <si>
    <t>是</t>
  </si>
  <si>
    <t>Có</t>
  </si>
  <si>
    <t>Evet</t>
  </si>
  <si>
    <t>Oui</t>
  </si>
  <si>
    <t>Sí</t>
  </si>
  <si>
    <t xml:space="preserve">የሰርተፊኬት ባለቤት ራሱ የተለዩ ስጋት ዳሰሳ </t>
  </si>
  <si>
    <t>識別した認証保有者自身のリスク</t>
  </si>
  <si>
    <t>Identifikasi Risiko milik Pemegang Sertifikat</t>
  </si>
  <si>
    <t>已识别的证书持有者自身风险</t>
  </si>
  <si>
    <t>Các rủi ro của chính Đơn vị Sở hữu chứng nhận đã được xác định</t>
  </si>
  <si>
    <t>Sertifika Sahibinin kendi tanımladığı riskler</t>
  </si>
  <si>
    <t>Risques personnels auto-identifiés par les titulaires de certificats</t>
  </si>
  <si>
    <t>Los riesgos propios de identificados por el titular del certificado</t>
  </si>
  <si>
    <t>(ለዚህ አይነት የሰርተፊኬት ባለቤት አይመለከተውም )</t>
  </si>
  <si>
    <t>(この種類の認証保有者には該当しない）</t>
  </si>
  <si>
    <t>(Tidak berlaku untuk tipe Pemegang Sertifikat ini)</t>
  </si>
  <si>
    <t>（对此类证书持有者不适用）</t>
  </si>
  <si>
    <t>(Không áp dụng đối với loại Đơn vị sở hữu Chứng nhận này)</t>
  </si>
  <si>
    <t>(Bu tür Sertifika Sahibi için geçerli değil)</t>
  </si>
  <si>
    <t>(Ne s'applique pas à ce type de Titulaire de Certificat)</t>
  </si>
  <si>
    <t>(No aplica para este tipo de titulares de certificado)</t>
  </si>
  <si>
    <t>የሰርተፊኬት ባለቤቱ የማስተካከያ እርምጃ</t>
  </si>
  <si>
    <t>認証所有者自身の緩和策</t>
  </si>
  <si>
    <t xml:space="preserve">Tindakan mitigasi milik Pemegang Sertifikat </t>
  </si>
  <si>
    <t>证书持有者自身缓解措施</t>
  </si>
  <si>
    <t>Đơn vị sở hữu Chứng nhận có được giải pháp giảm nhẹ</t>
  </si>
  <si>
    <t>Sertifika Sahibi'nin kendi hafifletme önlemi</t>
  </si>
  <si>
    <t>Mesure d'atténuation propre du titulaire de certificat</t>
  </si>
  <si>
    <t>Medida de mitigación propia del Titular del Certificado</t>
  </si>
  <si>
    <t>የማስተካከያ እርምጃ</t>
  </si>
  <si>
    <t>緩和策</t>
  </si>
  <si>
    <t>Tindakan mitigasi</t>
  </si>
  <si>
    <t>缓解措施</t>
  </si>
  <si>
    <t>Giải pháp giảm nhẹ</t>
  </si>
  <si>
    <t>Hafifletme önlemi</t>
  </si>
  <si>
    <t>Mesure d’atténuation</t>
  </si>
  <si>
    <t>Medida de mitigación</t>
  </si>
  <si>
    <t>መልስ (ምረጥ)</t>
  </si>
  <si>
    <t>回答（選択する）</t>
  </si>
  <si>
    <t>Jawaban (pilih)</t>
  </si>
  <si>
    <t>答案（选择）</t>
  </si>
  <si>
    <t>Trả lời/Giải đáp (Lựa chọn)</t>
  </si>
  <si>
    <t>Cevap (seçiniz)</t>
  </si>
  <si>
    <t>Réponse (sélectionner)</t>
  </si>
  <si>
    <t>Respuesta (seleccionar)</t>
  </si>
  <si>
    <t>ጥያቄ</t>
  </si>
  <si>
    <t>質問</t>
  </si>
  <si>
    <t>Pertanyaan</t>
  </si>
  <si>
    <t>问题</t>
  </si>
  <si>
    <t>Câu hỏi/Thắc mắc</t>
  </si>
  <si>
    <t>Soru</t>
  </si>
  <si>
    <t>Pregunta</t>
  </si>
  <si>
    <t>ጥያቄ #</t>
  </si>
  <si>
    <t>質問番号</t>
  </si>
  <si>
    <t>Nomor Pertanyaan</t>
  </si>
  <si>
    <t>问题#</t>
  </si>
  <si>
    <t>Câu hỏi/Thắc mắc #</t>
  </si>
  <si>
    <t>Soru No.</t>
  </si>
  <si>
    <t xml:space="preserve">No. de question </t>
  </si>
  <si>
    <t>Pregunta #</t>
  </si>
  <si>
    <t>ጉዳይ</t>
  </si>
  <si>
    <t>問題</t>
  </si>
  <si>
    <t>Isu</t>
  </si>
  <si>
    <t>Vấn đề</t>
  </si>
  <si>
    <t>Problem</t>
  </si>
  <si>
    <t xml:space="preserve">Problème </t>
  </si>
  <si>
    <t>በስታንዳርዱ ያለ መስፈርት</t>
  </si>
  <si>
    <t>認証での要件</t>
  </si>
  <si>
    <t>Persyaratan dalam Standar</t>
  </si>
  <si>
    <t>标准中的要求</t>
  </si>
  <si>
    <t>Yêu cầu về Tiêu chuẩn</t>
  </si>
  <si>
    <t>Standart Gerekliliği</t>
  </si>
  <si>
    <t>Exigence du standard</t>
  </si>
  <si>
    <t>Requisito en el estándar</t>
  </si>
  <si>
    <t>የሰርተፊኬት አይነት (ምረጥ)</t>
  </si>
  <si>
    <t>認証保有者の種類（選択する）</t>
  </si>
  <si>
    <t>Tipe Pemegang Sertifikat (pilih)</t>
  </si>
  <si>
    <t>证书持有者类型（选择）</t>
  </si>
  <si>
    <t>Loại Đơn vị sở hữu Chứng nhận (lựa chọn)</t>
  </si>
  <si>
    <t>Sertifika Sahibi Türü (seçiniz)</t>
  </si>
  <si>
    <t>Type de titulaire de certificat (sélectionner)</t>
  </si>
  <si>
    <t>Tipo de Titular de Certificado (seleccionar)</t>
  </si>
  <si>
    <t>ቋንቋ (ምረጥ)</t>
  </si>
  <si>
    <t>言語（選択する）</t>
  </si>
  <si>
    <t>Bahasa (pilih)</t>
  </si>
  <si>
    <t>语言（选择）</t>
  </si>
  <si>
    <t>Ngôn ngữ (lựa chọn)</t>
  </si>
  <si>
    <t>Dil (seçiniz)</t>
  </si>
  <si>
    <t>Idioma (selecione)</t>
  </si>
  <si>
    <t>Langue (sélectionner)</t>
  </si>
  <si>
    <t>Idioma (seleccionar)</t>
  </si>
  <si>
    <t>Language (select)</t>
  </si>
  <si>
    <t>Amharic</t>
  </si>
  <si>
    <t>Japanese</t>
  </si>
  <si>
    <t>Indonesian</t>
  </si>
  <si>
    <t>Chinese</t>
  </si>
  <si>
    <t>Vietnamese</t>
  </si>
  <si>
    <t>Turkish</t>
  </si>
  <si>
    <t>Portuguese</t>
  </si>
  <si>
    <t xml:space="preserve">French </t>
  </si>
  <si>
    <t>Spanish</t>
  </si>
  <si>
    <t>English</t>
  </si>
  <si>
    <t>Dropdown lists</t>
  </si>
  <si>
    <t>&lt;- Selecione "Grande" para fazendas grandes (individual e em grupo) e para pequenas fazendas certificadas individualmente.</t>
  </si>
  <si>
    <t>&lt;- select "Large" for large farms (individual and in group) and individually certified small farms.</t>
  </si>
  <si>
    <t>Exigences de la norme</t>
  </si>
  <si>
    <t>A quel type de TC  s’appliquent-elles ?</t>
  </si>
  <si>
    <t>Autres variables</t>
  </si>
  <si>
    <t>Sujet</t>
  </si>
  <si>
    <t>Questions concernant l’auto-évaluation et les risques de l’atténuation (Recherche)</t>
  </si>
  <si>
    <t>Réponse</t>
  </si>
  <si>
    <t xml:space="preserve">Applicabilité par rapport au contexte des risques du pays/secteur </t>
  </si>
  <si>
    <t>Actions d’atténuation à inclure dans le Plan de gestion recommandées par Rainforest Alliance (des mesures d’atténuation alternatives sont permises si elles sont considérées comme étant plus appropriées au contexte) (Recherche)</t>
  </si>
  <si>
    <t>Gestion</t>
  </si>
  <si>
    <t>1.2.10 Zone de l’exploitation agricole</t>
  </si>
  <si>
    <t>Déforestation/défrichement illicite et couverture végétale indigène</t>
  </si>
  <si>
    <t>Vous attendez-vous à ce que les sites de production des membres du groupe s’étendent ou changent ?</t>
  </si>
  <si>
    <t xml:space="preserve">Tous </t>
  </si>
  <si>
    <t>Pas d’action supplémentaire requise</t>
  </si>
  <si>
    <t>oui</t>
  </si>
  <si>
    <t>S’assurer, grâce à la sensibilisation et au suivi régulier, que les producteurs et les travailleurs sachent que la végétation naturelle et les écosystèmes naturels doivent être conservés. Marquer clairement les limites des écosystèmes naturels dans l’exploitation agricole et leurs zones tampons et s’assurer que les activités de transformation et de production, dont l'utilisation des produits agrochimiques, n’empiètent pas sur ces zones.</t>
  </si>
  <si>
    <t xml:space="preserve">Est-ce que les sites de production s’étendent ou changent ? </t>
  </si>
  <si>
    <t>S’assurer, grâce à la sensibilisation et au suivi régulier, que les travailleurs sachent que la végétation naturelle et les écosystèmes naturels doivent être conservés. Marquer clairement les limites des écosystèmes naturels dans l’exploitation agricole et leurs zones tampons et s’assurer que les activités de transformation et de production, dont l'utilisation des produits agrochimiques, n’empiètent pas sur ces zones.</t>
  </si>
  <si>
    <t>2.1 Traçabilité</t>
  </si>
  <si>
    <t>Intermédiaires</t>
  </si>
  <si>
    <t>Utilisez-vous/Utiliserez-vous des intermédiaires et/ou des sous-traitants* dans votre chaîne d'approvisionnement ?</t>
  </si>
  <si>
    <t>1) Mettre en place un flux clair de traçabilité, qui inclut les règles de traçabilité physiques et documentées pour tous les acteurs de votre chaîne d'approvisionnement (agriculteurs, sous-traitants, intermédiaires, unités de transformation, transport, centres de collecte, direction, etc.).
2) Former tous les acteurs sur votre procédure de traçabilité. Cela comprend les intermédiaires et/ou les sous-traitants.
3) Suivre la traçabilité et tenir des registres de tous les acteurs. 
4) Suivre les intermédiaires, particulièrement durant la période de la récolte. Pour le suivi, vérifier la calibration des balances, tenir des registres au niveau des intermédiaires et vérifier avec les informations des ventes provenant d'un échantillon de producteurs.</t>
  </si>
  <si>
    <t xml:space="preserve">1) Mettre en place un flux clair de traçabilité, qui inclut les règles de traçabilité physiques et documentées pour tous les acteurs de votre chaîne d'approvisionnement (agriculteurs, unités de transformation, transport, centres de collecte, direction, etc.).
2) Former tous les acteurs sur votre procédure de traçabilité.
3) Suivre la traçabilité et tenir des registres de tous les acteurs. </t>
  </si>
  <si>
    <t>Sous-traitants</t>
  </si>
  <si>
    <t>Utilisez-vous/Utiliserez-vous des sous-traitants* dans votre chaîne d'approvisionnement ?</t>
  </si>
  <si>
    <t>1) Mettre en place un flux clair de traçabilité, qui inclut les règles de traçabilité physiques et documentées pour tous les acteurs de votre chaîne d'approvisionnement (unités de transformation, transport, sous-traitants, entrepôts, etc.).
2) Former tous les acteurs sur votre procédure de traçabilité.
3) Suivre la traçabilité et tenir des registres de tous les acteurs. Pour les sous-traitants, vérifier s'ils sont tous conformes à la procédure de traçabilité et si toutes les exigences de la norme qui s’appliquent à eux font partie de l’auto-évaluation.</t>
  </si>
  <si>
    <t xml:space="preserve">1) Mettre en place un flux clair de traçabilité, qui inclut les règles de traçabilité physiques et documentées pour tous les acteurs de votre chaîne d'approvisionnement (unités de transformation, transport, sous-traitants, entrepôts, etc.).
2) Former tous les acteurs sur votre procédure de traçabilité.
3) Suivre la traçabilité et tenir des registres de tous les acteurs. </t>
  </si>
  <si>
    <t>Tenue de registres</t>
  </si>
  <si>
    <t>Vous attendez-vous à ce que les agriculteurs aient des difficultés à tenir des registres (traçabilité) ?</t>
  </si>
  <si>
    <t>1) Inclure l'administration/conservation des reçus dans le plan de formation.
2) Le groupe aide l’agriculteur à conserver les reçus au même endroit (ex : pochette plastique).
3) Mettre des affiches pour encourager les agriculteurs à conserver les reçus.
4) Faire le suivi de la conservation des reçus.</t>
  </si>
  <si>
    <t>Séparation des produits</t>
  </si>
  <si>
    <t>Gérez-vous/allez-vous (direction) utiliser uniquement des produits certifiés RA et/ou achetez-vous/achèterez-vous uniquement à des producteurs certifiés RA ?</t>
  </si>
  <si>
    <t>Pas d’actions supplémentaires requises (en dehors des actions sur la conformité par rapport à la norme)</t>
  </si>
  <si>
    <t>1) Mettre en œuvre un système pour identifier les produits provenant de producteurs certifiés par des moyens d'identification physique ou visuelle et au niveau des documents de traçabilité (reçus, registre, etc.).
2) Par exemple, des étiquettes sur les sacs durant le transport et le stockage des produits peuvent représenter une identification visuelle.</t>
  </si>
  <si>
    <t>Volumes récoltés</t>
  </si>
  <si>
    <t>Les membres du groupe ont-ils accès à des débouchés commerciaux/acheteurs différents pour leurs produits certifiés ?</t>
  </si>
  <si>
    <t>1) Les informations sur les volumes récoltés basées sur les livraisons ne sont peut-être pas fiables, par conséquent, il faut mettre en place un système pour obtenir des informations sur les volumes récoltés (il peut s’agir de demander directement aux producteurs tout au long de l’année ou durant les inspections internes).
2) Collecter tout au long de l’année (mensuellement) les informations sur le volume récolté au lieu d'une fois par an durant les inspections internes.</t>
  </si>
  <si>
    <t>Opérateurs de l’exploitation agricole</t>
  </si>
  <si>
    <t>Les membres du groupe dépendent-ils souvent des opérateurs des exploitations agricoles pour gérer leur exploitation agricole ?</t>
  </si>
  <si>
    <t>tous</t>
  </si>
  <si>
    <t>1) Garantir que le gestionnaire de l'exploitation agricole soit formé aux exigences de la norme de Rainforest Alliance, qu’il possède une compréhension détaillée et rigoureuse du processus d'inspections internes, des registres et des données analysées et qu'il connaisse les exigences de la traçabilité.
2) Vérifier si l’opérateur de l’exploitation agricole gère aussi les exploitations agricoles non certifiées et dans l'affirmatif, l’encourager à les inclure dans le groupe certifié.
3) Toujours inviter l’opérateur de l’exploitation agricole aux formations (sur la traçabilité et d’autres sujets).</t>
  </si>
  <si>
    <t>Le terme ‘productivité et rentabilité’ fait référence aux points suivants : 2.1.2 rendement des récoltes ; 1.3.6 entrées financières et compétences ; 1.3.7 diversification ; 3.1. coûts de production et Revenu vital</t>
  </si>
  <si>
    <t>Récolte optimum</t>
  </si>
  <si>
    <t>Le rendement moyen de la culture certifiée des membres du groupe est-il égal ou supérieur au rendement moyen dans votre région ?</t>
  </si>
  <si>
    <t>1) Former le personnel à reconnaitre et à prioriser les contraintes de production sur le terrain.
2) Identifier les principales contraintes de productivité sur le terrain.
3) Mettre en place des expérimentations et des modèles d’exploitations agricoles en vue de présenter l’impact de la régénération et de la fertilisation des sols ainsi que de la lutte efficace contre les maladies et les ravageurs</t>
  </si>
  <si>
    <t>Accès à la finance, aux intrants et aux connaissances</t>
  </si>
  <si>
    <t>Tous les membres du groupe ont-ils accès aux financements, aux intrants agricoles et aux connaissances adéquates pour optimiser la productivité ?</t>
  </si>
  <si>
    <t>Revenu vital</t>
  </si>
  <si>
    <t>Tous les membres du groupe tirent-ils un revenu décent avec la production de la culture certifiée ?</t>
  </si>
  <si>
    <t>Pratiques agricoles</t>
  </si>
  <si>
    <t>4.6 Gestion des produits agrochimiques</t>
  </si>
  <si>
    <t>Utilisation des pesticides</t>
  </si>
  <si>
    <t>Utilisation des produits agrochimiques interdits</t>
  </si>
  <si>
    <t>Examiner la Liste des produits agrochimiques interdits de Rainforest Alliance :
L’utilisation sur l’exploitation d’un ou plusieurs produits phytosanitaires inclus dans la Liste des produits interdits par Rainforest Alliance est-elle une pratique courante dans la région ?</t>
  </si>
  <si>
    <t xml:space="preserve">1) En cas de découverte de l’utilisation de pesticides interdits lors de l’audit externe, l’OC peut émettre un refus de certification. Pour éviter cela, il faut inclure dans votre plan de gestion :
- Une formation des membres du groupe sur quels sont les produits agrochimiques interdits et sur l’interdiction de leur utilisation.
- Une formation des membres du groupe sur le risque d’utiliser des produits agrochimiques dangereux.
- La vérification de l’utilisation des produits agrochimiques interdits dans les inspections internes.
- Le suivi de l'utilisation des produits agrochimiques durant la période d’application.
- La mise en place d'un système de collecte des stocks de produits agrochimiques interdits provenant des membres du groupe.
Note : les agriculteurs qui ont utilisés des produits agrochimiques interdits pour la récolte à certifier ne peuvent pas être certifiés et doivent attendre le prochain cycle de récolte pour candidater à nouveau. </t>
  </si>
  <si>
    <t xml:space="preserve">Examiner la Liste des produits agrochimiques interdits de Rainforest Alliance :
Utilisez-vous sur l’exploitation un ou plusieurs des produits phytosanitaires inscrits dans la liste des produits interdits par Rainforest Alliance ? </t>
  </si>
  <si>
    <t>Si l’utilisation de pesticides interdits est découverte durant l’audit externe, l’OC peut relever un refus de certification. Les exploitations agricoles qui ont utilisés des produits agrochimiques interdits pour la récolte à certifier ne peuvent pas être certifiés et doivent attendre le prochain cycle de récolte pour candidater à nouveau. Si vous n’en avez pas utilisé, alors assurez-vous d'interdire l'utilisation des produits agrochimiques interdits en mettant en œuvre :
1) Débarrassez-vous de tous les produits agrochimiques interdits.
2) La formation du personnel sur le risque d’utiliser des produits agrochimiques dangereux.
3) La vérification de l’utilisation des produits agrochimiques interdits dans les inspections internes.
4) Le suivi de l'utilisation des produits agrochimiques durant la période d’application.</t>
  </si>
  <si>
    <t>non</t>
  </si>
  <si>
    <t>Quantité d’applications de pesticides</t>
  </si>
  <si>
    <t>Est-il pratique habituelle pour les agriculteurs de d’abord essayer les méthodes de contrôle biologique, physique et autres méthodes non chimiques (PIC) pour le contrôle des ravageurs avant d’utiliser des produits agrochimiques ?</t>
  </si>
  <si>
    <t>1) Faire très attention à la conformité par rapport au chapitre 4.5 de la Norme pour l’agriculture. En cas de besoin, contacter une université locale ou un service de conseil pour l’élaboration de la procédure de Protection intégrée des cultures. Identifier les sources permettant l’achat de produits agrochimiques de plus faible toxicité de même que les produits de contrôle des ravageurs non chimiques.
2) S’assurer que tous les membres ont les connaissances et compétences nécessaires pour appliquer la Protection intégrée des cultures.
3) Former les membres sur la tenue de registres.
4) Faire le suivi de l’utilisation des produits agrochimiques et de l’application de la procédure de PIC par les membres du groupe (dont la tenue de registres) durant la période d’application.</t>
  </si>
  <si>
    <t>Utilisation d’EPI</t>
  </si>
  <si>
    <t xml:space="preserve">Est-il pratique habituelle que les membres du groupe et/ou leurs travailleurs utilisent des Équipements de protection individuelle (EPI) pour l’application des produits agrochimiques ? </t>
  </si>
  <si>
    <t>1) S’assurer de la disponibilité en quantité suffisante d’EPI pour tous ceux qui appliquent des produits agrochimiques.
2) Élaborer et mettre en œuvre des politiques de gestion sur la mise à disposition d’EPI appropriés et en quantité suffisante et sur l’utilisation correcte de ces EPI.
3) S’assurer que tous ceux qui appliquent les produits agrochimiques sont formés sur l’application correcte des produits agrochimiques et sur l’utilisation correcte des EPI.
4) Former les membres du groupe sur le risque d’utiliser des produits agrochimiques dangereux.
5) Explorer les options de mettre en place des équipes d’application pour remplacer l’application des produits agrochimiques par des membres individuels du groupe.
6) Faire le suivi de l'utilisation des EPI durant la période d’application.</t>
  </si>
  <si>
    <t>A chaque fois qu'ils appliquent des produits agrochimiques, est-ce que tous les travailleurs utilisent les Équipements de protection individuelle (EPI)  ?</t>
  </si>
  <si>
    <t>1) Faire une évaluation parmi les travailleurs sur les raisons de ne pas utiliser les EPI.
2) Utiliser les résultats de cette évaluation pour définir les mesures.
3) Élaborer et mettre en œuvre des politiques de gestion sur la mise à disposition d’EPI appropriés et en quantité suffisante et sur l’utilisation correcte de ces EPI.
4) S’assurer que tous ceux qui appliquent les produits agrochimiques sont formés sur l’application correcte des produits agrochimiques et sur les EPI.
5) S’assurer de la disponibilité en quantité suffisante d’EPI pour tous ceux qui appliquent des produits agrochimiques.
6) Faire le suivi de l'utilisation des EPI durant la période d’application.</t>
  </si>
  <si>
    <t>4.4 Fertilité et conservation des sols</t>
  </si>
  <si>
    <t>Érosion</t>
  </si>
  <si>
    <t>Est-ce qu'il y a des zones qui ont une pente supérieure à 1m de haut sur 3m de long sur une zone &gt;0,1ha ?</t>
  </si>
  <si>
    <t>Mettre en œuvre des mesures pour protéger contre l’érosion, dont la plantation de couvert terrestre autochtone, des plantations qui suivent les courbes de niveau, des barrières vivantes et des systèmes de drainage/assèchement.</t>
  </si>
  <si>
    <t xml:space="preserve">S’assurer qu’il n'y ait pas de formation de ravines et que la couche organique supérieure n’est pas lessivée. </t>
  </si>
  <si>
    <t>Engorgement hydrique/stagnation de l'eau</t>
  </si>
  <si>
    <t>Après les pluies, y-a-t-il des zones au sein de l’exploitation agricole/des exploitations agricoles des membres du groupe avec de longues périodes d’eaux stagnantes ?</t>
  </si>
  <si>
    <t>Mettre en œuvre des mesures pour améliorer le drainage via des mesures physiques, en creusant des tranchées de drainage ou en améliorant la structure du sol pour augmenter la capacité des sols à absorber l’eau et à la garder.</t>
  </si>
  <si>
    <t>Est-ce que le niveau élevé des eaux souterraines est un problème dans certaines zones ?</t>
  </si>
  <si>
    <t>1) Évaluer si la zone est adaptée pour la culture et prendre en compte quelles sont les cultures appropriées pour ces zones.
2) Dans certains cas : améliorer le drainage et/ou conserver la végétation protectrice.</t>
  </si>
  <si>
    <t>Sécheresse</t>
  </si>
  <si>
    <t>Est-ce que la sécheresse est (devient) un facteur limitant pour la production des cultures ?</t>
  </si>
  <si>
    <t xml:space="preserve">1) Garder le sol couvert pour réduire l’évapotranspiration.
2) S’assurer que des cultures à racines profondes sont utilisées.  
3) Envisager des cultures mélangées, de préférence avec des cultures arborées/arbustives.
4) Fournir de l’ombre.
5) Lors de l’irrigation : s’assurer que les pertes en eau sont minimisées et vérifier si des croûtes de sel/limon se trouvent dans la couche supérieure. Si c’est le cas, consulter un institut des sols.                                             </t>
  </si>
  <si>
    <t xml:space="preserve">S’assurer que la structure du sol est conservée pour éviter la compaction. </t>
  </si>
  <si>
    <t>Conditions de travail</t>
  </si>
  <si>
    <t>1.5 Mécanisme de réclamation</t>
  </si>
  <si>
    <t>Mécanisme de réclamation</t>
  </si>
  <si>
    <t>L’information relative au mécanisme de réclamation et au comité d’évaluation et de résolution est-elle visible et accessible par tous les individus, travailleurs, communautés et/ou la société civile ?</t>
  </si>
  <si>
    <t>Vérifier et mettre à jour régulièrement l’affichage public afin d’être sûr que les informations sont toujours correctes, visibles et accessibles par tous, y compris dans les langues du personnel local et temporaire</t>
  </si>
  <si>
    <t xml:space="preserve">Mécanisme de réclamation </t>
  </si>
  <si>
    <t>S’assurer que les producteurs et les travailleurs aient accès aux informations pratiques dans leurs langues sur la manière et l’endroit où ils peuvent avoir accès au mécanisme de réclamation et au comité Évaluation-et-Résolution lorsqu’ils ont une réclamation à faire et à traiter.</t>
  </si>
  <si>
    <t>5.1 Évaluation-et-Résolution</t>
  </si>
  <si>
    <t>Égalité des chances et prévention de la discrimination</t>
  </si>
  <si>
    <t>Les populations suivantes sont-elles présentes sur ou à proximité de l’exploitation agricole ou du groupe ? Travailleurs migrants, minorités ethniques particulières, populations autochtones, personnes qui ne parlent pas la langue principale du pays et de la région.</t>
  </si>
  <si>
    <t>1) Évaluer si les membres de ces populations travaillent sur l’exploitation agricoles ou sont employés par les membres du groupe.
2) S’assurer que la direction de l'exploitation agricole et du groupe est consciente du type de populations présentes et qu’elle consigne leurs caractéristiques : type de population, nombre (estimation), langue et autres paramètres appropriés.</t>
  </si>
  <si>
    <t>Les populations suivantes sont-elles présentes sur ou à proximité de l’exploitation agricole ou du groupe ? 1) Travailleurs migrants (étrangers ou venant d’une autre région du pays)
2) Minorités ethniques spécifiques (toute ethnie autre que l’ethnie majoritaire dans le personnel)
3) Populations autochtones (le cas échéant)
4) Personnes qui ne parlent pas la langue dominante du pays et de la région</t>
  </si>
  <si>
    <t>Est-ce que les procédures d’embauche suivent les règles et les réglementations permettant d’empêcher les pratiques discriminatoires ?</t>
  </si>
  <si>
    <t>S’assurer que tous les emplois vacants sont annoncés à tous, dans les langues appropriées.</t>
  </si>
  <si>
    <t>Prévention de la violence et du harcèlement au travail</t>
  </si>
  <si>
    <t xml:space="preserve">Est-ce que la direction met en place des actions ciblées pour empêcher la violence et le harcèlement (dont le harcèlement sexuel) ? </t>
  </si>
  <si>
    <r>
      <rPr>
        <sz val="10"/>
        <color theme="1"/>
        <rFont val="Calibri"/>
        <family val="2"/>
        <scheme val="minor"/>
      </rPr>
      <t xml:space="preserve"> </t>
    </r>
    <r>
      <rPr>
        <sz val="10"/>
        <color theme="1"/>
        <rFont val="Calibri"/>
        <family val="2"/>
        <scheme val="minor"/>
      </rPr>
      <t>Mettre en œuvre au moins une des mesures suivantes :</t>
    </r>
    <r>
      <rPr>
        <sz val="10"/>
        <color theme="1"/>
        <rFont val="Calibri"/>
        <family val="2"/>
        <scheme val="minor"/>
      </rPr>
      <t xml:space="preserve">
</t>
    </r>
    <r>
      <rPr>
        <sz val="10"/>
        <color theme="1"/>
        <rFont val="Calibri"/>
        <family val="2"/>
        <scheme val="minor"/>
      </rPr>
      <t>- Former les formateurs, le personnel technique et les autres personnes en contact direct avec les membres et les travailleurs sur le comportement respectueux et les concepts de violence et harcèlement au travail.</t>
    </r>
    <r>
      <rPr>
        <sz val="10"/>
        <color theme="1"/>
        <rFont val="Calibri"/>
        <family val="2"/>
        <scheme val="minor"/>
      </rPr>
      <t xml:space="preserve">
</t>
    </r>
    <r>
      <rPr>
        <sz val="10"/>
        <color theme="1"/>
        <rFont val="Calibri"/>
        <family val="2"/>
        <scheme val="minor"/>
      </rPr>
      <t>- Former les travailleurs sur le sujet du comportement respectueux et sur les concepts de violence et harcèlement au travail.</t>
    </r>
    <r>
      <rPr>
        <sz val="10"/>
        <color theme="1"/>
        <rFont val="Calibri"/>
        <family val="2"/>
        <scheme val="minor"/>
      </rPr>
      <t xml:space="preserve">
</t>
    </r>
    <r>
      <rPr>
        <b/>
        <sz val="10"/>
        <color rgb="FF000000"/>
        <rFont val="Calibri"/>
        <family val="2"/>
        <scheme val="minor"/>
      </rPr>
      <t>Veuillez noter</t>
    </r>
    <r>
      <rPr>
        <sz val="10"/>
        <color rgb="FF000000"/>
        <rFont val="Calibri"/>
        <family val="2"/>
        <scheme val="minor"/>
      </rPr>
      <t xml:space="preserve"> que dans la plupart des cas, la violence et le harcèlement au travail sont liés à des situations auxquelles les femmes sont confrontées.</t>
    </r>
    <r>
      <rPr>
        <sz val="10"/>
        <color rgb="FF000000"/>
        <rFont val="Calibri"/>
        <family val="2"/>
        <scheme val="minor"/>
      </rPr>
      <t xml:space="preserve"> </t>
    </r>
    <r>
      <rPr>
        <sz val="10"/>
        <color rgb="FF000000"/>
        <rFont val="Calibri"/>
        <family val="2"/>
        <scheme val="minor"/>
      </rPr>
      <t>Cependant, les hommes aussi sont confrontés à des risques.</t>
    </r>
    <r>
      <rPr>
        <sz val="10"/>
        <color rgb="FF000000"/>
        <rFont val="Calibri"/>
        <family val="2"/>
        <scheme val="minor"/>
      </rPr>
      <t xml:space="preserve"> </t>
    </r>
    <r>
      <rPr>
        <sz val="10"/>
        <color rgb="FF000000"/>
        <rFont val="Calibri"/>
        <family val="2"/>
        <scheme val="minor"/>
      </rPr>
      <t>S’assurer que vos réponses couvrent les risques liés à tous les travailleurs indépendamment de leur sexe.</t>
    </r>
  </si>
  <si>
    <t>Est-ce que le Comité de réclamation a partagé les informations permettant de contacter une personne/organisation de confiance externe, en particulier pour le harcèlement sexuel concernant les travailleurs ?</t>
  </si>
  <si>
    <t>Fournir à tous les travailleurs les informations pour contacter une personne/institut de confiance externe, local et neutre qui est capable de résoudre les cas de harcèlement sexuel.</t>
  </si>
  <si>
    <t>Vérification de l’âge</t>
  </si>
  <si>
    <t>Le risque existe-t-il que les membres du groupe d’exploitations agricoles ne vérifient pas de la conformité de l’âge des travailleurs employés au moment de leur embauche ?</t>
  </si>
  <si>
    <t>Avec les inspections internes, vérifier l’année de naissance  des travailleurs des petites exploitations agricoles sur leur inscription.</t>
  </si>
  <si>
    <t>1) Expliquer à tous les agriculteurs qui ont embauché des travailleurs comment vérifier l’âge de toutes les nouvelles embauches sur le lieu de travail, y compris celui de travailleurs envoyés par les agences de placement.
2) La vérification de l’âge doit se baser sur les documents d'identité, les dossiers scolaires et médicaux ou sur d’autres formulaires vérifiables de preuves d’identité.
3) Vérifier avec l'inspection interne les données de la liste des travailleurs.</t>
  </si>
  <si>
    <t>Est-ce que le site exige une preuve d’âge et en prend note lorsqu’il embauche des travailleurs ?</t>
  </si>
  <si>
    <t>Faible, Moyen et Élevé selon les cartes Rainforest Alliance de localisation des risques de travail des enfants</t>
  </si>
  <si>
    <r>
      <rPr>
        <b/>
        <sz val="10"/>
        <color rgb="FF000000"/>
        <rFont val="Calibri"/>
        <family val="2"/>
        <scheme val="minor"/>
      </rPr>
      <t>Moyen et Élevé :</t>
    </r>
    <r>
      <rPr>
        <sz val="10"/>
        <color rgb="FF000000"/>
        <rFont val="Calibri"/>
        <family val="2"/>
        <scheme val="minor"/>
      </rPr>
      <t xml:space="preserve">
Conduire un examen annuel de la présence des documents d'identité dans les dossiers de tous les travailleurs âgés de moins de 18 ans. 
</t>
    </r>
    <r>
      <rPr>
        <b/>
        <sz val="10"/>
        <color rgb="FF000000"/>
        <rFont val="Calibri"/>
        <family val="2"/>
        <scheme val="minor"/>
      </rPr>
      <t xml:space="preserve">Risque faible : 
</t>
    </r>
    <r>
      <rPr>
        <sz val="10"/>
        <color rgb="FF000000"/>
        <rFont val="Calibri"/>
        <family val="2"/>
        <scheme val="minor"/>
      </rPr>
      <t>Aucune action supplémentaire requise</t>
    </r>
  </si>
  <si>
    <t>1) Vérifier les âges de tous les jeunes travailleurs sur site tout en respectant la protection et la vie privée des enfants.
2) Élaborer et mettre en œuvre un système pour vérifier l’identité et l’âge de toutes les nouvelles embauches sur le lieu de travail, y compris celles fournies par les agences de placement de main d'œuvre.
3) S’assurer que le système base ses décisions sur des formes vérifiables de preuve d’identité, dont les documents d'identité et les dossiers scolaires et médicaux. Inclure le statut et la scolarisation dans le système de vérification de l’âge.
4) S’assurer que les informations sur l’âge à partir duquel les enfants peuvent travailler et dans quelles circonstances sont clairement communiquées au personnel et aux travailleurs.</t>
  </si>
  <si>
    <t>Travail dangereux</t>
  </si>
  <si>
    <t>Est-ce que la direction du groupe a listé des tâches, des processus ou des conditions de travail qui pourraient être dangereuses pour les jeunes travailleurs ?</t>
  </si>
  <si>
    <r>
      <rPr>
        <b/>
        <sz val="10"/>
        <color rgb="FF000000"/>
        <rFont val="Calibri"/>
        <family val="2"/>
        <scheme val="minor"/>
      </rPr>
      <t>Faible risque :</t>
    </r>
    <r>
      <rPr>
        <sz val="10"/>
        <color rgb="FF000000"/>
        <rFont val="Calibri"/>
        <family val="2"/>
        <scheme val="minor"/>
      </rPr>
      <t xml:space="preserve">
</t>
    </r>
    <r>
      <rPr>
        <sz val="10"/>
        <color rgb="FF000000"/>
        <rFont val="Calibri"/>
        <family val="2"/>
        <scheme val="minor"/>
      </rPr>
      <t xml:space="preserve">Communiquer cette liste à tous les membres du groupe qui embauchent des jeunes travailleurs
</t>
    </r>
    <r>
      <rPr>
        <b/>
        <sz val="10"/>
        <color rgb="FF000000"/>
        <rFont val="Calibri"/>
        <family val="2"/>
        <scheme val="minor"/>
      </rPr>
      <t>Risque moyen et élevé :</t>
    </r>
    <r>
      <rPr>
        <sz val="10"/>
        <color rgb="FF000000"/>
        <rFont val="Calibri"/>
        <family val="2"/>
        <scheme val="minor"/>
      </rPr>
      <t xml:space="preserve">
</t>
    </r>
    <r>
      <rPr>
        <sz val="10"/>
        <color rgb="FF000000"/>
        <rFont val="Calibri"/>
        <family val="2"/>
        <scheme val="minor"/>
      </rPr>
      <t>1) Communiquer cette liste à tous les membres du groupe et ;
2) S’assurer, via la formation et le suivi du travail des enfants, que les membres savent qu’il est interdit d’assigner les jeunes travailleurs de moins de 18 ans à des tâches dangereuses.</t>
    </r>
    <r>
      <rPr>
        <sz val="10"/>
        <color rgb="FF000000"/>
        <rFont val="Calibri"/>
        <family val="2"/>
        <scheme val="minor"/>
      </rPr>
      <t xml:space="preserve">
</t>
    </r>
    <r>
      <rPr>
        <sz val="10"/>
        <color rgb="FF000000"/>
        <rFont val="Calibri"/>
        <family val="2"/>
        <scheme val="minor"/>
      </rPr>
      <t>3) Vérifier via des inspections internes que la liste existe, que cette liste est communiquée et que le contrôle du travail des enfants est effectué et focalisé sur les tâches dangereuses</t>
    </r>
    <r>
      <rPr>
        <sz val="10"/>
        <color rgb="FF000000"/>
        <rFont val="Calibri"/>
        <family val="2"/>
        <scheme val="minor"/>
      </rPr>
      <t xml:space="preserve"> </t>
    </r>
  </si>
  <si>
    <r>
      <rPr>
        <b/>
        <sz val="10"/>
        <color rgb="FF000000"/>
        <rFont val="Calibri"/>
        <family val="2"/>
        <scheme val="minor"/>
      </rPr>
      <t>Faible risque :</t>
    </r>
    <r>
      <rPr>
        <sz val="10"/>
        <color rgb="FF000000"/>
        <rFont val="Calibri"/>
        <family val="2"/>
        <scheme val="minor"/>
      </rPr>
      <t xml:space="preserve">
</t>
    </r>
    <r>
      <rPr>
        <sz val="10"/>
        <color rgb="FF000000"/>
        <rFont val="Calibri"/>
        <family val="2"/>
        <scheme val="minor"/>
      </rPr>
      <t>Lister les tâches et les processus qui impliquent des conditions de travail dangereuses et les communiquer à tous les membres du groupe.</t>
    </r>
    <r>
      <rPr>
        <sz val="10"/>
        <color rgb="FF000000"/>
        <rFont val="Calibri"/>
        <family val="2"/>
        <scheme val="minor"/>
      </rPr>
      <t xml:space="preserve">
</t>
    </r>
    <r>
      <rPr>
        <b/>
        <sz val="10"/>
        <color rgb="FF000000"/>
        <rFont val="Calibri"/>
        <family val="2"/>
        <scheme val="minor"/>
      </rPr>
      <t>Risque moyen et élevé :</t>
    </r>
    <r>
      <rPr>
        <b/>
        <sz val="10"/>
        <color rgb="FF000000"/>
        <rFont val="Calibri"/>
        <family val="2"/>
        <scheme val="minor"/>
      </rPr>
      <t xml:space="preserve">
</t>
    </r>
    <r>
      <rPr>
        <sz val="10"/>
        <color rgb="FF000000"/>
        <rFont val="Calibri"/>
        <family val="2"/>
        <scheme val="minor"/>
      </rPr>
      <t>1) Élaborer une liste de tâches et de processus de travail, alignée avec la politique nationale appropriée, que les jeunes en dessous de 18 ans ont interdiction de réaliser.</t>
    </r>
    <r>
      <rPr>
        <sz val="10"/>
        <color rgb="FF000000"/>
        <rFont val="Calibri"/>
        <family val="2"/>
        <scheme val="minor"/>
      </rPr>
      <t xml:space="preserve"> </t>
    </r>
    <r>
      <rPr>
        <sz val="10"/>
        <color rgb="FF000000"/>
        <rFont val="Calibri"/>
        <family val="2"/>
        <scheme val="minor"/>
      </rPr>
      <t>S’assurer que la liste couvre les postes qui impliquent des substances dangereuses, des équipements dangereux ou des lourdes charges à porter.</t>
    </r>
    <r>
      <rPr>
        <sz val="10"/>
        <color rgb="FF000000"/>
        <rFont val="Calibri"/>
        <family val="2"/>
        <scheme val="minor"/>
      </rPr>
      <t xml:space="preserve"> </t>
    </r>
    <r>
      <rPr>
        <sz val="10"/>
        <color rgb="FF000000"/>
        <rFont val="Calibri"/>
        <family val="2"/>
        <scheme val="minor"/>
      </rPr>
      <t>Le liste de tâches doit aussi spécifier clairement que les travailleurs en dessous de l’âge ont interdiction de réaliser du travail de nuit ou durant les heures d’école.</t>
    </r>
    <r>
      <rPr>
        <sz val="10"/>
        <color rgb="FF000000"/>
        <rFont val="Calibri"/>
        <family val="2"/>
        <scheme val="minor"/>
      </rPr>
      <t xml:space="preserve">
</t>
    </r>
    <r>
      <rPr>
        <sz val="10"/>
        <color rgb="FF000000"/>
        <rFont val="Calibri"/>
        <family val="2"/>
        <scheme val="minor"/>
      </rPr>
      <t>2) Réviser la liste toutes les saisons pour s’assurer qu’elle est à jour par rapport à la politique nationale.</t>
    </r>
    <r>
      <rPr>
        <sz val="10"/>
        <color rgb="FF000000"/>
        <rFont val="Calibri"/>
        <family val="2"/>
        <scheme val="minor"/>
      </rPr>
      <t xml:space="preserve">
</t>
    </r>
    <r>
      <rPr>
        <sz val="10"/>
        <color rgb="FF000000"/>
        <rFont val="Calibri"/>
        <family val="2"/>
        <scheme val="minor"/>
      </rPr>
      <t>3) Communiquer aux membres du groupe quelles sont les tâches dangereuses et celles qui ne le sont pas.
4) Clarifier aux membres du groupe que le travail effectué par des jeunes de moins de 18 ans doit être réalisé conformément à la liste.
5) Clarifier les étapes internes et les sanctions internes possibles lorsqu’on découvre qu’un membre en dessous de 18 ans est autorisé à réaliser un travail dangereux.</t>
    </r>
  </si>
  <si>
    <t>L’exploitation agricole a formellement enregistré les travailleurs âgés de moins de 18 ans.</t>
  </si>
  <si>
    <t xml:space="preserve">Est-ce que la direction de l’exploitation agricole a listé les tâches, les processus ou les conditions de travail ayant lieu dans l’exploitation agricole et pouvant être dangereuses pour les jeunes travailleurs ? </t>
  </si>
  <si>
    <t xml:space="preserve">Lister les tâches/processus dangereux et s’assurer que tous les superviseurs sont au courant que les jeunes travailleurs de moins de 18 ans ne peuvent pas les réaliser. 
2) Vérifier que les superviseurs et les jeunes travailleurs savent quels tâches ou processus sont dangereux et que les jeunes travailleurs de moins de 18 ans ne sont pas assignés à l’exécution de tâches ou processus dangereux. </t>
  </si>
  <si>
    <t>Risque faible, moyen et élevé</t>
  </si>
  <si>
    <r>
      <rPr>
        <b/>
        <sz val="10"/>
        <color rgb="FF000000"/>
        <rFont val="Calibri"/>
        <family val="2"/>
        <scheme val="minor"/>
      </rPr>
      <t>Risque faible</t>
    </r>
    <r>
      <rPr>
        <sz val="10"/>
        <color rgb="FF000000"/>
        <rFont val="Calibri"/>
        <family val="2"/>
        <scheme val="minor"/>
      </rPr>
      <t xml:space="preserve">
1) Élaborer la liste des tâches et des processus de travail, conforme à la politique ou à la législation nationale appropriée, auxquels les jeunes de moins de 18 ans ne doivent pas être assignés.</t>
    </r>
    <r>
      <rPr>
        <sz val="10"/>
        <color rgb="FF000000"/>
        <rFont val="Calibri"/>
        <family val="2"/>
        <scheme val="minor"/>
      </rPr>
      <t xml:space="preserve"> </t>
    </r>
    <r>
      <rPr>
        <sz val="10"/>
        <color rgb="FF000000"/>
        <rFont val="Calibri"/>
        <family val="2"/>
        <scheme val="minor"/>
      </rPr>
      <t>S’assurer que la liste couvre les postes qui impliquent des substances dangereuses, des équipements dangereux ou des lourdes charges à porter.</t>
    </r>
    <r>
      <rPr>
        <sz val="10"/>
        <color rgb="FF000000"/>
        <rFont val="Calibri"/>
        <family val="2"/>
        <scheme val="minor"/>
      </rPr>
      <t xml:space="preserve"> </t>
    </r>
    <r>
      <rPr>
        <sz val="10"/>
        <color rgb="FF000000"/>
        <rFont val="Calibri"/>
        <family val="2"/>
        <scheme val="minor"/>
      </rPr>
      <t>Le liste de tâches doit aussi spécifier clairement que les travailleurs en dessous de l’âge ont interdiction de réaliser du travail de nuit ou durant les heures d’école.</t>
    </r>
    <r>
      <rPr>
        <sz val="10"/>
        <color rgb="FF000000"/>
        <rFont val="Calibri"/>
        <family val="2"/>
        <scheme val="minor"/>
      </rPr>
      <t xml:space="preserve">
</t>
    </r>
    <r>
      <rPr>
        <sz val="10"/>
        <color rgb="FF000000"/>
        <rFont val="Calibri"/>
        <family val="2"/>
        <scheme val="minor"/>
      </rPr>
      <t>2) Réviser la liste toutes les saisons pour s’assurer qu’elle est à jour par rapport à la politique nationale.</t>
    </r>
    <r>
      <rPr>
        <sz val="10"/>
        <color rgb="FF000000"/>
        <rFont val="Calibri"/>
        <family val="2"/>
        <scheme val="minor"/>
      </rPr>
      <t xml:space="preserve">
</t>
    </r>
    <r>
      <rPr>
        <sz val="10"/>
        <color rgb="FF000000"/>
        <rFont val="Calibri"/>
        <family val="2"/>
        <scheme val="minor"/>
      </rPr>
      <t xml:space="preserve">3) Vérifier que les superviseurs connaissent cette liste et qu’ils empêchent de manière pro active que les jeunes travailleurs soient assignés à des tâches dangereuses.
</t>
    </r>
    <r>
      <rPr>
        <b/>
        <sz val="10"/>
        <color rgb="FF000000"/>
        <rFont val="Calibri"/>
        <family val="2"/>
        <scheme val="minor"/>
      </rPr>
      <t xml:space="preserve">Risque moyen et élevé
</t>
    </r>
    <r>
      <rPr>
        <sz val="10"/>
        <color rgb="FF000000"/>
        <rFont val="Calibri"/>
        <family val="2"/>
        <scheme val="minor"/>
      </rPr>
      <t>1) Élaborer la liste des tâches et des processus de travail, conforme à la politique ou à la législation nationale appropriée, auxquels les jeunes de moins de 18 ans ne doivent pas être assignés.</t>
    </r>
    <r>
      <rPr>
        <sz val="10"/>
        <color rgb="FF000000"/>
        <rFont val="Calibri"/>
        <family val="2"/>
        <scheme val="minor"/>
      </rPr>
      <t xml:space="preserve"> </t>
    </r>
    <r>
      <rPr>
        <sz val="10"/>
        <color rgb="FF000000"/>
        <rFont val="Calibri"/>
        <family val="2"/>
        <scheme val="minor"/>
      </rPr>
      <t>S’assurer que la liste couvre les postes qui impliquent des substances dangereuses, des équipements dangereux, le travail en hauteur et/ou des lourdes charges à porter.</t>
    </r>
    <r>
      <rPr>
        <sz val="10"/>
        <color rgb="FF000000"/>
        <rFont val="Calibri"/>
        <family val="2"/>
        <scheme val="minor"/>
      </rPr>
      <t xml:space="preserve"> </t>
    </r>
    <r>
      <rPr>
        <sz val="10"/>
        <color rgb="FF000000"/>
        <rFont val="Calibri"/>
        <family val="2"/>
        <scheme val="minor"/>
      </rPr>
      <t>Le liste de tâches doit aussi spécifier clairement que les jeunes travailleurs ont interdiction de réaliser du travail de nuit.</t>
    </r>
    <r>
      <rPr>
        <sz val="10"/>
        <color rgb="FF000000"/>
        <rFont val="Calibri"/>
        <family val="2"/>
        <scheme val="minor"/>
      </rPr>
      <t xml:space="preserve">
</t>
    </r>
    <r>
      <rPr>
        <sz val="10"/>
        <color rgb="FF000000"/>
        <rFont val="Calibri"/>
        <family val="2"/>
        <scheme val="minor"/>
      </rPr>
      <t>2) Réviser la liste toutes les saisons pour s’assurer qu’elle est à jour par rapport à la politique et législation nationale.
3) Réaliser un examen de santé et sécurité / évaluation des risques de toutes les activités majeures de l’exploitation agricole afin d'identifier les dangers majeurs, en plus des étapes proposées pour supprimer ou réduire l’exposition des jeunes travailleurs (ex : supprimer les dangers des machines, les outils tranchants, les substances dangereuses, le travail en hauteur, le portage de lourdes charges, le travail de nuit).</t>
    </r>
    <r>
      <rPr>
        <sz val="10"/>
        <color rgb="FF000000"/>
        <rFont val="Calibri"/>
        <family val="2"/>
        <scheme val="minor"/>
      </rPr>
      <t xml:space="preserve">
</t>
    </r>
    <r>
      <rPr>
        <sz val="10"/>
        <color rgb="FF000000"/>
        <rFont val="Calibri"/>
        <family val="2"/>
        <scheme val="minor"/>
      </rPr>
      <t>4) S’assurer que les superviseurs sont au courant de la liste des tâches dangereuses et des tâches que les jeunes travailleurs sont autorisés à réaliser.</t>
    </r>
    <r>
      <rPr>
        <sz val="10"/>
        <color rgb="FF000000"/>
        <rFont val="Calibri"/>
        <family val="2"/>
        <scheme val="minor"/>
      </rPr>
      <t xml:space="preserve">
</t>
    </r>
    <r>
      <rPr>
        <sz val="10"/>
        <color rgb="FF000000"/>
        <rFont val="Calibri"/>
        <family val="2"/>
        <scheme val="minor"/>
      </rPr>
      <t>5) Sensibiliser les jeunes travailleurs, particulièrement ceux qui travaillent en équipe avec des jeunes travailleurs, sur les tâches qu’ils sont autorisés à réaliser et à partir de quel âge.</t>
    </r>
  </si>
  <si>
    <t>Existe-t-il un risque que les enfants du personnel du groupe, ou des membres du groupe, ou les enfants des travailleurs, en âge scolaire, ne puissent fréquenter une école implantée à une distance de transport ou de marche garantissant leur sécurité ? (Utiliser la carte de la zone du groupe pour évaluer cela)</t>
  </si>
  <si>
    <t xml:space="preserve"> 1) Sensibiliser les membres du groupe à l’importance de l’éducation et discuter avec eux des différentes manières dont dispose le groupe pour faciliter l’accès des enfants à l’éducation. 
2) Identifier via des inspections internes si les enfants de membres du groupe sont exposés à un risque plus élevé de ne pas pouvoir fréquenter l’école en raison de son éloignement ou à cause d’autres problèmes d’accessibilité.
3) Définir et mettre en œuvre une procédure par étapes d’aide aux familles permettant aux enfants de fréquenter l’école (directement ou via le Ministère ou le Service de l’éducation ou via les ‘AVEC’ - Associations Villageoises d’Épargne et de Crédit) </t>
  </si>
  <si>
    <t>Les travailleurs et leurs familles vivent sur site</t>
  </si>
  <si>
    <t xml:space="preserve">Les enfants vivant sur le site et en âge scolaire vont-ils à l’école à une distance de marche sécurisée ou à une distance raisonnable en utilisant un transport sûr ? </t>
  </si>
  <si>
    <r>
      <rPr>
        <b/>
        <sz val="10"/>
        <color rgb="FF000000"/>
        <rFont val="Calibri"/>
        <family val="2"/>
        <scheme val="minor"/>
      </rPr>
      <t>Faible :</t>
    </r>
    <r>
      <rPr>
        <sz val="10"/>
        <color rgb="FF000000"/>
        <rFont val="Calibri"/>
        <family val="2"/>
        <scheme val="minor"/>
      </rPr>
      <t xml:space="preserve">
</t>
    </r>
    <r>
      <rPr>
        <sz val="10"/>
        <color rgb="FF000000"/>
        <rFont val="Calibri"/>
        <family val="2"/>
        <scheme val="minor"/>
      </rPr>
      <t xml:space="preserve">Collaborer avec le service local d’éducation et les ONG locales pour faciliter l’accès à l’éducation des enfants vivant sur site, promouvoir la mise en place d’un transport sécurisé ou promouvoir la création de salles de classes annexes sur site pour les enfants les plus jeunes, si possible administrées par le service local d’éducation, fournir aux travailleurs parents d’enfants non scolarisés une aide permettant de les scolariser
</t>
    </r>
    <r>
      <rPr>
        <b/>
        <sz val="10"/>
        <color rgb="FF000000"/>
        <rFont val="Calibri"/>
        <family val="2"/>
        <scheme val="minor"/>
      </rPr>
      <t>Risque moyen et élevé</t>
    </r>
    <r>
      <rPr>
        <sz val="10"/>
        <color rgb="FF000000"/>
        <rFont val="Calibri"/>
        <family val="2"/>
        <scheme val="minor"/>
      </rPr>
      <t xml:space="preserve">
Collaborer avec le service local d’éducation et avec les ONG locales pour faciliter l’accès à l’éducation des enfants vivant sur site, promouvoir la mise en place d’un transport sécurisé ou défendre la création de salles de classes annexes sur site pour les enfants les plus jeunes, si possible administrées par le service local d’éducation</t>
    </r>
  </si>
  <si>
    <t>Risque moyen et élevé :
Se coordonner avec l’école locale et demander à être informé en cas d’absence prolongée ou de présence très irrégulière à l’école d’un enfant vivant sur site (s’assurer que cette procédure est conforme à la législation nationale de protection des données).
Faible:
Aucune action supplémentaire requise</t>
  </si>
  <si>
    <t xml:space="preserve">Travailleurs familiaux </t>
  </si>
  <si>
    <t>Est-ce qu’il y a un risque que des jeunes de moins de 18 ans travaillent dans l’exploitation agricole ?</t>
  </si>
  <si>
    <t>Moyen et élevé</t>
  </si>
  <si>
    <r>
      <rPr>
        <b/>
        <sz val="10"/>
        <color rgb="FF000000"/>
        <rFont val="Calibri"/>
        <family val="2"/>
        <scheme val="minor"/>
      </rPr>
      <t>Risque moyen et élevé</t>
    </r>
    <r>
      <rPr>
        <sz val="10"/>
        <color rgb="FF000000"/>
        <rFont val="Calibri"/>
        <family val="2"/>
        <scheme val="minor"/>
      </rPr>
      <t> :</t>
    </r>
    <r>
      <rPr>
        <sz val="10"/>
        <color rgb="FF000000"/>
        <rFont val="Calibri"/>
        <family val="2"/>
        <scheme val="minor"/>
      </rPr>
      <t xml:space="preserve">
</t>
    </r>
    <r>
      <rPr>
        <sz val="10"/>
        <color rgb="FF000000"/>
        <rFont val="Calibri"/>
        <family val="2"/>
        <scheme val="minor"/>
      </rPr>
      <t>Mettre en place un processus de suivi du travail des enfants
1) Nommer un membre du personnel pour superviser le travail de tous les jeunes de moins de 18 ans inscrits comme travaillant sur l’exploitation agricole et pour suivre leur assiduité scolaire et médicale.
2) Le membre du personnel responsable vérifie les lieux où les moins de 18 ans travaillent pour s’assurer qu’ils ne réalisent pas de tâches dangereuses et qu’ils ne travaillent pas durant les heures d’école ou de nuit/sans périodes de repos suffisantes entre les jours d’école.</t>
    </r>
    <r>
      <rPr>
        <sz val="10"/>
        <color rgb="FF000000"/>
        <rFont val="Calibri"/>
        <family val="2"/>
        <scheme val="minor"/>
      </rPr>
      <t xml:space="preserve"> </t>
    </r>
    <r>
      <rPr>
        <sz val="10"/>
        <color rgb="FF000000"/>
        <rFont val="Calibri"/>
        <family val="2"/>
        <scheme val="minor"/>
      </rPr>
      <t>La fréquence doit dépendre du niveau de risque (ex : plus le risque est élevé, plus le suivi sera fréquent).
Prendre note des résultats de ces visites.</t>
    </r>
    <r>
      <rPr>
        <sz val="10"/>
        <color rgb="FF000000"/>
        <rFont val="Calibri"/>
        <family val="2"/>
        <scheme val="minor"/>
      </rPr>
      <t xml:space="preserve">
</t>
    </r>
    <r>
      <rPr>
        <sz val="10"/>
        <color rgb="FF000000"/>
        <rFont val="Calibri"/>
        <family val="2"/>
        <scheme val="minor"/>
      </rPr>
      <t>3) Utiliser l’outil de résolution de Rainforest Alliance pour libérer les enfants d'un travail, en veillant particulièrement à minimiser les dommages aux familles à revenu faible ou insuffisant.</t>
    </r>
    <r>
      <rPr>
        <sz val="10"/>
        <color rgb="FF000000"/>
        <rFont val="Calibri"/>
        <family val="2"/>
        <scheme val="minor"/>
      </rPr>
      <t xml:space="preserve"> </t>
    </r>
    <r>
      <rPr>
        <sz val="10"/>
        <color rgb="FF000000"/>
        <rFont val="Calibri"/>
        <family val="2"/>
        <scheme val="minor"/>
      </rPr>
      <t>Les superviseurs et les travailleurs sont informés sur la politique d’embauche des jeunes travailleurs, dont l’âge à partir duquel les enfants peuvent être employés individuellement et conformément à la Norme de Rainforest Alliance et à la législation nationale.</t>
    </r>
    <r>
      <rPr>
        <sz val="10"/>
        <color rgb="FF000000"/>
        <rFont val="Calibri"/>
        <family val="2"/>
        <scheme val="minor"/>
      </rPr>
      <t xml:space="preserve">
</t>
    </r>
    <r>
      <rPr>
        <b/>
        <sz val="10"/>
        <color rgb="FF000000"/>
        <rFont val="Calibri"/>
        <family val="2"/>
        <scheme val="minor"/>
      </rPr>
      <t>Faible :</t>
    </r>
    <r>
      <rPr>
        <b/>
        <sz val="10"/>
        <color rgb="FF000000"/>
        <rFont val="Calibri"/>
        <family val="2"/>
        <scheme val="minor"/>
      </rPr>
      <t xml:space="preserve">
</t>
    </r>
    <r>
      <rPr>
        <sz val="10"/>
        <color rgb="FF000000"/>
        <rFont val="Calibri"/>
        <family val="2"/>
        <scheme val="minor"/>
      </rPr>
      <t>1) Les superviseurs et les travailleurs sont informés sur la politique d’embauche des jeunes travailleurs, dont l’âge à partir duquel les enfants peuvent être employés individuellement et conformément à la Norme de Rainforest Alliance et à la législation nationale.</t>
    </r>
  </si>
  <si>
    <t>Faible</t>
  </si>
  <si>
    <t>1) Informer les superviseurs et les travailleurs sur la politique d’embauche des jeunes travailleurs, dont l’âge à partir duquel les enfants peuvent être employés individuellement et conformément à la Norme de Rainforest Alliance et à la législation nationale.</t>
  </si>
  <si>
    <t>Existe-t-il un risque que des jeunes de moins de 18 ans soient assignés à des tâches dangereuses et/ou pour lesquelles ils sont trop jeunes dans l’une  des exploitations du groupe ?</t>
  </si>
  <si>
    <r>
      <rPr>
        <b/>
        <sz val="10"/>
        <color rgb="FF000000"/>
        <rFont val="Calibri"/>
        <family val="2"/>
        <scheme val="minor"/>
      </rPr>
      <t>Risque moyen et élevé</t>
    </r>
    <r>
      <rPr>
        <sz val="10"/>
        <color rgb="FF000000"/>
        <rFont val="Calibri"/>
        <family val="2"/>
        <scheme val="minor"/>
      </rPr>
      <t xml:space="preserve">
1) Informer les membres de la politique concernant le travail des enfants, y compris l’âge à partir duquel les enfants peuvent aider leurs parents, ainsi que l’âge à partir duquel l’embauche directe des enfants dans d’autres exploitations est autorisée pour un travail léger, conformément à la Norme de Rainforest Alliance et à la législation nationale.</t>
    </r>
    <r>
      <rPr>
        <sz val="10"/>
        <color rgb="FF000000"/>
        <rFont val="Calibri"/>
        <family val="2"/>
        <scheme val="minor"/>
      </rPr>
      <t xml:space="preserve">
</t>
    </r>
    <r>
      <rPr>
        <sz val="10"/>
        <color rgb="FF000000"/>
        <rFont val="Calibri"/>
        <family val="2"/>
        <scheme val="minor"/>
      </rPr>
      <t>2) Désigner des contrôleurs (en nombre suffisant pour garantir un niveau de couverture et une visibilité efficaces dans les exploitations du groupe de producteurs) en vue d’assurer la surveillance permanente de l’application des règles de travail, de sécurité sanitaire et d’assiduité scolaire des enfants et afin de garantir que les inspecteurs, les agriculteurs, les superviseurs des jeunes travailleurs et les travailleurs employés eux-mêmes restent en permanence sensibilisés à la politique du groupe sur le travail des enfants.</t>
    </r>
    <r>
      <rPr>
        <sz val="10"/>
        <color rgb="FF000000"/>
        <rFont val="Calibri"/>
        <family val="2"/>
        <scheme val="minor"/>
      </rPr>
      <t xml:space="preserve"> 
</t>
    </r>
    <r>
      <rPr>
        <b/>
        <sz val="10"/>
        <color rgb="FF000000"/>
        <rFont val="Calibri"/>
        <family val="2"/>
        <scheme val="minor"/>
      </rPr>
      <t>Risque faible :</t>
    </r>
    <r>
      <rPr>
        <sz val="10"/>
        <color rgb="FF000000"/>
        <rFont val="Calibri"/>
        <family val="2"/>
        <scheme val="minor"/>
      </rPr>
      <t xml:space="preserve">
</t>
    </r>
    <r>
      <rPr>
        <sz val="10"/>
        <color rgb="FF000000"/>
        <rFont val="Calibri"/>
        <family val="2"/>
        <scheme val="minor"/>
      </rPr>
      <t>1) Informer les membres de la politique concernant le travail des enfants, y compris l’âge à partir duquel les enfants peuvent aider leurs parents, ainsi que l’âge à partir duquel l’embauche directe des enfants dans d’autres exploitations est autorisée pour un travail léger, conformément à la Norme de Rainforest Alliance et à la législation nationale.</t>
    </r>
    <r>
      <rPr>
        <sz val="10"/>
        <color rgb="FF000000"/>
        <rFont val="Calibri"/>
        <family val="2"/>
        <scheme val="minor"/>
      </rPr>
      <t xml:space="preserve">
</t>
    </r>
    <r>
      <rPr>
        <sz val="10"/>
        <color rgb="FF000000"/>
        <rFont val="Calibri"/>
        <family val="2"/>
        <scheme val="minor"/>
      </rPr>
      <t>2) Expliquer le modèle Évaluation-et-Résolution aux membres pour promouvoir la transparence concernant les risques de travail des enfants et pour apporter des solutions afin d’atténuer le risque.</t>
    </r>
  </si>
  <si>
    <t>Moyen et Élevé selon les cartes Rainforest Alliance de localisation des risques de travail des enfants</t>
  </si>
  <si>
    <t>Agences de placement de main-d'œuvre</t>
  </si>
  <si>
    <t>Est-il probable que les membres du groupe utilisent des agences de placement de main-d'œuvre pour recruter les travailleurs ?</t>
  </si>
  <si>
    <r>
      <rPr>
        <b/>
        <sz val="10"/>
        <color rgb="FF000000"/>
        <rFont val="Calibri"/>
        <family val="2"/>
        <scheme val="minor"/>
      </rPr>
      <t>Risque faible</t>
    </r>
    <r>
      <rPr>
        <sz val="10"/>
        <color rgb="FF000000"/>
        <rFont val="Calibri"/>
        <family val="2"/>
        <scheme val="minor"/>
      </rPr>
      <t> :</t>
    </r>
    <r>
      <rPr>
        <sz val="10"/>
        <color rgb="FF000000"/>
        <rFont val="Calibri"/>
        <family val="2"/>
        <scheme val="minor"/>
      </rPr>
      <t xml:space="preserve"> 
</t>
    </r>
    <r>
      <rPr>
        <sz val="10"/>
        <color rgb="FF000000"/>
        <rFont val="Calibri"/>
        <family val="2"/>
        <scheme val="minor"/>
      </rPr>
      <t>1.</t>
    </r>
    <r>
      <rPr>
        <sz val="10"/>
        <color rgb="FF000000"/>
        <rFont val="Calibri"/>
        <family val="2"/>
        <scheme val="minor"/>
      </rPr>
      <t xml:space="preserve"> </t>
    </r>
    <r>
      <rPr>
        <sz val="10"/>
        <color rgb="FF000000"/>
        <rFont val="Calibri"/>
        <family val="2"/>
        <scheme val="minor"/>
      </rPr>
      <t>Rechercher s’il existe un système administratif d’immatriculation ou de délivrance de licence d’agence de placement de main-d'œuvre.</t>
    </r>
    <r>
      <rPr>
        <sz val="10"/>
        <color rgb="FF000000"/>
        <rFont val="Calibri"/>
        <family val="2"/>
        <scheme val="minor"/>
      </rPr>
      <t xml:space="preserve"> </t>
    </r>
    <r>
      <rPr>
        <sz val="10"/>
        <color rgb="FF000000"/>
        <rFont val="Calibri"/>
        <family val="2"/>
        <scheme val="minor"/>
      </rPr>
      <t>Si c’est le cas, informer les membres que toutes les agences de placement dont ils pourraient utiliser les services doivent être titulaires d’un numéro d'immatriculation ou de licence.</t>
    </r>
    <r>
      <rPr>
        <sz val="10"/>
        <color rgb="FF000000"/>
        <rFont val="Calibri"/>
        <family val="2"/>
        <scheme val="minor"/>
      </rPr>
      <t xml:space="preserve">
</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Indiquer aux membres que tous les frais et commissions de recrutement à payer aux agences de placement sont à leur charge exclusive et en aucun cas à la charge des travailleurs.</t>
    </r>
    <r>
      <rPr>
        <sz val="10"/>
        <color rgb="FF000000"/>
        <rFont val="Calibri"/>
        <family val="2"/>
        <scheme val="minor"/>
      </rPr>
      <t xml:space="preserve">
</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Indiquer aux membres que les agences de placement qu’ils sollicitent doivent respecter toutes les obligations salariales et contractuelles (5.3) ainsi que toute la réglementation du travail (5.5).</t>
    </r>
    <r>
      <rPr>
        <sz val="10"/>
        <color rgb="FF000000"/>
        <rFont val="Calibri"/>
        <family val="2"/>
        <scheme val="minor"/>
      </rPr>
      <t xml:space="preserve">
</t>
    </r>
    <r>
      <rPr>
        <strike/>
        <sz val="10"/>
        <color rgb="FF000000"/>
        <rFont val="Calibri"/>
        <family val="2"/>
        <scheme val="minor"/>
      </rPr>
      <t xml:space="preserve">
</t>
    </r>
    <r>
      <rPr>
        <b/>
        <sz val="10"/>
        <color rgb="FF000000"/>
        <rFont val="Calibri"/>
        <family val="2"/>
        <scheme val="minor"/>
      </rPr>
      <t>Risque moyen et élevé :</t>
    </r>
    <r>
      <rPr>
        <b/>
        <sz val="10"/>
        <color rgb="FF000000"/>
        <rFont val="Calibri"/>
        <family val="2"/>
        <scheme val="minor"/>
      </rPr>
      <t xml:space="preserve">
</t>
    </r>
    <r>
      <rPr>
        <sz val="10"/>
        <color rgb="FF000000"/>
        <rFont val="Calibri"/>
        <family val="2"/>
        <scheme val="minor"/>
      </rPr>
      <t>1.</t>
    </r>
    <r>
      <rPr>
        <sz val="10"/>
        <color rgb="FF000000"/>
        <rFont val="Calibri"/>
        <family val="2"/>
        <scheme val="minor"/>
      </rPr>
      <t xml:space="preserve"> </t>
    </r>
    <r>
      <rPr>
        <sz val="10"/>
        <color rgb="FF000000"/>
        <rFont val="Calibri"/>
        <family val="2"/>
        <scheme val="minor"/>
      </rPr>
      <t>Mettre en œuvre toutes les mesures d’atténuation « risque faible », de plus :</t>
    </r>
    <r>
      <rPr>
        <sz val="10"/>
        <color rgb="FF000000"/>
        <rFont val="Calibri"/>
        <family val="2"/>
        <scheme val="minor"/>
      </rPr>
      <t xml:space="preserve">
</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Les membres doivent souscrire des contrats écrits avec toutes les agences de placements auxquelles ils font appel, consigner les numéros d’immatriculation ou de licence, les rémunérations/frais payés par chaque membre à l’agence de placement, l’interdiction d’imputer les charges de recrutement aux travailleurs, l’interdiction des pratiques frauduleuses ou coercitives,et l’obligation de respecter les contraintes 5.3 et 5.5.</t>
    </r>
    <r>
      <rPr>
        <sz val="10"/>
        <color rgb="FF000000"/>
        <rFont val="Calibri"/>
        <family val="2"/>
        <scheme val="minor"/>
      </rPr>
      <t xml:space="preserve">
</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Contrôler via des inspections internes ou une surveillance évaluation-et- résolution, l’existence de contrats entre les membres et les agences de placement.</t>
    </r>
    <r>
      <rPr>
        <sz val="10"/>
        <color rgb="FF000000"/>
        <rFont val="Calibri"/>
        <family val="2"/>
        <scheme val="minor"/>
      </rPr>
      <t xml:space="preserve">
 </t>
    </r>
    <r>
      <rPr>
        <sz val="10"/>
        <color rgb="FF000000"/>
        <rFont val="Calibri"/>
        <family val="2"/>
        <scheme val="minor"/>
      </rPr>
      <t>4.</t>
    </r>
    <r>
      <rPr>
        <sz val="10"/>
        <color rgb="FF000000"/>
        <rFont val="Calibri"/>
        <family val="2"/>
        <scheme val="minor"/>
      </rPr>
      <t xml:space="preserve"> </t>
    </r>
    <r>
      <rPr>
        <sz val="10"/>
        <color rgb="FF000000"/>
        <rFont val="Calibri"/>
        <family val="2"/>
        <scheme val="minor"/>
      </rPr>
      <t>Contrôler via des inspections internes ou une surveillance évaluation-et- résolution, que les agences de placement ne recourent pas à des méthodes de recrutement frauduleuses ou coercitives.</t>
    </r>
  </si>
  <si>
    <t>Est-ce que la direction du groupe/exploitation agricole utilise des agences de placement de main-d'œuvre pour recruter des travailleurs ?</t>
  </si>
  <si>
    <t xml:space="preserve">Risque faible : 
1. Rechercher s’il existe un système administratif d’immatriculation ou de délivrance de licence d’agence de placement de main-d'œuvre. Si c’est le cas, toutes les agences de placement doivent être immatriculées ou licenciées et titulaires d’un numéro d'immatriculation ou de licence.
2. Vérifier que l’exploitation ou la direction du groupe paye tous les frais et commissions de recrutement aux agences de placement et que ces dépenses ne sont pas à la charge des travailleurs.
3. Indiquer aux agences de placement qu’elles doivent respecter toutes les obligations salariales et contractuelles (5.3) ainsi que toute la réglementation du travail (5.5) aussi longtemps que les travailleurs sont sous leur responsabilité.
Risque moyen et élevé :
1. Mettre en œuvre toutes les mesures d’atténuation « risque faible », de plus :
2. Vérifier auprès des autorités administratives que l’immatriculation ou la licence des agences de placement est toujours valide et qu’elles se conforment à la loi.
3. Souscrire des contrats écrits avec toutes les agences de placements auxquelles ils font appel, consigner les numéros d’immatriculation ou de licence, les rémunérations/frais payés par la direction de l'exploitation ou du groupe à l’agence de placement, l’interdiction d’imputer les charges de recrutement aux travailleurs, l’interdiction des pratiques frauduleuses ou coercitives,et l’obligation de respecter les contraintes 5.3 et 5.5.
4. Contrôler également via une surveillance évaluation-et- résolution, l’existence de contrats avec les agences de placement.
5. En cas de recrutement de travailleurs, avoir instauré un processus permettant en collaboration avec les travailleurs de vérifier les salaires et les conditions de travail promises (ou utilisées frauduleusement) et vérifier si les travailleurs sont endettés au profit des agences de placement.
6. Contrôler, également via une surveillance évaluation-et-résolution, que les agences de placement ne recourent pas à des méthodes de recrutement frauduleuses ou coercitives.
</t>
  </si>
  <si>
    <t>Pratiques de paiement des salaires</t>
  </si>
  <si>
    <t>Les membres du groupes rémunèrent-ils les travailleurs à la production/au quota/à la pièce, au moins à certaines époques de l’année ?</t>
  </si>
  <si>
    <r>
      <rPr>
        <b/>
        <sz val="10"/>
        <color rgb="FF000000"/>
        <rFont val="Calibri"/>
        <family val="2"/>
        <scheme val="minor"/>
      </rPr>
      <t>Risque faible :</t>
    </r>
    <r>
      <rPr>
        <sz val="10"/>
        <color rgb="FF000000"/>
        <rFont val="Calibri"/>
        <family val="2"/>
        <scheme val="minor"/>
      </rPr>
      <t xml:space="preserve">
</t>
    </r>
    <r>
      <rPr>
        <sz val="10"/>
        <color rgb="FF000000"/>
        <rFont val="Calibri"/>
        <family val="2"/>
        <scheme val="minor"/>
      </rPr>
      <t>1.</t>
    </r>
    <r>
      <rPr>
        <sz val="10"/>
        <color rgb="FF000000"/>
        <rFont val="Calibri"/>
        <family val="2"/>
        <scheme val="minor"/>
      </rPr>
      <t xml:space="preserve"> </t>
    </r>
    <r>
      <rPr>
        <sz val="10"/>
        <color rgb="FF000000"/>
        <rFont val="Calibri"/>
        <family val="2"/>
        <scheme val="minor"/>
      </rPr>
      <t>L’exploitation dispose d’un système de calcul/de garantie qui assure que le salaire des travailleurs payés à la pièce est au moins égal au salaire minimum.</t>
    </r>
    <r>
      <rPr>
        <sz val="10"/>
        <color rgb="FF000000"/>
        <rFont val="Calibri"/>
        <family val="2"/>
        <scheme val="minor"/>
      </rPr>
      <t xml:space="preserve">
</t>
    </r>
    <r>
      <rPr>
        <b/>
        <sz val="10"/>
        <color rgb="FF000000"/>
        <rFont val="Calibri"/>
        <family val="2"/>
        <scheme val="minor"/>
      </rPr>
      <t>Risque moyen et élevé :</t>
    </r>
    <r>
      <rPr>
        <sz val="10"/>
        <color rgb="FF000000"/>
        <rFont val="Calibri"/>
        <family val="2"/>
        <scheme val="minor"/>
      </rPr>
      <t xml:space="preserve">
</t>
    </r>
    <r>
      <rPr>
        <sz val="10"/>
        <color rgb="FF000000"/>
        <rFont val="Calibri"/>
        <family val="2"/>
        <scheme val="minor"/>
      </rPr>
      <t>1.</t>
    </r>
    <r>
      <rPr>
        <sz val="10"/>
        <color rgb="FF000000"/>
        <rFont val="Calibri"/>
        <family val="2"/>
        <scheme val="minor"/>
      </rPr>
      <t xml:space="preserve"> </t>
    </r>
    <r>
      <rPr>
        <sz val="10"/>
        <color rgb="FF000000"/>
        <rFont val="Calibri"/>
        <family val="2"/>
        <scheme val="minor"/>
      </rPr>
      <t>Les procédures de réclamation ou de questionnement établies par le groupe à propos du calcul de la paye sont communiquées au travailleurs au moment de l’embauche.</t>
    </r>
    <r>
      <rPr>
        <sz val="10"/>
        <color rgb="FF000000"/>
        <rFont val="Calibri"/>
        <family val="2"/>
        <scheme val="minor"/>
      </rPr>
      <t xml:space="preserve"> </t>
    </r>
    <r>
      <rPr>
        <sz val="10"/>
        <color rgb="FF000000"/>
        <rFont val="Calibri"/>
        <family val="2"/>
        <scheme val="minor"/>
      </rPr>
      <t>Cette information doit également les informer sur la disponibilité d’un mécanisme de réclamation.</t>
    </r>
    <r>
      <rPr>
        <sz val="10"/>
        <color rgb="FF000000"/>
        <rFont val="Calibri"/>
        <family val="2"/>
        <scheme val="minor"/>
      </rPr>
      <t xml:space="preserve"> </t>
    </r>
    <r>
      <rPr>
        <sz val="10"/>
        <color rgb="FF000000"/>
        <rFont val="Calibri"/>
        <family val="2"/>
        <scheme val="minor"/>
      </rPr>
      <t>Cette information doit être délivrée dans la (les) langue(s) parlée(s) par les travailleurs.</t>
    </r>
    <r>
      <rPr>
        <sz val="10"/>
        <color rgb="FF000000"/>
        <rFont val="Calibri"/>
        <family val="2"/>
        <scheme val="minor"/>
      </rPr>
      <t xml:space="preserve">
</t>
    </r>
  </si>
  <si>
    <t>L’exploitation ou la direction du groupe rémunère-t-elle les travailleurs à la production/au quota/à la pièce, au moins à certaines époques de l’année ?</t>
  </si>
  <si>
    <t>Risque faible :
1. L’exploitation ou la direction du groupe dispose d’un système de calcul/de garantie qui assure que le salaire des travailleurs payés à la pièce est au moins égal au salaire minimum.
2. Pour chaque travailleur, l’exploitation ou la direction du groupe tient un registre individuel des heures travaillées, du volume produit, du calcul et des déductions de salaire et des salaires payés.
3. Chaque versement d’un salaire est accompagné d’une fiche de paye contenant ces informations et remise au travailleur.
Risque moyen et élevé :
1. Les procédures de réclamation ou de questionnement établies par l’exploitation ou la direction du groupe à propos du calcul de la paye sont communiquées aux travailleurs au moment de l’embauche. Cette information doit également les informer sur la disponibilité d’un mécanisme de réclamation. Cette information doit être délivrée dans la (les) langue(s) parlée(s) par les travailleurs.</t>
  </si>
  <si>
    <t xml:space="preserve">Liberté de mouvement </t>
  </si>
  <si>
    <t>Est-ce qu’il y a des gardes de sécurité dans l’exploitation agricole ?</t>
  </si>
  <si>
    <t>Risque faible :
1. Communiquer aux travailleurs leurs droits de pouvoir démissionner du travail librement en vertu de la loi. Cette communication peut être effectuée via leurs contrats, via les informations postées sur le lieu de travail, via une organisation de travailleurs, via l'un des comités de l’exploitation agricole ou par d’autres moyens.
2. Pour les travailleurs vivant sur l’exploitation agricole, celle-ci doit communiquer aux travailleurs leurs droits de liberté de mouvement sur et en dehors de l’exploitation agricole en dehors des heures de travail.
Risque moyen et élevé :
1. Former les gardes de sécurité sur les droits des travailleurs, par exemple que les travailleurs vivant sur l’exploitation agricole ont le droit de liberté de mouvement sur et en dehors de l’exploitation agricole en dehors des heures de travail.</t>
  </si>
  <si>
    <t>Travail de prisonniers/militaires</t>
  </si>
  <si>
    <t>Y-a-t-il des travailleurs recrutés/fournis à l’exploitation agricole/groupe par le personnel pénitentiaire ou les militaires ?</t>
  </si>
  <si>
    <t>1. Les officiers militaires mobilisant du personnel militaire pour réaliser du travail agricole est une forme de travail forcé.  S’assurer que les exploitations agricoles n’utilisent pas ce type de travail.
2. S’assurer que chaque détenu travaillant sur l’exploitation agricole a librement consenti au travail volontaire.
3. S’assurer que les travailleurs détenus sont traités de la même manière que les autres travailleurs en matière de contrats, de paye, de conditions de travail et de toutes les autres protections des travailleurs indiquées dans la norme de Rainforest Alliance.</t>
  </si>
  <si>
    <t>Dépôt ou rétention de documents</t>
  </si>
  <si>
    <t>Est-ce que les travailleurs fournissent des liquidités (tels que des cautions) ou des documents originaux (tels que les passeports) à la direction de l'exploitation agricole ou aux agences de placement ?</t>
  </si>
  <si>
    <t>1. S’assurer que les travailleurs ne doivent pas payer de cautions ni fournir des documents personnels originaux à la direction, autres que ceux permettant de confirmer leur identité au moment du recrutement.
2. S’assurer que les travailleurs disposent d’un accès permanent et non restreint aux lieux sûrs où la direction dépose les documents ou d’autres objets personnels confiés volontairement à la direction pour qu'elle les mette en sécurité.</t>
  </si>
  <si>
    <t>1.6 Égalité des genres</t>
  </si>
  <si>
    <t xml:space="preserve">Engagement envers les genres de la part de la direction </t>
  </si>
  <si>
    <t>Est-ce que la direction de l'exploitation agricole/du groupe a déjà pris des mesures pour résoudre le problème de l’autonomisation des femmes et/ou des genres depuis plus d'un an au moins ?</t>
  </si>
  <si>
    <t>Continuer les actions</t>
  </si>
  <si>
    <t>1) Formuler une politique sur l’autonomisation des femmes et sur l’égalité des genres à partager avec le reste du groupe.
2) L'exploitation agricole ou la direction du groupe doit dispenser une formation sur le genre, par exemple le module de formation en ligne de Rainforest Alliance sur les genres.
3) Cartographie des genres des parties prenantes liées aux organisations qui pourraient aider à incorporer le genre au sein du groupe.</t>
  </si>
  <si>
    <t>Représentation des femmes dans le groupe</t>
  </si>
  <si>
    <t xml:space="preserve">Est-ce que les membres femmes représentent au moins 25% du nombre total des membres du groupe ? </t>
  </si>
  <si>
    <t xml:space="preserve">1) Tenir un registre des membres du groupe par genre.
2) Faire une évaluation des raisons pour lesquelles l’adhésion des femmes est limitée en interviewant les membres femmes et les non membres femmes et en consultant la politique d’adhésion. Documenter celles-ci. </t>
  </si>
  <si>
    <t>Représentation dans les fonctions de niveau plus élevé</t>
  </si>
  <si>
    <t>Est-ce que les femmes sont actuellement représentées de manière égale (par rapport au % total de membres femmes ou de travailleuses) parmi les formateurs, les superviseurs, le personnel de la direction et/ou les autres fonctions de haut niveau au sein de la direction du groupe ou de l'exploitation agricole ?</t>
  </si>
  <si>
    <t>1) Tenir un registre de tous les postes par genre et par type de poste.
2) Établir un quota minimum de formateurs femmes, de superviseurs femmes, de personnel femme de la direction et des femmes aux autres fonctions de haut niveau.  (Pour les groupes ou les exploitations agricoles avec plus de 50% de membres femmes ou travailleuses, la représentation des femmes doit être d’au moins 50%, mais n’a pas besoin d’être supérieure à 50%).
3) Organiser une formation ciblée sur les agricultrices ou les travailleuses qui est nécessaire pour être éligible en tant que formateur, superviseur ou autre fonction de haut niveau.
4) S’assurer que les annonces d’emplois atteignent les agriculteurs ET les agricultrices et les travailleurs ET les travailleuses et que les exigences des postes sont réalisables par les agricultrices et les travailleuses. 
5) Donner une formation au personnel de la direction impliqué dans le recrutement sur les biais inconscients et les méthodologies pour prévenir les pratiques de discrimination basées sur les genres.</t>
  </si>
  <si>
    <t>Participation des agricultrices aux formations</t>
  </si>
  <si>
    <t>Est-ce que les membres femmes du groupe/travailleuses participent actuellement de manière égale aux formations (comparé au % total de membres femmes ou de travailleuses) ?</t>
  </si>
  <si>
    <t>Tenir des registres sur les participants aux formations par genre et suivre la continuité de la participation égale des travailleuses et des membres femmes.</t>
  </si>
  <si>
    <t>1) Tenir des registres sur les participants aux formations par genre.
2) Voir avec les travailleuses et les membres femmes quels sont les obstacles potentiels à leur participation aux formations.
3) Conduire des formations à des jours/heures/lieux où les femmes peuvent facilement être présentes et envoyer des invitations personnelles.</t>
  </si>
  <si>
    <t>Est-ce habituel que les épouses des membres hommes ou d’autres travailleuses de la famille participent aux activités de formation ?</t>
  </si>
  <si>
    <t>1) Inviter les épouses des membres hommes et/ou les autres travailleuses de la famille aux formations.
2) Expliquer aux membres hommes durant les réunions l’importance de la participation de leurs épouses et/ou des autres travailleuses de la famille aux formations.</t>
  </si>
  <si>
    <t>5.7 Conditions de vie et de logement</t>
  </si>
  <si>
    <t>Est-ce qu’il y a des variations dans le régime climatique ou des périodes intensives de travail qui nécessiteraient que vous preniez des mesures adaptatives au niveau des conditions de logement fournies aux travailleurs ?</t>
  </si>
  <si>
    <t>1) Pour des raisons climatiques :  vérifier les risques d'inondation, de fuites, de chaleur, etc. du logement. Prendre des mesures pour les améliorer.
2) Pour la quantité de travail à venir : vérifier s'il y a assez d’espace pour tous les travailleurs, s’il y a assez de ventilation, s’il y a assez de séparations au niveau des genres pour les logements. Prendre des mesures pour les améliorer</t>
  </si>
  <si>
    <t>Environnement</t>
  </si>
  <si>
    <t>6.1.3 / 6.1.4 Évaluation des HVC</t>
  </si>
  <si>
    <t>EHVC</t>
  </si>
  <si>
    <t>L’exploitation agricole est-elle implantée à moins de 5 km d’une zone forestière naturelle intacte ?</t>
  </si>
  <si>
    <t xml:space="preserve">Lister toutes les activités des agriculteurs (et de tout le personnel résident) qui impliquent l’abattage d’arbres, le déboisement ou le brulage de végétation, le pâturage du bétail et la chasse/collecte dans le territoire plus vaste situé en dehors de l’exploitation agricole et stopper ou rediriger toute activité qui peut dégrader la structure ou la composition en espèces d'un TFI. </t>
  </si>
  <si>
    <t>L’exploitation agricole ou le groupe d'exploitations agricoles est-il implanté à moins de 2 km d'une Aire protégée (AP) enregistrée, d'une aire sensible de biodiversité (ASB), d'un site Ramsar ou d'un site inscrit au Patrimoine mondial de l’UNESCO ?</t>
  </si>
  <si>
    <t>S’assurer que les attributs majeurs de conservation de la zone ne sont pas menacés, c’est-à-dire les valeurs pour lesquelles la zone a été protégée ou classée en AP, en ZIB ou en site Ramsar.</t>
  </si>
  <si>
    <t xml:space="preserve">Est-ce que les communautés locales ont des droits coutumiers ou légaux sur l’exploitation agricole ? </t>
  </si>
  <si>
    <t>a) Cartographier les utilisations des terres des communautés locales sur l’exploitation agricole d'une manière inclusive et participative avec les communautés affectées ;
b) Identifier et atténuer tous les impacts directs et indirects des activités agricoles sur ces ressources ou sur les habitats qui abritent ces ressources ; 
c) Formaliser des accords (étendus) avec les communautés sur l’utilisation et la gestion de telles zones en utilisant les principes du Consentement Préalable, donné Librement et en Connaissance de Cause et documenter le processus (exigence 5.8.1).</t>
  </si>
  <si>
    <t>Est-ce que vous utilisez des terres communales pour des raisons liées à la production ou à la transformation de culture certifiée, ex : la collecte du bois ?</t>
  </si>
  <si>
    <t>a) Identifier et décrire toutes les pratiques actuelles et planifiées liées à l’agriculture ou au traitement des cultures certifiées, tel que le séchage, la construction de hangars, etc. qui utilisent des ressources provenant des terres communales ;
b) Évaluer si ces activités impactent la structure de la végétation ou les usages des terres des communautés ;
c) Chercher des manières de réduire les impacts négatifs et d’éviter de dépendre des ressources des terres communales lors de l’expansion ou de la diversification des activités agricoles.</t>
  </si>
  <si>
    <t xml:space="preserve"> supérieur à 10 000 hectares</t>
  </si>
  <si>
    <t>Avez-vous répondu oui aux questions concernant les Territoires de forêt intacte (TFI), les Zones importantes pour la biodiversité (ZIB), etc. ou les droits coutumiers des communautés ?</t>
  </si>
  <si>
    <r>
      <rPr>
        <b/>
        <sz val="10"/>
        <color rgb="FF000000"/>
        <rFont val="Calibri"/>
        <family val="2"/>
        <scheme val="minor"/>
      </rPr>
      <t xml:space="preserve">Si l’exploitation agricole couvre plus 10 000 ha
</t>
    </r>
    <r>
      <rPr>
        <sz val="10"/>
        <color rgb="FF000000"/>
        <rFont val="Calibri"/>
        <family val="2"/>
        <scheme val="minor"/>
      </rPr>
      <t xml:space="preserve">
a) Soumettre une évaluation des HVC à un Expert agréé du Réseau des ressources des Hautes valeurs de conservation (RRHVC),
b) Élaborer et mettre en œuvre un plan de gestion et de suivi des HVC basé sur les recommandations du rapport,
c) Prendre en compte les menaces extérieures à l’exploitation agricole qui peuvent affecter les HVC à l'intérieur des limites de l’exploitation agricole. Chercher des opportunités de pouvoir impliquer les communautés et agriculteurs voisins pour résoudre et atténuer ces menaces à travers le territoire plus large ;
d) Si vous avez répondu « oui » à la question 4 (Utilisation des terres communales), élaborez votre plan de gestion et de surveillance en collaboration avec les collectivités touchées.</t>
    </r>
  </si>
  <si>
    <t>Connectivité des écosystèmes</t>
  </si>
  <si>
    <t xml:space="preserve">Est-ce que les zones d’écosystème naturel et de couvert de végétation naturelle sont connectées par des corridors de territoires ? </t>
  </si>
  <si>
    <t>1) Planifier la connexion des fragments d’écosystèmes existants avec des corridors de territoires ou d’habitats.
2) Maintenir et améliorer les zones tampons autour des fragments d’écosystèmes existants pour prévenir l’empiètement des activités de l’exploitation agricole et mettre en place des « zones de non-application » de produits agrochimiques.</t>
  </si>
  <si>
    <t>S’assurer que les membre du groupe connaissent ces corridors de territoire et sont formés à leur entretien.</t>
  </si>
  <si>
    <t>NOUVEAU</t>
  </si>
  <si>
    <t>non/ne sais pas</t>
  </si>
  <si>
    <t>Aucune action supplémentaire requise</t>
  </si>
  <si>
    <t>Prévoyez-vous que tous les écosystèmes naturels de l’exploitation agricole, dont les haies, les limites forestières, les zones tampons ripariennes et les forêts, aient une diversité en espèces et contiennent en majorité des espèces adaptées localement ?</t>
  </si>
  <si>
    <t>Maintenir la végétation naturelle existante ; S’assurer que la superficie totale de l’exploitation agricole avec de la végétation naturelle respecte les critères 6.2.2-6.2.6.</t>
  </si>
  <si>
    <t xml:space="preserve">Investiguer si tous les écosystèmes naturels sur l’exploitation agricole, dont les haies, les limites forestières, les zones tampons ripariennes et les forêts, contiennent de la végétation adaptée localement. Dans le cas contraire, identifier les espèces appropriées qui peuvent être plantées pour augmenter la proportion de végétation naturelle dans les écosystèmes naturels sur l’exploitation agricole, dont les forêts, les zones ripariennes tampons, les haies et les limites forestières. </t>
  </si>
  <si>
    <t>Forêt sur site</t>
  </si>
  <si>
    <t>Forêts</t>
  </si>
  <si>
    <t xml:space="preserve"> zones humides sur l’exploitation agricole</t>
  </si>
  <si>
    <t>Cours d’eau, étendues d’eau et zones humides</t>
  </si>
  <si>
    <t>Répondre uniquement si vous avez des zones humides au sein du groupe/exploitation agricole --
Est-ce que les zones humides stockent ou acheminent les eaux d'inondation à n’importe quel moment de l’année ?</t>
  </si>
  <si>
    <t>Planifier la délimitation et la gestion des zones humides et des plaines d'inondation actives et s’assurer que les activités de transformation ou de production n’empiètent pas sur les plaines d'inondation.</t>
  </si>
  <si>
    <t>zones humides sur l’exploitation agricole</t>
  </si>
  <si>
    <t>prairies/pâturages sur l’exploitation agricole ou désert non naturel</t>
  </si>
  <si>
    <t>Prairies, pâturage et désert non naturel</t>
  </si>
  <si>
    <t>Répondre uniquement si vous avez des prairies/pâturages ou des déserts non naturels au sein du groupe/exploitation agricole --
Est-ce que les prairies/pâturages ou les zones de désert non naturel contiennent de vastes zones à nu qui sont en danger d’érosion au sein des cours d’eau proches ?</t>
  </si>
  <si>
    <t>Planter du couvert terrestre autochtone supplémentaire (herbes, arbustes, arbres) et mettre en œuvre des mesures pour protéger contre l’érosion.</t>
  </si>
  <si>
    <t>Faire le suivi de l’érosion sur la zone et mettre en œuvre des mesures de contrôle de l’érosion au besoin. Conserver et améliorer la végétation indigène existante.</t>
  </si>
  <si>
    <t xml:space="preserve"> terre en jachère permanente</t>
  </si>
  <si>
    <t>Jachère</t>
  </si>
  <si>
    <t>Répondre uniquement si vous avez des terres en jachère au sein du groupe/exploitation agricole --
Est-ce que les arbres se régénèrent naturellement sur les terre en jachère permanente ?</t>
  </si>
  <si>
    <t>terre en jachère permanente</t>
  </si>
  <si>
    <t xml:space="preserve">Revégétaliser les terres en jachère en plantant des herbes, des arbustes et des espèces d’arbres autochtones conformément au régime de succession approprié. </t>
  </si>
  <si>
    <t xml:space="preserve">Changement climatique </t>
  </si>
  <si>
    <t>Risques du changement climatique</t>
  </si>
  <si>
    <t>Est-ce que la direction, les superviseurs et/ou le personnel technique sont formés à l’évaluation des risques et des impacts infligés par le changement climatique sur les moyens de subsistance et sur les systèmes de production ?</t>
  </si>
  <si>
    <t>Formation/sensibilisation sur les risques du changement climatique et de leurs impacts sur les systèmes de production agricole et sur les moyens de subsistance plus largement.</t>
  </si>
  <si>
    <t>Est-ce que la direction, les superviseurs et/ou le personnel technique ont identifiés les menaces /risques/impacts (actuels et prévus) les plus significatifs du changement climatique sur les ressources en moyens de subsistance et sur les systèmes agricoles ?</t>
  </si>
  <si>
    <t>Réaliser l’évaluation Rainforest Alliance des risques liés au changement climatique pour identifier et décrire les risques les plus significatifs de changement climatique basés sur l'outil Rainforest Alliance d’évaluation des risques de changement climatique.</t>
  </si>
  <si>
    <t xml:space="preserve">Est-ce que la direction, les superviseurs et/ou le personnel technique ont accès aux informations, aux compétences et aux services appropriés concernant le changement climatique afin d’élaborer et d’utiliser les stratégies d’adaptation ?  </t>
  </si>
  <si>
    <t>Sensibiliser sur les informations disponibles afin d’améliorer les capacités adaptatives et la résilience, les systèmes d’alerte précoce, les outils d’aide et l'importance des droits d’égalité de l’accès aux ressources.</t>
  </si>
  <si>
    <t>Est-ce que des mesures d’urgence pour agir en cas d’événements climatiques extrêmes et leurs impacts potentiels (c’est-à-dire le plan d’évacuation) ont été élaborées et mises en place ?</t>
  </si>
  <si>
    <t>En fonction de la carte des risques et lorsque c’est approprié, élaborer un plan de réponse d’urgence pour  les emplacements des ménages et des communautés plus larges, par exemple pour les ménages situés sur des pentes raides à risque de glissement de terrain.</t>
  </si>
  <si>
    <t>Les membres du groupe ont-t-ils connaissance des mesures d’urgence permettant de faire face aux événements climatiques extrêmes et à leurs impacts potentiels (c’est-à-dire le plan d’évacuation) ?</t>
  </si>
  <si>
    <t>En fonction de la carte des risques (exigence standard 1.2.10 ) et lorsque la mesure est appropriée, éveiller l’attention sur les plans de réaction d’urgence possibles des membres du groupes exposés aux dangers, par exemple, les communauté établies sur des pentes raides à risque de glissement de terrain.</t>
  </si>
  <si>
    <t>Büyük araziler (bireysel ve gruba dahil) ve bireysel olarak sertifikalandırılan küçük araziler için "Büyük" seçiniz</t>
  </si>
  <si>
    <t>N.A.</t>
  </si>
  <si>
    <t>&lt;- Selectionnez "Grande" pour les grandes exploitations agricoles (individuelles et en groupe) et les petites exploitations agricoles certifiées individuellemen.</t>
  </si>
  <si>
    <t> &lt;-大規模農場（個別および団体）と、個別に認証された小規模農場は、「大規模農場」を選択してください。</t>
  </si>
  <si>
    <t>Mesures d'atténuation 
("risque bas, moyen, élevé" se refère aux cartes de risque Rainforest Alliance sur le Travail des Enfants et le Travail Forcé qui sont applicables à votre pays et votre produit)</t>
  </si>
  <si>
    <t>Est-ce que la forêt ressemble à une forêt naturelle en matière de couvert de canopée, de strates forestières et de présence de lianes et de plantes grimpantes ? Pour plus d'informations, voir le document intitulé Document d’orientation M : Document d’orientation végétation indigène et écosystèmes naturels.</t>
  </si>
  <si>
    <t>Planifier la gestion du couvert de canopée, des strates forestières et de la présence de lianes et de plantes grimpantes (ex : en créant des ouvertures, en plantant des espèces supplémentaires et en restreignant les prélèvements ou le pâturage si nécessaire) afin de faciliter la régénération et la croissance de la forêt naturelle. Pour plus de détails, voir le document intitulé Document d’orientation M : Document d’orientation végétation indigène et écosystèmes naturels sur les exploitations agricoles.</t>
  </si>
  <si>
    <t>6.2 Conservation et amélioration de la végétation et des écosystèmes naturels</t>
  </si>
  <si>
    <t>Végétation naturelle</t>
  </si>
  <si>
    <t>Décharge de responsabilité concernant la traduction </t>
  </si>
  <si>
    <t>Pour toute question liée à la signification précise des informations contenues dans la traduction, veuillez vous référer à la version officielle en anglais pour en obtenir la clarification. Toute divergence ou différence dans la signification engendrée par la traduction n’est pas contraignante et n’a pas d’effet sur la certification ou les audits.</t>
  </si>
  <si>
    <t>Nom du document :</t>
  </si>
  <si>
    <t>Date de la première publication :</t>
  </si>
  <si>
    <t>Expire le :</t>
  </si>
  <si>
    <t>Jusqu’à nouvel ordre</t>
  </si>
  <si>
    <t>Titulaires de certificat</t>
  </si>
  <si>
    <t>Pays/Région :</t>
  </si>
  <si>
    <t>Produit agricole :</t>
  </si>
  <si>
    <t xml:space="preserve">Type de certification : </t>
  </si>
  <si>
    <t>Tous les produits agricoles du champ d’application du système de certification de Rainforest Alliance ; veuillez voir les Règles pour la certification.</t>
  </si>
  <si>
    <t>Toute utilisation de ce contenu, y compris la reproduction, la modification, la distribution ou la republication, sans le consentement écrit préalable de Rainforest Alliance est strictement interdite.</t>
  </si>
  <si>
    <t>Exigences contenues dans la norme</t>
  </si>
  <si>
    <t>Questions relatives aux risques</t>
  </si>
  <si>
    <t>Mesures d’atténuation recommandées par Rainforest Alliance à inclure dans le plan de gestion
(Remarque : des mesure alternatives d’atténuation sont autorisées quand elles sont jugées plus appropriées au contexte)</t>
  </si>
  <si>
    <t>Mesures personnelles d’atténuation des titulaires de certificats</t>
  </si>
  <si>
    <t xml:space="preserve">L’information relative au mécanisme de réclamation et au comité d’évaluation et de résolution est-elle visible et accessible par tous les individus, travailleurs, communautés et/ou société civile ? </t>
  </si>
  <si>
    <t>Vérifier et mettre à jour régulièrement l’affichage public pour être sûr que les informations sont toujours correctes, visibles et accessibles à tous, y compris dans les langues du personnel local et temporaire</t>
  </si>
  <si>
    <t>S’assurer que les travailleurs, les communautés et/ou la société civile aient accès dans leur langue aux informations pratiques sur la manière et l’endroit qui donnent accès au mécanisme de réclamation et au comité Evaluation-et-résolution lorsqu’ils ont une réclamation à poser et à faire traiter.</t>
  </si>
  <si>
    <t xml:space="preserve">Égalité d’opportunités et prévention de la discrimination </t>
  </si>
  <si>
    <t xml:space="preserve">Les populations suivantes sont-elles présentes sur ou à proximité des installations des sites du titulaire du certificat ?
Travailleurs migrants (étrangers ou nationaux), minorités ethniques particulières, populations autochtones, personnes qui ne parlent pas la langue dominante du pays et de la région ? </t>
  </si>
  <si>
    <t>1) Déterminer si des représentants de ces populations travaillent sur les installations du titulaire du certificat
2) S’assurer que la direction a conscience des différents types de populations présents et qu’elle tient compte de leurs spécificités : type de population, nombre (estimation), langue et autres caractéristiques significatives</t>
  </si>
  <si>
    <t xml:space="preserve"> Est-ce que le Comité de réclamation a partagé les informationsde contact d'une personne/organisation de confiance externe, en particulier pour le harcèlement sexuel concernant les travailleurs ?</t>
  </si>
  <si>
    <t xml:space="preserve">Non </t>
  </si>
  <si>
    <t xml:space="preserve">La direction agit-elle régulièrement de manière ciblée pour prévenir la violence et le harcèlement (y compris le harcèlement sexuel) ? </t>
  </si>
  <si>
    <t>Mettre en œuvre au moins une des mesures suivantes :
- Formation des formateurs, des techniciens et de toute autre personne en contact direct avec les travailleurs sur le comportement respectueux et les concepts de violence et harcèlement au travail
- Formation des travailleurs sur le sujet du comportement respectueux et les concepts de violence et harcèlement au travail
Veuillez noter que dans la plupart des cas, la violence et le harcèlement au travail sont liés à des situations auxquelles les femmes sont confrontées. Cependant, les hommes aussi sont confrontés à des risques. S’assurer que vos réponses couvrent les risques liés à tous les travailleurs indépendamment de leur sexe.</t>
  </si>
  <si>
    <t>Effectuer un contrôle annuel de la présence de documents d'identité dans les dossiers de tous les travailleurs de moins de 18 ans</t>
  </si>
  <si>
    <t>1) Vérifier l’âge de tous les jeunes travailleurs sur site tout en respectant la protection et la vie privée des enfants.
2) Élaborer et mettre en œuvre un système de contrôle de l’identité et de l’âge de toutes les nouvelles embauches sur le lieu de travail, y compris celles fournies par les agences de placement de main d'œuvre. 
3) S’assurer que le système base ses décisions sur des formes vérifiables de preuve d’identité, dont les documents d'identité et les dossiers scolaires et médicaux. Inclure le statut et la scolarisation dans le système de vérification de l’âge. 
4) S’assurer que les informations sur l’âge à partir duquel les enfants peuvent travailler et dans quelles circonstances sont clairement communiquées au personnel et aux travailleurs.</t>
  </si>
  <si>
    <t xml:space="preserve">La direction a-t-elle établi la liste des tâches, processus ou autres conditions de travail sur le(s) site(s) susceptibles de présenter un danger pour les jeunes travailleurs ? </t>
  </si>
  <si>
    <t xml:space="preserve">1) Établir la liste des tâches/processus dangereux et s’assurer que tous les superviseurs sont conscients que les jeunes travailleurs de moins de 18 ans ne peuvent pas les réaliser. 
2) Vérifier que les jeunes travailleurs âgés de moins de 18 ans ne sont pas assignés à des tâches ou des processus dangereux. </t>
  </si>
  <si>
    <t>1) Établir, conformément à la politique ou législation nationale appropriée, la liste de tâches et de processus de travail que les jeunes âgés de moins de 18 ans ont interdiction de réaliser. S’assurer que la liste couvre les postes qui impliquent des substances dangereuses, des équipements dangereux, le travail en hauteur et/ou des lourdes charges à porter. La liste de tâches doit aussi spécifier clairement que les jeunes travailleurs ont interdiction de travailler de nuit ou durant le temps scolaire.
2) Vérifier la liste à chaque saison pour s’assurer qu’elle est conforme à l’évolution éventuelle de la politique et de la législation nationale.
3) Réaliser un examen de santé et sécurité ou une évaluation des risques de toutes les activités majeures de l’exploitation agricole afin d'identifier les dangers majeurs, en plus des étapes proposées pour supprimer ou réduire l’exposition des jeunes travailleurs (par exemple, éliminer les dangers des machines, les outils tranchants, les substances dangereuses, le travail en hauteur, le portage de lourdes charges, le travail de nuit). 
4) S’assurer que les superviseurs sont au courant de la liste des tâches dangereuses et des tâches que les jeunes travailleurs sont autorisés à réaliser. 
5) Sensibiliser à la prise en compte des jeunes travailleurs, particulièrement celle des personnes qui travaillent en équipe avec des jeunes travailleurs, ainsi que des tâches qu’ils sont autorisés à réaliser et à partir de quel âge</t>
  </si>
  <si>
    <t xml:space="preserve">Se coordonner avec l’école locale et demander à être informé des cas d’abandon ou de fréquentation très irrégulière de l’école par des enfants vivant sur site (s’assurer que ce processus est conforme à la législation nationale sur la protection des données). </t>
  </si>
  <si>
    <t>Collaborer avec le service local d’éducation et les ONG locales pour faciliter l’accès à l’éducation des enfants vivant sur site, promouvoir la mise en place d’un transport sécurisé ou promouvoir la création de salles de classes annexes sur site pour les enfants les plus jeunes, si possible administrées par le service local d’éducation</t>
  </si>
  <si>
    <t xml:space="preserve">Existe-t-il un risque que des jeunes de moins de 18 ans travaillent sur le site ?
</t>
  </si>
  <si>
    <t>Mettre en place un processus de suivi du travail des enfants
1) Nommer un membre du personnel pour superviser le travail de tous les jeunes de moins de 18 ans inscrits comme travaillant sur le site et pour vérifier leur assiduité scolaire et leur état de santé 
2) Le membre du personnel responsable vérifie les lieux de travail des jeunes de moins de 18 ans pour s’assurer qu’ils ne réalisent pas de tâches dangereuses et qu’ils ne travaillent pas pendant le temps scolaire ou de nuit ou sans périodes de repos suffisantes entre les jours d’école. La fréquence doit dépendre du niveau de risque (ex : plus le risque est élevé, plus le suivi sera fréquent).
Prendre note des résultats de ces visites. 
3) Utiliser l’outil de résolution de Rainforest Alliance pour libérer les enfants d'un travail, en veillant particulièrement à minimiser les dommages aux familles à revenu faible ou insuffisant. Les superviseurs et les travailleurs sont informés sur la politique d’embauche des jeunes travailleurs, dont l’âge à partir duquel les enfants peuvent être employés individuellement et conformément à la Norme de Rainforest Alliance et à la législation nationale.</t>
  </si>
  <si>
    <t>1) Informer les superviseurs et les travailleurs sur la politique d’embauche des jeunes travailleurs, en particulier l’âge à partir duquel les enfants peuvent être employés individuellement, conformément à la norme de Rainforest Alliance et à la législation nationale.
2) Nommer des contrôleurs du travail [en nombre suffisant pour garantir un niveau de couverture et une visibilité efficaces du/des site(s)] en vue d’assurer la surveillance permanente de l’application des règles de travail, de sécurité sanitaire et d’assiduité scolaire des enfants et afin de garantir que les inspecteurs, les superviseurs et les travailleurs eux-mêmes restent en permanence sensibilisés à la politique de travail des enfants.</t>
  </si>
  <si>
    <t>La direction fait-elle appel à des agences de placement de main-d'œuvre pour recruter des travailleurs ?</t>
  </si>
  <si>
    <t>1) Rechercher s’il existe un système administratif d’immatriculation ou de délivrance de licence d’agence de placement de main-d'œuvre. Si c’est le cas, toutes les agences de placement doivent être immatriculées ou licenciées et titulaires d’un numéro d'immatriculation ou de licence.
2) Vérifier que la direction paye tous les frais et commissions de recrutement aux agences de placement et que ces dépenses ne sont pas à la charge des travailleurs.
3) Indiquer aux agences de placement qu’elles doivent respecter toutes les obligations salariales et contractuelles (5.3) ainsi que toute la réglementation du travail (5.5) aussi longtemps que les travailleurs sont sous leur responsabilité.
4) Vérifier auprès des autorités administratives que l’immatriculation ou la licence des agences de placement est toujours valide et qu’elles se conforment à la loi.
5) Souscrire des contrats écrits avec toutes les agences de placements auxquelles ils font appel, consigner les numéros d’immatriculation ou de licence, les rémunérations/frais payés par la direction de l'exploitation ou du groupe à l’agence de placement, interdire d’imputer les charges de recrutement aux travailleurs, interdire les pratiques frauduleuses ou coercitives et obliger à respecter les contraintes 5.3 et 5.5.
6) Contrôler également via une surveillance Evaluation-et-résolution, l’existence de contrats avec les agences de placement.
7) En cas de recrutement de travailleurs, avoir instauré un processus permettant en collaboration avec les travailleurs de vérifier les salaires et les conditions de travail promises (ou utilisées frauduleusement) et vérifier si les travailleurs sont endettés au profit des agences de placement.
8) Contrôler, également via une surveillance Evaluation-et-résolution, que les agences de placement ne recourent pas à des méthodes de recrutement frauduleuses ou coercitives.</t>
  </si>
  <si>
    <t>La direction rémunère-t-elle les travailleurs à la production/au quota/à la pièce, au moins à certaines époques de l’année ?</t>
  </si>
  <si>
    <t>1) La direction dispose d’un système de calcul/de garantie qui assure que le salaire des travailleurs payés à la pièce est au moins égal au salaire minimum.
2) Pour chaque travailleur, la direction du groupe tient un registre individuel des heures travaillées, du volume produit, du calcul et des réductions de salaire et des salaires payés.
3) Chaque versement d’un salaire est accompagné d’une fiche de paie contenant ces informations et remise aux travailleurs.
4) Les procédures de réclamation ou de questionnement établies par la direction à propos du calcul de la paie sont communiquées aux travailleurs au moment de l’embauche. Cette information doit également les informer sur la disponibilité d’un mécanisme de réclamation. Cette information doit être délivrée dans la (les) langue(s) parlée(s) par les travailleurs.</t>
  </si>
  <si>
    <t>L’exploitation agricole emploie-t-elle des gardes de sécurité ?</t>
  </si>
  <si>
    <t xml:space="preserve">Oui </t>
  </si>
  <si>
    <t xml:space="preserve">
Former les gardes de sécurité sur les droits des travailleurs, par exemple le droit à la liberté de mouvement des travailleurs vivant sur place, à l’intérieur et en dehors de l’exploitation agricole hors des heures de travail.</t>
  </si>
  <si>
    <t>1. La mobilisation de personnel militaire pour un travail par les autorités militaires est une forme de travail forcé. S’assurer que les sites ne font pas appel à ce type de travail.
2. Garantir que chaque détenu travaillant sur le site a librement consenti au travail volontaire.
3. S’assurer que les travailleurs détenus sont traités de la même manière que les autres travailleurs en matière de contrats, de paie, de conditions de travail et de toutes les autres protections des travailleurs indiquées dans la norme de Rainforest Alliance.</t>
  </si>
  <si>
    <t>Les travailleurs fournissent-ils des liquidités (tels que des cautions) ou des documents originaux (tels que les passeports) à la direction ou aux agences de placement ?</t>
  </si>
  <si>
    <t>1) S’assurer que les travailleurs ne doivent pas payer de cautions ou donner des documents personnels à la direction, autres que ceux permettant de confirmer leur identité au moment du recrutement.
2) S’assurer que les travailleurs disposent d’un accès permanent et non restreint aux lieux sûrs où la direction dépose les documents ou d’autres objets personnels confiés volontairement à la direction pour qu'elle les mette en sécurité.</t>
  </si>
  <si>
    <t>1.6 Genres</t>
  </si>
  <si>
    <t>La direction a-t-elle déjà pris des mesures de résolution du problème de l’autonomisation des femmes et/ou des genres depuis plus d'un an au moins ?</t>
  </si>
  <si>
    <t>1) Formuler une politique commune d’autonomisation des femmes et d’égalité des genres.
2) La direction du groupe doit dispenser une formation sur le genre, par exemple le module Rainforest Alliance de formation en ligne sur les genres. 
3) Cartographie des genres des parties prenantes liées aux organisations qui pourraient aider à incorporer le thème du genre aux opérations</t>
  </si>
  <si>
    <t>Les femmes sont-elles actuellement représentées de manière égale (par rapport au % total de travailleurs) parmi les formateurs, les superviseurs et/ou les autres fonctions de haut niveau au sein de la direction ?</t>
  </si>
  <si>
    <t>1) Tenir un registre de tous les postes par genre et par type de poste.
2) Établir un quota minimum de formatrices, de superviseuses, de personnel femme dans la direction et aux autres fonctions de haut niveau.
3) Organiser une formation spécifique pour les travailleuses éligibles aux fonctions de formation, de supervision ou autres fonctions de haut niveau
4) S’assurer que les offres d’emploi soient disponibles pour les hommes ET les femmes et que les exigences de ces emplois puissent être assumées par des travailleuses
5) Dispenser une formation au personnel de direction impliqué dans le recrutement sur les dérives inconscientes et les méthodologies permettant de prévenir les pratiques discriminatoires liées au genre</t>
  </si>
  <si>
    <t>Participation des femmes aux formations</t>
  </si>
  <si>
    <t>Est-ce que les travailleuses participent actuellement de manière égale aux formations (comparé au % total de travailleurs) ?</t>
  </si>
  <si>
    <t>Tenir des registres par genre des participants aux formations et surveiller la stabilité de la participation égale des travailleuses</t>
  </si>
  <si>
    <t>1) Tenir des registres par genre des participants aux formations.
2) Identifier avec les travailleuses les obstacles potentiels à leur participation aux formations.
3) Dispenser des formations aux jours, heures, lieux qui facilitent la présence des femmes et leur envoyer des invitations personnelles</t>
  </si>
  <si>
    <t>Annexe S03 :</t>
  </si>
  <si>
    <t>Version 1.3</t>
  </si>
  <si>
    <t>FR</t>
  </si>
  <si>
    <t>Contraignant à partir du 1er juillet 2023</t>
  </si>
  <si>
    <t>6 février 2023</t>
  </si>
  <si>
    <t>Lié à :</t>
  </si>
  <si>
    <t>À propos de l’Annexe S03 : L’outil d’évaluation des risques contient les fichiers suivants :</t>
  </si>
  <si>
    <t>Remplace :</t>
  </si>
  <si>
    <t xml:space="preserve">Applicable aux : </t>
  </si>
  <si>
    <t>© 2023 Rainforest Alliance. Tous droits réservés.</t>
  </si>
  <si>
    <t>Plus d’informations ? </t>
  </si>
  <si>
    <r>
      <rPr>
        <sz val="10"/>
        <color theme="1"/>
        <rFont val="Century Gothic"/>
        <family val="2"/>
      </rPr>
      <t>Pour plus d’information sur Rainforest Alliance, visitez le site </t>
    </r>
    <r>
      <rPr>
        <sz val="10"/>
        <color rgb="FF1A52C2"/>
        <rFont val="Century Gothic"/>
        <family val="2"/>
      </rPr>
      <t>www.rainforest-alliance.org</t>
    </r>
    <r>
      <rPr>
        <sz val="10"/>
        <color theme="1"/>
        <rFont val="Century Gothic"/>
        <family val="2"/>
      </rPr>
      <t> ou contactez </t>
    </r>
    <r>
      <rPr>
        <sz val="10"/>
        <color rgb="FF1A52C2"/>
        <rFont val="Century Gothic"/>
        <family val="2"/>
      </rPr>
      <t>info@ra.org</t>
    </r>
    <r>
      <rPr>
        <sz val="10"/>
        <color theme="1"/>
        <rFont val="Century Gothic"/>
        <family val="2"/>
      </rPr>
      <t> </t>
    </r>
  </si>
  <si>
    <t>- SA-S-SD-4a Annexe S03: Outil de Base d’Evaluation des Risques
- SA-S-SD-4b Annexe S03: Partie 1.3.5. Évaluation approfondie des risques de changement climatique
- SA-S-SD-4c Annexe S03: Partie 1.6.3. Évaluation approfondie des risques liés au genre
- SA-S-SD-4d  Annexe S03: Partie 5.1.5 Évaluation approfondie et traitement des risques</t>
  </si>
  <si>
    <t>Annexe S03: Outil de Base d’Evaluation des Risques</t>
  </si>
  <si>
    <t>Outil de Base d’Evaluation des Risques</t>
  </si>
  <si>
    <t>Document SA-S-SD-4a</t>
  </si>
  <si>
    <t>Traduction publiée le 11 may 2023</t>
  </si>
  <si>
    <t>SA-S-SD-4-V1.1FR Annexe S3 : Outil d’évaluation des risques</t>
  </si>
  <si>
    <t xml:space="preserve">SA-S-SD-1 Norme  pour l’agriculture durable, exigences applicables aux exploitations agricoles
SA-S-SD-2  Norme pour l’agriculture durable 2020 de Rainforest Alliance, exigences applicables à la chaîne d'approvisionnement
SA-S-SD-23 Annexe Chapitre 5 : Social
		</t>
  </si>
  <si>
    <t>1) Identifier les principaux besoins des membres du groupe concernant les intrants et les connaissances.
2) Aider les membres du groupe avec des formations en finance, en gestion d’entreprise et en compréhension des coûts de production, des revenus nets et de l'élaboration d'un plan d'affaires simple (exigence librement choisie 1.3.6).
3) Au besoin, faciliter l’accès aux services financiers (ex : prêts pour les investissements des exploitations agricoles) (exigence librement choisie 1.3.6).</t>
  </si>
  <si>
    <t>1) Évaluer le revenu net total pour un échantillon représentatif des ménages des membres du groupe en utilisant la référence de Revenu vital (exigence librement choisie 3.1.2).
2) Aider les membres du groupe avec des formations en finance, en gestion d’entreprise et en compréhension des coûts de production, des revenus nets et de l'élaboration d'un plan d'affaires simple (exigence librement choisie 1.3.6).
3) Au besoin, faciliter l’accès aux services financiers (ex : prêts pour les investissements des exploitations agricoles) (exigence librement choisie 1.3.6).
4) Aider les membres du groupe à prendre des décisions en connaissance de cause concernant les stratégies de diversification des revenus (ex : d’autres activités de génération de revenus, modernisation du produit) (exigence librement choisie 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</si>
</sst>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questions&quot;"/>
    <numFmt numFmtId="165" formatCode="00"/>
  </numFmts>
  <fonts count="67" x14ac:knownFonts="1">
    <font>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sz val="10"/>
      <name val="Calibri"/>
      <family val="2"/>
      <scheme val="minor"/>
    </font>
    <font>
      <sz val="10"/>
      <color theme="8" tint="-0.499984740745262"/>
      <name val="Calibri"/>
      <family val="2"/>
      <scheme val="minor"/>
    </font>
    <font>
      <sz val="10"/>
      <name val="Arial"/>
      <family val="2"/>
    </font>
    <font>
      <sz val="11"/>
      <color indexed="8"/>
      <name val="Calibri"/>
      <family val="2"/>
    </font>
    <font>
      <sz val="11"/>
      <color theme="1"/>
      <name val="Wingdings"/>
      <charset val="2"/>
    </font>
    <font>
      <sz val="10"/>
      <color rgb="FF000000"/>
      <name val="Calibri"/>
      <family val="2"/>
    </font>
    <font>
      <sz val="10"/>
      <color theme="1"/>
      <name val="Calibri"/>
      <family val="2"/>
    </font>
    <font>
      <sz val="10"/>
      <color rgb="FF7030A0"/>
      <name val="Calibri"/>
      <family val="2"/>
    </font>
    <font>
      <b/>
      <sz val="10"/>
      <color rgb="FFFF0000"/>
      <name val="Calibri"/>
      <family val="2"/>
      <scheme val="minor"/>
    </font>
    <font>
      <sz val="13"/>
      <color theme="1"/>
      <name val="Arial"/>
      <family val="2"/>
    </font>
    <font>
      <sz val="10"/>
      <color rgb="FFFF0000"/>
      <name val="Calibri"/>
      <family val="2"/>
      <scheme val="minor"/>
    </font>
    <font>
      <sz val="10"/>
      <color rgb="FF000000"/>
      <name val="Calibri"/>
      <family val="2"/>
      <scheme val="minor"/>
    </font>
    <font>
      <sz val="11"/>
      <color rgb="FF000000"/>
      <name val="Calibri"/>
      <family val="2"/>
      <scheme val="minor"/>
    </font>
    <font>
      <b/>
      <sz val="12"/>
      <color rgb="FFFF0000"/>
      <name val="Calibri"/>
      <family val="2"/>
      <scheme val="minor"/>
    </font>
    <font>
      <b/>
      <sz val="12"/>
      <color rgb="FFFFC000"/>
      <name val="Calibri"/>
      <family val="2"/>
      <scheme val="minor"/>
    </font>
    <font>
      <sz val="8"/>
      <name val="Calibri"/>
      <family val="2"/>
      <scheme val="minor"/>
    </font>
    <font>
      <strike/>
      <sz val="10"/>
      <color theme="1"/>
      <name val="Calibri"/>
      <family val="2"/>
      <scheme val="minor"/>
    </font>
    <font>
      <strike/>
      <sz val="10"/>
      <color rgb="FF000000"/>
      <name val="Calibri"/>
      <family val="2"/>
    </font>
    <font>
      <sz val="10"/>
      <color rgb="FF4472C4"/>
      <name val="Calibri"/>
      <family val="2"/>
      <scheme val="minor"/>
    </font>
    <font>
      <b/>
      <sz val="12"/>
      <color rgb="FF000000"/>
      <name val="Calibri"/>
      <family val="2"/>
      <scheme val="minor"/>
    </font>
    <font>
      <b/>
      <sz val="10"/>
      <color rgb="FF000000"/>
      <name val="Calibri"/>
      <family val="2"/>
      <scheme val="minor"/>
    </font>
    <font>
      <sz val="10"/>
      <color rgb="FF000000"/>
      <name val="Calibri Light"/>
      <family val="2"/>
      <scheme val="major"/>
    </font>
    <font>
      <sz val="11"/>
      <color theme="1"/>
      <name val="Calibri Light"/>
      <family val="2"/>
      <scheme val="major"/>
    </font>
    <font>
      <b/>
      <sz val="10"/>
      <color theme="1"/>
      <name val="Calibri Light"/>
      <family val="2"/>
      <scheme val="major"/>
    </font>
    <font>
      <sz val="10"/>
      <color theme="1"/>
      <name val="Calibri Light"/>
      <family val="2"/>
      <scheme val="major"/>
    </font>
    <font>
      <b/>
      <sz val="10"/>
      <color rgb="FF000000"/>
      <name val="Calibri Light"/>
      <family val="2"/>
      <scheme val="major"/>
    </font>
    <font>
      <b/>
      <sz val="10"/>
      <color rgb="FFFF0000"/>
      <name val="Calibri Light"/>
      <family val="2"/>
      <scheme val="major"/>
    </font>
    <font>
      <b/>
      <sz val="12"/>
      <color rgb="FF000000"/>
      <name val="Calibri Light"/>
      <family val="2"/>
      <scheme val="major"/>
    </font>
    <font>
      <b/>
      <sz val="20"/>
      <color theme="1"/>
      <name val="Calibri"/>
      <family val="2"/>
      <scheme val="minor"/>
    </font>
    <font>
      <b/>
      <sz val="14"/>
      <color theme="1"/>
      <name val="Calibri"/>
      <family val="2"/>
      <scheme val="minor"/>
    </font>
    <font>
      <sz val="14"/>
      <color theme="1"/>
      <name val="Calibri"/>
      <family val="2"/>
      <scheme val="minor"/>
    </font>
    <font>
      <b/>
      <sz val="36"/>
      <color rgb="FF175259"/>
      <name val="Century Gothic"/>
      <family val="2"/>
    </font>
    <font>
      <b/>
      <sz val="20"/>
      <color rgb="FFF53D1C"/>
      <name val="Century Gothic"/>
      <family val="2"/>
    </font>
    <font>
      <i/>
      <sz val="14"/>
      <color rgb="FF94BA29"/>
      <name val="Century Gothic"/>
      <family val="2"/>
    </font>
    <font>
      <sz val="11"/>
      <color rgb="FF94BA29"/>
      <name val="Century Gothic"/>
      <family val="2"/>
    </font>
    <font>
      <sz val="10"/>
      <color theme="1"/>
      <name val="Century Gothic"/>
      <family val="2"/>
    </font>
    <font>
      <sz val="10"/>
      <color rgb="FF1A52C2"/>
      <name val="Century Gothic"/>
      <family val="2"/>
    </font>
    <font>
      <sz val="11"/>
      <color rgb="FFF53D1C"/>
      <name val="Calibri"/>
      <family val="2"/>
      <scheme val="minor"/>
    </font>
    <font>
      <sz val="11"/>
      <name val="Calibri"/>
      <family val="2"/>
      <scheme val="minor"/>
    </font>
    <font>
      <b/>
      <sz val="10"/>
      <color theme="1"/>
      <name val="Century Gothic"/>
      <family val="2"/>
    </font>
    <font>
      <sz val="9"/>
      <color theme="1"/>
      <name val="Century Gothic"/>
      <family val="2"/>
    </font>
    <font>
      <sz val="9"/>
      <color rgb="FF000000"/>
      <name val="Calibri"/>
      <family val="2"/>
      <scheme val="minor"/>
    </font>
    <font>
      <i/>
      <sz val="9"/>
      <color theme="1"/>
      <name val="Century Gothic"/>
      <family val="2"/>
    </font>
    <font>
      <b/>
      <sz val="10"/>
      <name val="Calibri Light"/>
      <family val="2"/>
      <scheme val="major"/>
    </font>
    <font>
      <b/>
      <sz val="10"/>
      <name val="Calibri"/>
      <family val="2"/>
      <scheme val="minor"/>
    </font>
    <font>
      <b/>
      <sz val="12"/>
      <name val="Calibri"/>
      <family val="2"/>
      <scheme val="minor"/>
    </font>
    <font>
      <b/>
      <sz val="11"/>
      <color theme="1"/>
      <name val="Calibri"/>
      <family val="2"/>
      <scheme val="minor"/>
    </font>
    <font>
      <sz val="11"/>
      <color theme="1"/>
      <name val="Arial"/>
      <family val="2"/>
    </font>
    <font>
      <sz val="11"/>
      <color rgb="FF242424"/>
      <name val="Segoe UI"/>
      <family val="2"/>
    </font>
    <font>
      <b/>
      <sz val="11"/>
      <color theme="1"/>
      <name val="Calibri"/>
      <family val="2"/>
      <charset val="1"/>
    </font>
    <font>
      <sz val="11"/>
      <color rgb="FF000000"/>
      <name val="Calibri"/>
      <family val="2"/>
    </font>
    <font>
      <sz val="13"/>
      <color theme="1"/>
      <name val="Calibri"/>
      <family val="2"/>
      <scheme val="minor"/>
    </font>
    <font>
      <sz val="11"/>
      <color theme="1"/>
      <name val="Segoe UI"/>
      <family val="2"/>
    </font>
    <font>
      <b/>
      <sz val="11"/>
      <color rgb="FF000000"/>
      <name val="Calibri"/>
      <family val="2"/>
      <scheme val="minor"/>
    </font>
    <font>
      <u/>
      <sz val="11"/>
      <color theme="10"/>
      <name val="Calibri"/>
      <family val="2"/>
      <scheme val="minor"/>
    </font>
    <font>
      <sz val="11"/>
      <color rgb="FF000000"/>
      <name val="Segoe UI"/>
      <family val="2"/>
    </font>
    <font>
      <sz val="11"/>
      <color rgb="FF242424"/>
      <name val="Segoe UI"/>
      <family val="2"/>
    </font>
    <font>
      <b/>
      <sz val="11"/>
      <color rgb="FFFF0000"/>
      <name val="Calibri"/>
      <family val="2"/>
      <scheme val="minor"/>
    </font>
    <font>
      <strike/>
      <sz val="10"/>
      <color rgb="FF000000"/>
      <name val="Calibri"/>
      <family val="2"/>
      <scheme val="minor"/>
    </font>
    <font>
      <sz val="11"/>
      <color theme="1"/>
      <name val="Calibri"/>
      <family val="2"/>
      <scheme val="minor"/>
    </font>
    <font>
      <sz val="9"/>
      <color rgb="FF000000"/>
      <name val="Century Gothic"/>
      <family val="2"/>
    </font>
  </fonts>
  <fills count="3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6DA945"/>
        <bgColor indexed="64"/>
      </patternFill>
    </fill>
    <fill>
      <patternFill patternType="solid">
        <fgColor rgb="FFFFC000"/>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DEDBC6"/>
        <bgColor indexed="64"/>
      </patternFill>
    </fill>
    <fill>
      <patternFill patternType="solid">
        <fgColor rgb="FFFFFFFF"/>
        <bgColor indexed="64"/>
      </patternFill>
    </fill>
    <fill>
      <patternFill patternType="solid">
        <fgColor rgb="FFF4B084"/>
        <bgColor indexed="64"/>
      </patternFill>
    </fill>
    <fill>
      <patternFill patternType="solid">
        <fgColor rgb="FFF8CBAD"/>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CE4D6"/>
        <bgColor indexed="64"/>
      </patternFill>
    </fill>
    <fill>
      <patternFill patternType="solid">
        <fgColor rgb="FFFFF2CC"/>
        <bgColor indexed="64"/>
      </patternFill>
    </fill>
    <fill>
      <patternFill patternType="solid">
        <fgColor rgb="FFDDEBF7"/>
        <bgColor indexed="64"/>
      </patternFill>
    </fill>
    <fill>
      <patternFill patternType="solid">
        <fgColor rgb="FFFFE699"/>
        <bgColor indexed="64"/>
      </patternFill>
    </fill>
    <fill>
      <patternFill patternType="solid">
        <fgColor theme="0"/>
        <bgColor indexed="64"/>
      </patternFill>
    </fill>
    <fill>
      <patternFill patternType="solid">
        <fgColor rgb="FFFFFFFF"/>
        <bgColor rgb="FFFFFFFF"/>
      </patternFill>
    </fill>
    <fill>
      <patternFill patternType="solid">
        <fgColor rgb="FFFFFFFF"/>
        <bgColor rgb="FFFFFF00"/>
      </patternFill>
    </fill>
    <fill>
      <patternFill patternType="solid">
        <fgColor rgb="FFFFFFFF"/>
        <bgColor rgb="FF000000"/>
      </patternFill>
    </fill>
    <fill>
      <patternFill patternType="solid">
        <fgColor theme="0"/>
        <bgColor rgb="FFFFFF00"/>
      </patternFill>
    </fill>
    <fill>
      <patternFill patternType="solid">
        <fgColor rgb="FFF4B084"/>
        <bgColor rgb="FF000000"/>
      </patternFill>
    </fill>
    <fill>
      <patternFill patternType="solid">
        <fgColor rgb="FFFFE699"/>
        <bgColor rgb="FF000000"/>
      </patternFill>
    </fill>
    <fill>
      <patternFill patternType="solid">
        <fgColor theme="7"/>
        <bgColor indexed="64"/>
      </patternFill>
    </fill>
    <fill>
      <patternFill patternType="solid">
        <fgColor theme="5"/>
        <bgColor indexed="64"/>
      </patternFill>
    </fill>
    <fill>
      <patternFill patternType="solid">
        <fgColor theme="9" tint="0.79998168889431442"/>
        <bgColor rgb="FF000000"/>
      </patternFill>
    </fill>
    <fill>
      <patternFill patternType="solid">
        <fgColor rgb="FFF5B224"/>
        <bgColor indexed="64"/>
      </patternFill>
    </fill>
    <fill>
      <patternFill patternType="solid">
        <fgColor rgb="FFBFBFBF"/>
        <bgColor indexed="64"/>
      </patternFill>
    </fill>
    <fill>
      <patternFill patternType="solid">
        <fgColor theme="6" tint="0.39997558519241921"/>
        <bgColor indexed="64"/>
      </patternFill>
    </fill>
    <fill>
      <patternFill patternType="solid">
        <fgColor theme="2"/>
        <bgColor indexed="64"/>
      </patternFill>
    </fill>
    <fill>
      <patternFill patternType="solid">
        <fgColor theme="2" tint="-9.9978637043366805E-2"/>
        <bgColor indexed="64"/>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medium">
        <color rgb="FF000000"/>
      </right>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style="thin">
        <color indexed="64"/>
      </left>
      <right style="thin">
        <color indexed="64"/>
      </right>
      <top style="medium">
        <color rgb="FF000000"/>
      </top>
      <bottom style="thin">
        <color indexed="64"/>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top/>
      <bottom style="thin">
        <color rgb="FF000000"/>
      </bottom>
      <diagonal/>
    </border>
    <border>
      <left/>
      <right/>
      <top style="thin">
        <color rgb="FF000000"/>
      </top>
      <bottom/>
      <diagonal/>
    </border>
    <border>
      <left style="thin">
        <color indexed="64"/>
      </left>
      <right style="thin">
        <color rgb="FF000000"/>
      </right>
      <top/>
      <bottom/>
      <diagonal/>
    </border>
    <border>
      <left style="thin">
        <color indexed="64"/>
      </left>
      <right style="thin">
        <color indexed="64"/>
      </right>
      <top style="thin">
        <color rgb="FF000000"/>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bottom style="medium">
        <color indexed="64"/>
      </bottom>
      <diagonal/>
    </border>
    <border>
      <left style="thin">
        <color indexed="64"/>
      </left>
      <right style="thin">
        <color rgb="FF000000"/>
      </right>
      <top/>
      <bottom style="medium">
        <color indexed="64"/>
      </bottom>
      <diagonal/>
    </border>
    <border>
      <left style="thin">
        <color rgb="FF000000"/>
      </left>
      <right style="thin">
        <color indexed="64"/>
      </right>
      <top/>
      <bottom style="medium">
        <color indexed="64"/>
      </bottom>
      <diagonal/>
    </border>
    <border>
      <left style="medium">
        <color indexed="64"/>
      </left>
      <right style="thin">
        <color rgb="FF000000"/>
      </right>
      <top/>
      <bottom style="medium">
        <color indexed="64"/>
      </bottom>
      <diagonal/>
    </border>
    <border>
      <left/>
      <right style="medium">
        <color indexed="64"/>
      </right>
      <top/>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indexed="64"/>
      </top>
      <bottom/>
      <diagonal/>
    </border>
    <border>
      <left style="medium">
        <color indexed="64"/>
      </left>
      <right style="thin">
        <color rgb="FF000000"/>
      </right>
      <top/>
      <bottom style="thin">
        <color indexed="64"/>
      </bottom>
      <diagonal/>
    </border>
    <border>
      <left style="medium">
        <color indexed="64"/>
      </left>
      <right style="thin">
        <color rgb="FF000000"/>
      </right>
      <top/>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medium">
        <color indexed="64"/>
      </top>
      <bottom style="thin">
        <color rgb="FF000000"/>
      </bottom>
      <diagonal/>
    </border>
    <border>
      <left/>
      <right/>
      <top/>
      <bottom style="medium">
        <color indexed="64"/>
      </bottom>
      <diagonal/>
    </border>
    <border>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s>
  <cellStyleXfs count="7">
    <xf numFmtId="0" fontId="0" fillId="0" borderId="0"/>
    <xf numFmtId="0" fontId="8" fillId="0" borderId="0"/>
    <xf numFmtId="9" fontId="9" fillId="0" borderId="0" applyFont="0" applyFill="0" applyBorder="0" applyAlignment="0" applyProtection="0"/>
    <xf numFmtId="0" fontId="60" fillId="0" borderId="0" applyNumberFormat="0" applyFill="0" applyBorder="0" applyAlignment="0" applyProtection="0"/>
    <xf numFmtId="0" fontId="65" fillId="0" borderId="0"/>
    <xf numFmtId="0" fontId="65" fillId="0" borderId="0"/>
    <xf numFmtId="0" fontId="4" fillId="0" borderId="0"/>
  </cellStyleXfs>
  <cellXfs count="860">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0" fontId="2" fillId="0" borderId="0" xfId="0" applyFont="1"/>
    <xf numFmtId="0" fontId="2" fillId="0" borderId="2" xfId="0" applyFont="1" applyBorder="1"/>
    <xf numFmtId="0" fontId="3" fillId="6" borderId="5" xfId="0" applyFont="1" applyFill="1" applyBorder="1" applyAlignment="1">
      <alignment vertical="center"/>
    </xf>
    <xf numFmtId="0" fontId="4" fillId="6" borderId="6" xfId="0" applyFont="1" applyFill="1" applyBorder="1" applyAlignment="1">
      <alignment vertical="center" wrapText="1"/>
    </xf>
    <xf numFmtId="0" fontId="4" fillId="6" borderId="7" xfId="0" applyFont="1" applyFill="1" applyBorder="1" applyAlignment="1">
      <alignment vertical="center" wrapText="1"/>
    </xf>
    <xf numFmtId="0" fontId="3" fillId="6" borderId="6" xfId="0" applyFont="1" applyFill="1" applyBorder="1" applyAlignment="1">
      <alignment vertical="center"/>
    </xf>
    <xf numFmtId="0" fontId="3" fillId="6" borderId="7" xfId="0" applyFont="1" applyFill="1" applyBorder="1" applyAlignment="1">
      <alignment vertical="center"/>
    </xf>
    <xf numFmtId="0" fontId="5" fillId="0" borderId="0" xfId="0" applyFont="1"/>
    <xf numFmtId="0" fontId="0" fillId="7" borderId="0" xfId="0" applyFill="1"/>
    <xf numFmtId="0" fontId="0" fillId="8" borderId="0" xfId="0" applyFill="1"/>
    <xf numFmtId="0" fontId="1" fillId="0" borderId="0" xfId="0" applyFont="1" applyAlignment="1">
      <alignment horizontal="center" vertical="center" wrapText="1"/>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9" fontId="1" fillId="0" borderId="0" xfId="0" applyNumberFormat="1" applyFont="1" applyAlignment="1">
      <alignment horizontal="center" vertical="center" wrapText="1"/>
    </xf>
    <xf numFmtId="9"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7" fillId="0" borderId="2" xfId="0" applyFont="1" applyFill="1" applyBorder="1" applyAlignment="1">
      <alignment vertical="center" wrapText="1"/>
    </xf>
    <xf numFmtId="0" fontId="6" fillId="9" borderId="11" xfId="1" applyFont="1" applyFill="1" applyBorder="1" applyAlignment="1">
      <alignment vertical="center" wrapText="1"/>
    </xf>
    <xf numFmtId="0" fontId="6" fillId="9" borderId="12" xfId="1" applyFont="1" applyFill="1" applyBorder="1" applyAlignment="1">
      <alignment vertical="center" wrapText="1"/>
    </xf>
    <xf numFmtId="0" fontId="6" fillId="9" borderId="11" xfId="1" applyFont="1" applyFill="1" applyBorder="1" applyAlignment="1">
      <alignment horizontal="center" vertical="center" wrapText="1"/>
    </xf>
    <xf numFmtId="0" fontId="6" fillId="9" borderId="13" xfId="1" applyFont="1" applyFill="1" applyBorder="1" applyAlignment="1">
      <alignment vertical="center" wrapText="1"/>
    </xf>
    <xf numFmtId="0" fontId="6" fillId="0" borderId="2" xfId="0" applyFont="1" applyFill="1" applyBorder="1" applyAlignment="1">
      <alignment vertical="center" wrapText="1"/>
    </xf>
    <xf numFmtId="0" fontId="2" fillId="0" borderId="0" xfId="0" applyFont="1" applyFill="1" applyBorder="1"/>
    <xf numFmtId="0" fontId="1" fillId="0" borderId="0" xfId="0" applyFont="1" applyFill="1"/>
    <xf numFmtId="0" fontId="1" fillId="8" borderId="2" xfId="0" applyFont="1" applyFill="1" applyBorder="1" applyAlignment="1">
      <alignment horizontal="center" wrapText="1"/>
    </xf>
    <xf numFmtId="164" fontId="1" fillId="8" borderId="3" xfId="0" applyNumberFormat="1"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0" borderId="0" xfId="0" applyFont="1" applyBorder="1"/>
    <xf numFmtId="0" fontId="1" fillId="0" borderId="0" xfId="0" applyFont="1" applyAlignment="1"/>
    <xf numFmtId="0" fontId="1" fillId="0" borderId="0" xfId="0" applyFont="1" applyBorder="1"/>
    <xf numFmtId="9" fontId="1" fillId="0" borderId="0" xfId="0" applyNumberFormat="1" applyFont="1" applyAlignment="1">
      <alignment horizontal="center"/>
    </xf>
    <xf numFmtId="9" fontId="2" fillId="0" borderId="0" xfId="0" applyNumberFormat="1" applyFont="1" applyAlignment="1">
      <alignment horizontal="center"/>
    </xf>
    <xf numFmtId="9" fontId="1" fillId="0" borderId="0" xfId="0" applyNumberFormat="1" applyFont="1" applyAlignment="1">
      <alignment horizontal="center" vertical="center"/>
    </xf>
    <xf numFmtId="9" fontId="1" fillId="0" borderId="12" xfId="0" applyNumberFormat="1" applyFont="1" applyBorder="1" applyAlignment="1">
      <alignment horizontal="center"/>
    </xf>
    <xf numFmtId="0" fontId="1" fillId="0" borderId="12" xfId="0" applyFont="1" applyBorder="1" applyAlignment="1">
      <alignment horizontal="center"/>
    </xf>
    <xf numFmtId="0" fontId="10" fillId="0" borderId="0" xfId="0" applyFont="1"/>
    <xf numFmtId="0" fontId="0" fillId="0" borderId="0" xfId="0" applyAlignment="1">
      <alignment horizontal="left"/>
    </xf>
    <xf numFmtId="0" fontId="0" fillId="0" borderId="0" xfId="0" applyFill="1" applyAlignment="1">
      <alignment horizontal="left"/>
    </xf>
    <xf numFmtId="0" fontId="10" fillId="0" borderId="12" xfId="0" applyFont="1" applyBorder="1"/>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6" fillId="0" borderId="0" xfId="0" applyFont="1" applyFill="1" applyBorder="1" applyAlignment="1">
      <alignment vertical="center" wrapText="1"/>
    </xf>
    <xf numFmtId="0" fontId="3" fillId="6" borderId="6" xfId="0" applyFont="1" applyFill="1" applyBorder="1" applyAlignment="1">
      <alignment vertical="center" wrapText="1"/>
    </xf>
    <xf numFmtId="0" fontId="7" fillId="0" borderId="2" xfId="0" applyFont="1" applyFill="1" applyBorder="1" applyAlignment="1">
      <alignment horizontal="center" vertical="center" wrapText="1"/>
    </xf>
    <xf numFmtId="0" fontId="1" fillId="0" borderId="10" xfId="0" applyFont="1" applyFill="1" applyBorder="1" applyAlignment="1">
      <alignment vertical="center" wrapText="1"/>
    </xf>
    <xf numFmtId="0" fontId="1" fillId="0" borderId="13" xfId="0" applyFont="1" applyFill="1" applyBorder="1" applyAlignment="1">
      <alignment vertical="center" wrapText="1"/>
    </xf>
    <xf numFmtId="0" fontId="2" fillId="0" borderId="1" xfId="0" applyFont="1" applyBorder="1" applyAlignment="1">
      <alignmen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1" fillId="0" borderId="1" xfId="0" applyFont="1" applyFill="1" applyBorder="1" applyAlignment="1">
      <alignment vertical="center" wrapText="1"/>
    </xf>
    <xf numFmtId="0" fontId="3" fillId="6" borderId="12" xfId="0" applyFont="1" applyFill="1" applyBorder="1" applyAlignment="1">
      <alignment vertical="center"/>
    </xf>
    <xf numFmtId="0" fontId="11" fillId="11" borderId="1" xfId="0" applyFont="1" applyFill="1" applyBorder="1" applyAlignment="1">
      <alignment vertical="center" wrapText="1"/>
    </xf>
    <xf numFmtId="0" fontId="13" fillId="9" borderId="1" xfId="0" applyFont="1" applyFill="1" applyBorder="1" applyAlignment="1">
      <alignment vertical="center" wrapText="1"/>
    </xf>
    <xf numFmtId="0" fontId="11" fillId="0" borderId="1" xfId="0" applyFont="1" applyBorder="1" applyAlignment="1">
      <alignment vertical="center" wrapText="1"/>
    </xf>
    <xf numFmtId="0" fontId="11" fillId="12" borderId="1" xfId="0" applyFont="1" applyFill="1" applyBorder="1" applyAlignment="1">
      <alignment vertical="center" wrapText="1"/>
    </xf>
    <xf numFmtId="0" fontId="12" fillId="11" borderId="1" xfId="0" applyFont="1" applyFill="1" applyBorder="1" applyAlignment="1">
      <alignment vertical="center" wrapText="1"/>
    </xf>
    <xf numFmtId="0" fontId="1" fillId="0" borderId="1" xfId="0" applyFont="1" applyBorder="1" applyAlignment="1">
      <alignment vertical="center" wrapText="1"/>
    </xf>
    <xf numFmtId="0" fontId="0" fillId="3" borderId="0" xfId="0" applyFill="1" applyAlignment="1">
      <alignment vertical="top" wrapText="1"/>
    </xf>
    <xf numFmtId="165" fontId="2" fillId="0" borderId="12" xfId="0" applyNumberFormat="1" applyFont="1" applyBorder="1" applyAlignment="1">
      <alignment vertical="center"/>
    </xf>
    <xf numFmtId="0" fontId="2" fillId="0" borderId="9" xfId="0" applyFont="1" applyBorder="1" applyAlignment="1">
      <alignment vertical="center" wrapText="1"/>
    </xf>
    <xf numFmtId="0" fontId="2" fillId="0" borderId="11" xfId="0" applyFont="1" applyBorder="1" applyAlignment="1">
      <alignment vertical="center" wrapText="1"/>
    </xf>
    <xf numFmtId="165" fontId="2" fillId="0" borderId="8" xfId="0" applyNumberFormat="1" applyFont="1" applyBorder="1" applyAlignment="1">
      <alignment vertical="center" wrapText="1"/>
    </xf>
    <xf numFmtId="165" fontId="2" fillId="0" borderId="0" xfId="0" applyNumberFormat="1" applyFont="1" applyBorder="1" applyAlignment="1">
      <alignment vertical="center" wrapText="1"/>
    </xf>
    <xf numFmtId="0" fontId="15" fillId="0" borderId="0" xfId="0" applyFont="1"/>
    <xf numFmtId="0" fontId="7" fillId="0" borderId="15" xfId="0" applyFont="1" applyFill="1" applyBorder="1" applyAlignment="1">
      <alignment vertical="center" wrapText="1"/>
    </xf>
    <xf numFmtId="0" fontId="3" fillId="6" borderId="11" xfId="0" applyFont="1" applyFill="1" applyBorder="1" applyAlignment="1">
      <alignment vertical="center"/>
    </xf>
    <xf numFmtId="0" fontId="3" fillId="6" borderId="13" xfId="0" applyFont="1" applyFill="1" applyBorder="1" applyAlignment="1">
      <alignment vertical="center"/>
    </xf>
    <xf numFmtId="0" fontId="1" fillId="0" borderId="16" xfId="0" applyFont="1" applyFill="1" applyBorder="1" applyAlignment="1">
      <alignment vertical="center" wrapText="1"/>
    </xf>
    <xf numFmtId="0" fontId="0" fillId="0" borderId="16" xfId="0" applyBorder="1"/>
    <xf numFmtId="0" fontId="1" fillId="0" borderId="16" xfId="0" applyFont="1" applyBorder="1" applyAlignment="1">
      <alignment vertical="center"/>
    </xf>
    <xf numFmtId="0" fontId="1" fillId="0" borderId="16" xfId="0" applyFont="1" applyBorder="1" applyAlignment="1">
      <alignment vertical="center" wrapText="1"/>
    </xf>
    <xf numFmtId="0" fontId="1" fillId="12" borderId="16" xfId="0" applyFont="1" applyFill="1" applyBorder="1" applyAlignment="1">
      <alignment vertical="center" wrapText="1"/>
    </xf>
    <xf numFmtId="0" fontId="6" fillId="12" borderId="16" xfId="0" applyFont="1" applyFill="1" applyBorder="1" applyAlignment="1">
      <alignment vertical="center" wrapText="1"/>
    </xf>
    <xf numFmtId="0" fontId="1" fillId="12" borderId="0" xfId="0" applyFont="1" applyFill="1" applyAlignment="1">
      <alignment vertical="center" wrapText="1"/>
    </xf>
    <xf numFmtId="0" fontId="3" fillId="6" borderId="16" xfId="0" applyFont="1" applyFill="1" applyBorder="1" applyAlignment="1">
      <alignment vertical="center"/>
    </xf>
    <xf numFmtId="0" fontId="3" fillId="6" borderId="16" xfId="0" applyFont="1" applyFill="1" applyBorder="1" applyAlignment="1">
      <alignment vertical="center" wrapText="1"/>
    </xf>
    <xf numFmtId="0" fontId="3" fillId="14" borderId="16" xfId="0" applyFont="1" applyFill="1" applyBorder="1" applyAlignment="1">
      <alignment vertical="center"/>
    </xf>
    <xf numFmtId="0" fontId="3" fillId="6" borderId="16" xfId="0" applyFont="1" applyFill="1" applyBorder="1" applyAlignment="1">
      <alignment horizontal="left" vertical="center" wrapText="1"/>
    </xf>
    <xf numFmtId="0" fontId="1" fillId="17" borderId="16" xfId="0" applyFont="1" applyFill="1" applyBorder="1" applyAlignment="1">
      <alignment vertical="center" wrapText="1"/>
    </xf>
    <xf numFmtId="0" fontId="4" fillId="17" borderId="0" xfId="0" applyFont="1" applyFill="1" applyAlignment="1">
      <alignment vertical="center"/>
    </xf>
    <xf numFmtId="0" fontId="1" fillId="18" borderId="16" xfId="0" applyFont="1" applyFill="1" applyBorder="1" applyAlignment="1">
      <alignment vertical="center" wrapText="1"/>
    </xf>
    <xf numFmtId="0" fontId="4" fillId="18" borderId="0" xfId="0" applyFont="1" applyFill="1" applyAlignment="1">
      <alignment vertical="center"/>
    </xf>
    <xf numFmtId="0" fontId="4" fillId="18" borderId="0" xfId="0" applyFont="1" applyFill="1" applyAlignment="1">
      <alignment vertical="center" wrapText="1"/>
    </xf>
    <xf numFmtId="0" fontId="1" fillId="19" borderId="16" xfId="0" applyFont="1" applyFill="1" applyBorder="1" applyAlignment="1">
      <alignment vertical="center" wrapText="1"/>
    </xf>
    <xf numFmtId="0" fontId="4" fillId="19" borderId="0" xfId="0" applyFont="1" applyFill="1" applyAlignment="1">
      <alignment vertical="center"/>
    </xf>
    <xf numFmtId="0" fontId="17" fillId="0" borderId="19" xfId="0" applyFont="1" applyBorder="1" applyAlignment="1">
      <alignment horizontal="left" vertical="center" wrapText="1"/>
    </xf>
    <xf numFmtId="0" fontId="6" fillId="0" borderId="1" xfId="0" applyFont="1" applyBorder="1" applyAlignment="1">
      <alignment vertical="center" wrapText="1"/>
    </xf>
    <xf numFmtId="0" fontId="1" fillId="0" borderId="16" xfId="0" applyFont="1" applyBorder="1" applyAlignment="1">
      <alignment horizontal="center" vertical="center"/>
    </xf>
    <xf numFmtId="0" fontId="1" fillId="0" borderId="16" xfId="0" applyFont="1" applyBorder="1"/>
    <xf numFmtId="0" fontId="3" fillId="13" borderId="16" xfId="0" applyFont="1" applyFill="1" applyBorder="1" applyAlignment="1">
      <alignment vertical="center" wrapText="1"/>
    </xf>
    <xf numFmtId="0" fontId="3" fillId="13" borderId="16" xfId="0" applyFont="1" applyFill="1" applyBorder="1" applyAlignment="1">
      <alignment vertical="center"/>
    </xf>
    <xf numFmtId="0" fontId="1" fillId="0" borderId="0" xfId="0" applyFont="1" applyAlignment="1">
      <alignment horizontal="center"/>
    </xf>
    <xf numFmtId="0" fontId="1" fillId="15" borderId="16" xfId="0" applyFont="1" applyFill="1" applyBorder="1" applyAlignment="1">
      <alignment vertical="center" wrapText="1"/>
    </xf>
    <xf numFmtId="0" fontId="3" fillId="13" borderId="16" xfId="0" applyFont="1" applyFill="1" applyBorder="1" applyAlignment="1">
      <alignment horizontal="left" vertical="center" wrapText="1"/>
    </xf>
    <xf numFmtId="0" fontId="1" fillId="0" borderId="16" xfId="0" applyFont="1" applyBorder="1" applyAlignment="1">
      <alignment horizontal="left" vertical="center"/>
    </xf>
    <xf numFmtId="0" fontId="3" fillId="13" borderId="16" xfId="0" applyFont="1" applyFill="1" applyBorder="1" applyAlignment="1">
      <alignment horizontal="left" vertical="center"/>
    </xf>
    <xf numFmtId="0" fontId="1" fillId="0" borderId="16" xfId="0" applyFont="1" applyBorder="1" applyAlignment="1">
      <alignment horizontal="left"/>
    </xf>
    <xf numFmtId="0" fontId="1" fillId="0" borderId="17" xfId="0" applyFont="1" applyBorder="1" applyAlignment="1">
      <alignment horizontal="left" vertical="center" wrapText="1"/>
    </xf>
    <xf numFmtId="49" fontId="0" fillId="12" borderId="1" xfId="0" applyNumberFormat="1" applyFill="1" applyBorder="1" applyAlignment="1">
      <alignment vertical="top" wrapText="1"/>
    </xf>
    <xf numFmtId="49" fontId="0" fillId="0" borderId="1" xfId="0" applyNumberFormat="1" applyBorder="1" applyAlignment="1">
      <alignment vertical="top" wrapText="1"/>
    </xf>
    <xf numFmtId="0" fontId="1" fillId="12" borderId="21" xfId="0" applyFont="1" applyFill="1" applyBorder="1" applyAlignment="1">
      <alignment vertical="center" wrapText="1"/>
    </xf>
    <xf numFmtId="0" fontId="1" fillId="0" borderId="22" xfId="0" applyFont="1" applyBorder="1" applyAlignment="1">
      <alignment vertical="center" wrapText="1"/>
    </xf>
    <xf numFmtId="49" fontId="0" fillId="12" borderId="24" xfId="0" applyNumberFormat="1" applyFill="1" applyBorder="1" applyAlignment="1">
      <alignment vertical="top" wrapText="1"/>
    </xf>
    <xf numFmtId="0" fontId="0" fillId="0" borderId="0" xfId="0" applyAlignment="1">
      <alignment vertical="center"/>
    </xf>
    <xf numFmtId="0" fontId="0" fillId="0" borderId="16" xfId="0" applyBorder="1" applyAlignment="1">
      <alignment vertical="center"/>
    </xf>
    <xf numFmtId="0" fontId="0" fillId="0" borderId="16" xfId="0" applyBorder="1" applyAlignment="1">
      <alignment vertical="center" wrapText="1"/>
    </xf>
    <xf numFmtId="0" fontId="0" fillId="12" borderId="16" xfId="0" applyFill="1" applyBorder="1" applyAlignment="1">
      <alignment vertical="center"/>
    </xf>
    <xf numFmtId="0" fontId="0" fillId="0" borderId="1" xfId="0" applyBorder="1" applyAlignment="1">
      <alignment horizontal="left" vertical="center" wrapText="1"/>
    </xf>
    <xf numFmtId="0" fontId="0" fillId="0" borderId="7" xfId="0" applyBorder="1" applyAlignment="1">
      <alignment vertical="center" wrapText="1"/>
    </xf>
    <xf numFmtId="0" fontId="0" fillId="12" borderId="5" xfId="0" applyFill="1" applyBorder="1" applyAlignment="1">
      <alignment horizontal="left" vertical="center" wrapText="1"/>
    </xf>
    <xf numFmtId="0" fontId="0" fillId="0" borderId="5" xfId="0" applyBorder="1" applyAlignment="1">
      <alignment horizontal="left" vertical="center" wrapText="1"/>
    </xf>
    <xf numFmtId="0" fontId="18" fillId="12" borderId="5" xfId="0" applyFont="1" applyFill="1" applyBorder="1" applyAlignment="1">
      <alignment horizontal="left" vertical="center" wrapText="1"/>
    </xf>
    <xf numFmtId="0" fontId="3" fillId="6" borderId="9" xfId="0" applyFont="1" applyFill="1" applyBorder="1" applyAlignment="1">
      <alignment vertical="center"/>
    </xf>
    <xf numFmtId="0" fontId="3" fillId="6" borderId="10" xfId="0" applyFont="1" applyFill="1" applyBorder="1" applyAlignment="1">
      <alignment vertical="center"/>
    </xf>
    <xf numFmtId="0" fontId="3" fillId="6" borderId="0" xfId="0" applyFont="1" applyFill="1" applyBorder="1" applyAlignment="1">
      <alignment vertical="center"/>
    </xf>
    <xf numFmtId="0" fontId="0" fillId="12" borderId="16" xfId="0" applyFill="1" applyBorder="1" applyAlignment="1">
      <alignment vertical="center" wrapText="1"/>
    </xf>
    <xf numFmtId="0" fontId="0" fillId="21" borderId="16" xfId="0" applyFill="1" applyBorder="1" applyAlignment="1">
      <alignment vertical="center"/>
    </xf>
    <xf numFmtId="49" fontId="0" fillId="0" borderId="16" xfId="0" applyNumberFormat="1" applyBorder="1" applyAlignment="1">
      <alignment vertical="center" wrapText="1"/>
    </xf>
    <xf numFmtId="0" fontId="18" fillId="12" borderId="16" xfId="0" applyFont="1" applyFill="1" applyBorder="1" applyAlignment="1">
      <alignment vertical="center"/>
    </xf>
    <xf numFmtId="0" fontId="0" fillId="21" borderId="1" xfId="0" applyFill="1" applyBorder="1" applyAlignment="1">
      <alignment horizontal="left" vertical="center"/>
    </xf>
    <xf numFmtId="0" fontId="0" fillId="12" borderId="16" xfId="0" applyFill="1" applyBorder="1" applyAlignment="1">
      <alignment horizontal="left" vertical="center"/>
    </xf>
    <xf numFmtId="0" fontId="0" fillId="0" borderId="7" xfId="0" applyBorder="1" applyAlignment="1">
      <alignment horizontal="left" vertical="center" wrapText="1"/>
    </xf>
    <xf numFmtId="49" fontId="0" fillId="0" borderId="1" xfId="0" applyNumberFormat="1" applyBorder="1" applyAlignment="1">
      <alignment horizontal="left" vertical="center" wrapText="1"/>
    </xf>
    <xf numFmtId="0" fontId="0" fillId="12" borderId="7" xfId="0" applyFill="1" applyBorder="1" applyAlignment="1">
      <alignment vertical="center" wrapText="1"/>
    </xf>
    <xf numFmtId="0" fontId="0" fillId="12" borderId="0" xfId="0" applyFill="1"/>
    <xf numFmtId="0" fontId="1" fillId="12" borderId="0" xfId="0" applyFont="1" applyFill="1" applyAlignment="1">
      <alignment vertical="center"/>
    </xf>
    <xf numFmtId="0" fontId="0" fillId="12" borderId="0" xfId="0" applyFill="1" applyAlignment="1">
      <alignment horizontal="left" vertical="center"/>
    </xf>
    <xf numFmtId="0" fontId="0" fillId="12" borderId="0" xfId="0" applyFill="1" applyAlignment="1">
      <alignment vertical="center"/>
    </xf>
    <xf numFmtId="0" fontId="18" fillId="12" borderId="0" xfId="0" applyFont="1" applyFill="1" applyAlignment="1">
      <alignment vertical="center"/>
    </xf>
    <xf numFmtId="0" fontId="0" fillId="0" borderId="27" xfId="0" applyBorder="1" applyAlignment="1">
      <alignment vertical="center"/>
    </xf>
    <xf numFmtId="0" fontId="0" fillId="12" borderId="27" xfId="0" applyFill="1" applyBorder="1" applyAlignment="1">
      <alignment vertical="center" wrapText="1"/>
    </xf>
    <xf numFmtId="0" fontId="1" fillId="13" borderId="26" xfId="0" applyFont="1" applyFill="1" applyBorder="1" applyAlignment="1">
      <alignment vertical="center" wrapText="1"/>
    </xf>
    <xf numFmtId="0" fontId="1" fillId="0" borderId="26" xfId="0" applyFont="1" applyFill="1" applyBorder="1" applyAlignment="1">
      <alignment vertical="center" wrapText="1"/>
    </xf>
    <xf numFmtId="0" fontId="1" fillId="15" borderId="26" xfId="0" applyFont="1" applyFill="1" applyBorder="1" applyAlignment="1">
      <alignment vertical="center" wrapText="1"/>
    </xf>
    <xf numFmtId="0" fontId="0" fillId="12" borderId="26" xfId="0" applyFill="1" applyBorder="1" applyAlignment="1">
      <alignment vertical="center" wrapText="1"/>
    </xf>
    <xf numFmtId="0" fontId="0" fillId="12" borderId="18" xfId="0" applyFill="1" applyBorder="1" applyAlignment="1">
      <alignment vertical="center"/>
    </xf>
    <xf numFmtId="0" fontId="0" fillId="0" borderId="20" xfId="0" applyBorder="1" applyAlignment="1">
      <alignment vertical="center"/>
    </xf>
    <xf numFmtId="0" fontId="0" fillId="0" borderId="28" xfId="0" applyBorder="1" applyAlignment="1">
      <alignment vertical="center" wrapText="1"/>
    </xf>
    <xf numFmtId="0" fontId="0" fillId="0" borderId="26" xfId="0" applyBorder="1" applyAlignment="1">
      <alignment vertical="center" wrapText="1"/>
    </xf>
    <xf numFmtId="0" fontId="0" fillId="12" borderId="21" xfId="0" applyFill="1" applyBorder="1" applyAlignment="1">
      <alignment vertical="center"/>
    </xf>
    <xf numFmtId="0" fontId="0" fillId="12" borderId="28" xfId="0" applyFill="1" applyBorder="1" applyAlignment="1">
      <alignment vertical="center" wrapText="1"/>
    </xf>
    <xf numFmtId="0" fontId="1" fillId="12" borderId="16" xfId="0" applyFont="1" applyFill="1" applyBorder="1" applyAlignment="1">
      <alignment horizontal="center" vertical="center"/>
    </xf>
    <xf numFmtId="0" fontId="1" fillId="0" borderId="29" xfId="0" applyFont="1" applyBorder="1" applyAlignment="1">
      <alignment horizontal="left" vertical="center" wrapText="1"/>
    </xf>
    <xf numFmtId="0" fontId="1" fillId="0" borderId="20" xfId="0" applyFont="1" applyBorder="1" applyAlignment="1">
      <alignment horizontal="left" vertical="center" wrapText="1"/>
    </xf>
    <xf numFmtId="0" fontId="1" fillId="0" borderId="30" xfId="0" applyFont="1" applyBorder="1" applyAlignment="1">
      <alignment vertical="center" wrapText="1"/>
    </xf>
    <xf numFmtId="0" fontId="1" fillId="12" borderId="31" xfId="0" applyFont="1" applyFill="1" applyBorder="1" applyAlignment="1">
      <alignment vertical="center" wrapText="1"/>
    </xf>
    <xf numFmtId="0" fontId="0" fillId="0" borderId="18" xfId="0" applyBorder="1" applyAlignment="1">
      <alignment vertical="center"/>
    </xf>
    <xf numFmtId="0" fontId="0" fillId="0" borderId="32" xfId="0" applyBorder="1" applyAlignment="1">
      <alignment vertical="center"/>
    </xf>
    <xf numFmtId="0" fontId="3" fillId="12" borderId="12" xfId="0" applyFont="1" applyFill="1" applyBorder="1" applyAlignment="1">
      <alignment vertical="center"/>
    </xf>
    <xf numFmtId="0" fontId="0" fillId="12" borderId="26" xfId="0" applyFill="1" applyBorder="1" applyAlignment="1">
      <alignment vertical="center"/>
    </xf>
    <xf numFmtId="0" fontId="1" fillId="12" borderId="16" xfId="0" applyFont="1" applyFill="1" applyBorder="1" applyAlignment="1">
      <alignment vertical="center"/>
    </xf>
    <xf numFmtId="0" fontId="18" fillId="12" borderId="7" xfId="0" applyFont="1" applyFill="1" applyBorder="1" applyAlignment="1">
      <alignment vertical="center" wrapText="1"/>
    </xf>
    <xf numFmtId="0" fontId="1" fillId="12" borderId="27" xfId="0" applyFont="1" applyFill="1" applyBorder="1" applyAlignment="1">
      <alignment vertical="center" wrapText="1"/>
    </xf>
    <xf numFmtId="0" fontId="1" fillId="12" borderId="26" xfId="0" applyFont="1" applyFill="1" applyBorder="1" applyAlignment="1">
      <alignment vertical="center" wrapText="1"/>
    </xf>
    <xf numFmtId="0" fontId="1" fillId="12" borderId="18" xfId="0" applyFont="1" applyFill="1" applyBorder="1" applyAlignment="1">
      <alignment vertical="center" wrapText="1"/>
    </xf>
    <xf numFmtId="0" fontId="1" fillId="12" borderId="1" xfId="0" applyFont="1" applyFill="1" applyBorder="1" applyAlignment="1">
      <alignment vertical="center" wrapText="1"/>
    </xf>
    <xf numFmtId="0" fontId="1" fillId="16" borderId="16" xfId="0" applyFont="1" applyFill="1" applyBorder="1" applyAlignment="1">
      <alignment vertical="center" wrapText="1"/>
    </xf>
    <xf numFmtId="9" fontId="0" fillId="0" borderId="16" xfId="0" applyNumberFormat="1" applyBorder="1" applyAlignment="1">
      <alignment vertical="center"/>
    </xf>
    <xf numFmtId="0" fontId="4" fillId="0" borderId="0" xfId="0" applyFont="1" applyFill="1" applyAlignment="1">
      <alignment vertical="center"/>
    </xf>
    <xf numFmtId="0" fontId="1" fillId="0" borderId="0" xfId="0" applyFont="1" applyFill="1" applyAlignment="1">
      <alignment vertical="center" wrapText="1"/>
    </xf>
    <xf numFmtId="0" fontId="1" fillId="19" borderId="21" xfId="0" applyFont="1" applyFill="1" applyBorder="1" applyAlignment="1">
      <alignment vertical="center" wrapText="1"/>
    </xf>
    <xf numFmtId="0" fontId="1" fillId="17" borderId="16" xfId="0" quotePrefix="1" applyFont="1" applyFill="1" applyBorder="1" applyAlignment="1">
      <alignment vertical="center" wrapText="1"/>
    </xf>
    <xf numFmtId="0" fontId="1" fillId="8" borderId="16" xfId="0" applyFont="1" applyFill="1" applyBorder="1" applyAlignment="1">
      <alignment vertical="center" wrapText="1"/>
    </xf>
    <xf numFmtId="0" fontId="1" fillId="8" borderId="16" xfId="0" quotePrefix="1" applyFont="1" applyFill="1" applyBorder="1" applyAlignment="1">
      <alignment vertical="center" wrapText="1"/>
    </xf>
    <xf numFmtId="0" fontId="1" fillId="12" borderId="0" xfId="0" applyFont="1" applyFill="1" applyBorder="1" applyAlignment="1">
      <alignment vertical="center" wrapText="1"/>
    </xf>
    <xf numFmtId="0" fontId="1" fillId="8" borderId="27" xfId="0" applyFont="1" applyFill="1" applyBorder="1" applyAlignment="1">
      <alignment vertical="center" wrapText="1"/>
    </xf>
    <xf numFmtId="0" fontId="1" fillId="8" borderId="18" xfId="0" applyFont="1" applyFill="1" applyBorder="1" applyAlignment="1">
      <alignment vertical="center" wrapText="1"/>
    </xf>
    <xf numFmtId="0" fontId="1" fillId="9" borderId="16" xfId="0" applyFont="1" applyFill="1" applyBorder="1" applyAlignment="1">
      <alignment vertical="center" wrapText="1"/>
    </xf>
    <xf numFmtId="0" fontId="1" fillId="18" borderId="16" xfId="0" quotePrefix="1" applyFont="1" applyFill="1" applyBorder="1" applyAlignment="1">
      <alignment vertical="center" wrapText="1"/>
    </xf>
    <xf numFmtId="0" fontId="11" fillId="12" borderId="16" xfId="0" applyFont="1" applyFill="1" applyBorder="1" applyAlignment="1">
      <alignment vertical="center" wrapText="1"/>
    </xf>
    <xf numFmtId="0" fontId="11" fillId="12" borderId="16" xfId="0" quotePrefix="1" applyFont="1" applyFill="1" applyBorder="1" applyAlignment="1">
      <alignment vertical="center" wrapText="1"/>
    </xf>
    <xf numFmtId="0" fontId="3" fillId="20" borderId="16" xfId="0" applyFont="1" applyFill="1" applyBorder="1" applyAlignment="1">
      <alignment vertical="center"/>
    </xf>
    <xf numFmtId="0" fontId="3" fillId="20" borderId="16" xfId="0" applyFont="1" applyFill="1" applyBorder="1" applyAlignment="1">
      <alignment horizontal="left" vertical="center"/>
    </xf>
    <xf numFmtId="0" fontId="3" fillId="20" borderId="16" xfId="0" applyFont="1" applyFill="1" applyBorder="1" applyAlignment="1">
      <alignment horizontal="left" vertical="center" wrapText="1"/>
    </xf>
    <xf numFmtId="0" fontId="6" fillId="0" borderId="16" xfId="0" applyFont="1" applyBorder="1" applyAlignment="1">
      <alignment vertical="center" wrapText="1"/>
    </xf>
    <xf numFmtId="0" fontId="17" fillId="0" borderId="16" xfId="0" applyFont="1" applyFill="1" applyBorder="1" applyAlignment="1">
      <alignment horizontal="left" vertical="center" wrapText="1"/>
    </xf>
    <xf numFmtId="0" fontId="17" fillId="0" borderId="16" xfId="0" applyFont="1" applyFill="1" applyBorder="1" applyAlignment="1">
      <alignment vertical="center" wrapText="1"/>
    </xf>
    <xf numFmtId="0" fontId="6" fillId="0" borderId="16" xfId="0" applyFont="1" applyFill="1" applyBorder="1" applyAlignment="1">
      <alignment vertical="center" wrapText="1"/>
    </xf>
    <xf numFmtId="0" fontId="6" fillId="18" borderId="16" xfId="0" applyFont="1" applyFill="1" applyBorder="1" applyAlignment="1">
      <alignment vertical="center" wrapText="1"/>
    </xf>
    <xf numFmtId="49" fontId="1" fillId="0" borderId="16" xfId="0" applyNumberFormat="1" applyFont="1" applyBorder="1" applyAlignment="1">
      <alignment vertical="center" wrapText="1"/>
    </xf>
    <xf numFmtId="0" fontId="6" fillId="0" borderId="16" xfId="0" quotePrefix="1" applyFont="1" applyBorder="1" applyAlignment="1">
      <alignment vertical="center" wrapText="1"/>
    </xf>
    <xf numFmtId="0" fontId="6" fillId="16" borderId="16" xfId="0" applyFont="1" applyFill="1" applyBorder="1" applyAlignment="1">
      <alignment vertical="center" wrapText="1"/>
    </xf>
    <xf numFmtId="0" fontId="1" fillId="0" borderId="16" xfId="0" applyFont="1" applyBorder="1" applyAlignment="1">
      <alignment horizontal="center" wrapText="1"/>
    </xf>
    <xf numFmtId="0" fontId="0" fillId="0" borderId="16" xfId="0" applyBorder="1" applyAlignment="1">
      <alignment vertical="top" wrapText="1"/>
    </xf>
    <xf numFmtId="49" fontId="0" fillId="0" borderId="16" xfId="0" applyNumberFormat="1" applyBorder="1" applyAlignment="1">
      <alignment vertical="top" wrapText="1"/>
    </xf>
    <xf numFmtId="0" fontId="0" fillId="12" borderId="16" xfId="0" applyFill="1" applyBorder="1" applyAlignment="1">
      <alignment horizontal="left" vertical="top" wrapText="1"/>
    </xf>
    <xf numFmtId="0" fontId="0" fillId="12" borderId="16" xfId="0" applyFill="1" applyBorder="1" applyAlignment="1">
      <alignment vertical="top" wrapText="1"/>
    </xf>
    <xf numFmtId="49" fontId="0" fillId="12" borderId="16" xfId="0" applyNumberFormat="1" applyFill="1" applyBorder="1" applyAlignment="1">
      <alignment vertical="top" wrapText="1"/>
    </xf>
    <xf numFmtId="0" fontId="0" fillId="0" borderId="16" xfId="0" applyBorder="1" applyAlignment="1">
      <alignment horizontal="left" vertical="top" wrapText="1"/>
    </xf>
    <xf numFmtId="0" fontId="1" fillId="0" borderId="16" xfId="0" applyFont="1" applyFill="1" applyBorder="1" applyAlignment="1">
      <alignment horizontal="left" vertical="center" wrapText="1"/>
    </xf>
    <xf numFmtId="0" fontId="1" fillId="21" borderId="16" xfId="0" applyFont="1" applyFill="1" applyBorder="1" applyAlignment="1">
      <alignment horizontal="left" vertical="center" wrapText="1"/>
    </xf>
    <xf numFmtId="0" fontId="1" fillId="21" borderId="16" xfId="0" applyFont="1" applyFill="1" applyBorder="1" applyAlignment="1">
      <alignment vertical="center" wrapText="1"/>
    </xf>
    <xf numFmtId="0" fontId="6" fillId="21" borderId="16" xfId="0" applyFont="1" applyFill="1" applyBorder="1" applyAlignment="1">
      <alignment vertical="center" wrapText="1"/>
    </xf>
    <xf numFmtId="0" fontId="23" fillId="12" borderId="16" xfId="0" applyFont="1" applyFill="1" applyBorder="1" applyAlignment="1">
      <alignment vertical="center" wrapText="1"/>
    </xf>
    <xf numFmtId="49" fontId="1" fillId="21" borderId="16" xfId="0" applyNumberFormat="1" applyFont="1" applyFill="1" applyBorder="1" applyAlignment="1">
      <alignment vertical="center" wrapText="1"/>
    </xf>
    <xf numFmtId="0" fontId="3" fillId="20" borderId="27" xfId="0" applyFont="1" applyFill="1" applyBorder="1" applyAlignment="1">
      <alignment horizontal="left" vertical="center"/>
    </xf>
    <xf numFmtId="0" fontId="1" fillId="0" borderId="27" xfId="0" applyFont="1" applyBorder="1" applyAlignment="1">
      <alignment horizontal="left"/>
    </xf>
    <xf numFmtId="0" fontId="3" fillId="13" borderId="26" xfId="0" applyFont="1" applyFill="1" applyBorder="1" applyAlignment="1">
      <alignment horizontal="left" vertical="center" wrapText="1"/>
    </xf>
    <xf numFmtId="0" fontId="3" fillId="20" borderId="26" xfId="0" applyFont="1" applyFill="1" applyBorder="1" applyAlignment="1">
      <alignment horizontal="left" vertical="center"/>
    </xf>
    <xf numFmtId="0" fontId="6" fillId="0" borderId="26" xfId="0" applyFont="1" applyFill="1" applyBorder="1" applyAlignment="1">
      <alignment horizontal="left" vertical="center" wrapText="1"/>
    </xf>
    <xf numFmtId="0" fontId="1" fillId="0" borderId="26" xfId="0" applyFont="1" applyBorder="1" applyAlignment="1">
      <alignment vertical="center" wrapText="1"/>
    </xf>
    <xf numFmtId="0" fontId="6" fillId="0" borderId="26" xfId="0" applyFont="1" applyBorder="1" applyAlignment="1">
      <alignment horizontal="left" vertical="center" wrapText="1"/>
    </xf>
    <xf numFmtId="0" fontId="1" fillId="0" borderId="26" xfId="0" applyFont="1" applyBorder="1" applyAlignment="1">
      <alignment horizontal="left" vertical="center" wrapText="1"/>
    </xf>
    <xf numFmtId="0" fontId="1" fillId="0" borderId="26" xfId="0" applyFont="1" applyFill="1" applyBorder="1" applyAlignment="1">
      <alignment horizontal="left" vertical="center" wrapText="1"/>
    </xf>
    <xf numFmtId="0" fontId="1" fillId="0" borderId="26" xfId="0" applyFont="1" applyBorder="1" applyAlignment="1">
      <alignment horizontal="left"/>
    </xf>
    <xf numFmtId="0" fontId="3" fillId="13" borderId="1" xfId="0" applyFont="1" applyFill="1" applyBorder="1" applyAlignment="1">
      <alignment horizontal="left" vertical="center" wrapText="1"/>
    </xf>
    <xf numFmtId="0" fontId="3" fillId="20"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21" borderId="1" xfId="0" applyFont="1" applyFill="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Border="1" applyAlignment="1">
      <alignment horizontal="left"/>
    </xf>
    <xf numFmtId="0" fontId="3" fillId="16" borderId="16" xfId="0" applyFont="1" applyFill="1" applyBorder="1" applyAlignment="1">
      <alignment vertical="center"/>
    </xf>
    <xf numFmtId="0" fontId="3" fillId="13" borderId="27" xfId="0" applyFont="1" applyFill="1" applyBorder="1" applyAlignment="1">
      <alignment horizontal="left" vertical="center" wrapText="1"/>
    </xf>
    <xf numFmtId="0" fontId="1" fillId="21" borderId="16" xfId="0" quotePrefix="1" applyFont="1" applyFill="1" applyBorder="1" applyAlignment="1">
      <alignment vertical="center" wrapText="1"/>
    </xf>
    <xf numFmtId="0" fontId="1" fillId="0" borderId="0" xfId="0" applyFont="1" applyBorder="1" applyAlignment="1">
      <alignment horizontal="left"/>
    </xf>
    <xf numFmtId="0" fontId="1" fillId="0" borderId="18" xfId="0" applyFont="1" applyBorder="1"/>
    <xf numFmtId="0" fontId="1" fillId="0" borderId="28" xfId="0" applyFont="1" applyBorder="1" applyAlignment="1">
      <alignment horizontal="left"/>
    </xf>
    <xf numFmtId="0" fontId="1" fillId="0" borderId="3" xfId="0" applyFont="1" applyBorder="1" applyAlignment="1">
      <alignment horizontal="left"/>
    </xf>
    <xf numFmtId="0" fontId="1" fillId="0" borderId="32" xfId="0" applyFont="1" applyBorder="1" applyAlignment="1">
      <alignment horizontal="left"/>
    </xf>
    <xf numFmtId="0" fontId="1" fillId="0" borderId="18" xfId="0" applyFont="1" applyBorder="1" applyAlignment="1">
      <alignment horizontal="left"/>
    </xf>
    <xf numFmtId="0" fontId="0" fillId="12" borderId="21" xfId="0" applyFill="1" applyBorder="1" applyAlignment="1">
      <alignment vertical="top" wrapText="1"/>
    </xf>
    <xf numFmtId="0" fontId="17" fillId="0" borderId="19" xfId="0" applyFont="1" applyFill="1" applyBorder="1" applyAlignment="1">
      <alignment horizontal="left" vertical="center" wrapText="1"/>
    </xf>
    <xf numFmtId="0" fontId="17" fillId="0" borderId="16" xfId="0" applyFont="1" applyBorder="1" applyAlignment="1">
      <alignment horizontal="left" vertical="center" wrapText="1"/>
    </xf>
    <xf numFmtId="0" fontId="1" fillId="21" borderId="16" xfId="0" applyFont="1" applyFill="1" applyBorder="1" applyAlignment="1">
      <alignment horizontal="center" vertical="center"/>
    </xf>
    <xf numFmtId="0" fontId="1" fillId="16" borderId="16" xfId="0" applyFont="1" applyFill="1" applyBorder="1" applyAlignment="1">
      <alignment horizontal="center" wrapText="1"/>
    </xf>
    <xf numFmtId="0" fontId="0" fillId="16" borderId="16" xfId="0" applyFill="1" applyBorder="1" applyAlignment="1">
      <alignment vertical="top" wrapText="1"/>
    </xf>
    <xf numFmtId="0" fontId="6" fillId="16" borderId="1" xfId="0" applyFont="1" applyFill="1" applyBorder="1" applyAlignment="1">
      <alignment horizontal="left" vertical="center" wrapText="1"/>
    </xf>
    <xf numFmtId="0" fontId="6" fillId="16" borderId="16" xfId="0" applyFont="1" applyFill="1" applyBorder="1" applyAlignment="1">
      <alignment horizontal="left" vertical="center" wrapText="1"/>
    </xf>
    <xf numFmtId="0" fontId="6" fillId="16" borderId="26" xfId="0" applyFont="1" applyFill="1" applyBorder="1" applyAlignment="1">
      <alignment vertical="center" wrapText="1"/>
    </xf>
    <xf numFmtId="0" fontId="6" fillId="16" borderId="1" xfId="0" quotePrefix="1" applyFont="1" applyFill="1" applyBorder="1" applyAlignment="1">
      <alignment vertical="center" wrapText="1"/>
    </xf>
    <xf numFmtId="49" fontId="1" fillId="0" borderId="16" xfId="0" applyNumberFormat="1" applyFont="1" applyBorder="1" applyAlignment="1">
      <alignment vertical="top" wrapText="1"/>
    </xf>
    <xf numFmtId="0" fontId="1" fillId="0" borderId="16" xfId="0" applyFont="1" applyBorder="1" applyAlignment="1">
      <alignment vertical="top" wrapText="1"/>
    </xf>
    <xf numFmtId="0" fontId="1" fillId="12" borderId="1" xfId="0" applyFont="1" applyFill="1" applyBorder="1" applyAlignment="1">
      <alignment horizontal="left" vertical="top" wrapText="1"/>
    </xf>
    <xf numFmtId="0" fontId="1" fillId="12" borderId="26" xfId="0" applyFont="1" applyFill="1" applyBorder="1" applyAlignment="1">
      <alignment vertical="top" wrapText="1"/>
    </xf>
    <xf numFmtId="0" fontId="1" fillId="12" borderId="16" xfId="0" applyFont="1" applyFill="1" applyBorder="1" applyAlignment="1">
      <alignment vertical="top" wrapText="1"/>
    </xf>
    <xf numFmtId="49" fontId="1" fillId="12" borderId="16" xfId="0" applyNumberFormat="1" applyFont="1" applyFill="1" applyBorder="1" applyAlignment="1">
      <alignment vertical="top" wrapText="1"/>
    </xf>
    <xf numFmtId="0" fontId="1" fillId="16" borderId="26" xfId="0" applyFont="1" applyFill="1" applyBorder="1" applyAlignment="1">
      <alignment vertical="top" wrapText="1"/>
    </xf>
    <xf numFmtId="0" fontId="1" fillId="0" borderId="2" xfId="0" applyFont="1" applyBorder="1" applyAlignment="1">
      <alignment horizontal="left" vertical="top" wrapText="1"/>
    </xf>
    <xf numFmtId="0" fontId="1" fillId="12" borderId="21" xfId="0" applyFont="1" applyFill="1" applyBorder="1" applyAlignment="1">
      <alignment vertical="top" wrapText="1"/>
    </xf>
    <xf numFmtId="49" fontId="1" fillId="12" borderId="21" xfId="0" applyNumberFormat="1" applyFont="1" applyFill="1" applyBorder="1" applyAlignment="1">
      <alignment vertical="top" wrapText="1"/>
    </xf>
    <xf numFmtId="0" fontId="1" fillId="16" borderId="16" xfId="0" applyFont="1" applyFill="1" applyBorder="1" applyAlignment="1">
      <alignment wrapText="1"/>
    </xf>
    <xf numFmtId="0" fontId="17" fillId="0" borderId="0" xfId="0" applyFont="1"/>
    <xf numFmtId="0" fontId="1" fillId="21" borderId="26" xfId="0" applyFont="1" applyFill="1" applyBorder="1" applyAlignment="1">
      <alignment vertical="center" wrapText="1"/>
    </xf>
    <xf numFmtId="0" fontId="6" fillId="21" borderId="1" xfId="0" applyFont="1" applyFill="1" applyBorder="1" applyAlignment="1">
      <alignment horizontal="left" vertical="center" wrapText="1"/>
    </xf>
    <xf numFmtId="0" fontId="17" fillId="0" borderId="0" xfId="0" applyFont="1" applyAlignment="1">
      <alignment horizontal="left" vertical="top" wrapText="1"/>
    </xf>
    <xf numFmtId="0" fontId="17" fillId="0" borderId="43" xfId="0" applyFont="1" applyBorder="1" applyAlignment="1">
      <alignment vertical="top" wrapText="1"/>
    </xf>
    <xf numFmtId="0" fontId="17" fillId="0" borderId="42" xfId="0" applyFont="1" applyBorder="1" applyAlignment="1">
      <alignment wrapText="1"/>
    </xf>
    <xf numFmtId="0" fontId="17" fillId="0" borderId="44" xfId="0" applyFont="1" applyBorder="1" applyAlignment="1">
      <alignment wrapText="1"/>
    </xf>
    <xf numFmtId="0" fontId="17" fillId="0" borderId="44" xfId="0" applyFont="1" applyBorder="1" applyAlignment="1">
      <alignment vertical="top" wrapText="1"/>
    </xf>
    <xf numFmtId="0" fontId="17" fillId="0" borderId="0" xfId="0" applyFont="1" applyAlignment="1">
      <alignment vertical="center"/>
    </xf>
    <xf numFmtId="0" fontId="17" fillId="0" borderId="44" xfId="0" applyFont="1" applyBorder="1" applyAlignment="1">
      <alignment horizontal="left" vertical="top" wrapText="1"/>
    </xf>
    <xf numFmtId="0" fontId="17" fillId="0" borderId="44" xfId="0" applyFont="1" applyBorder="1" applyAlignment="1">
      <alignment vertical="center" wrapText="1"/>
    </xf>
    <xf numFmtId="0" fontId="17" fillId="0" borderId="44" xfId="0" applyFont="1" applyBorder="1" applyAlignment="1">
      <alignment vertical="center"/>
    </xf>
    <xf numFmtId="0" fontId="17" fillId="0" borderId="42" xfId="0" applyFont="1" applyBorder="1" applyAlignment="1">
      <alignment horizontal="left" vertical="top" wrapText="1"/>
    </xf>
    <xf numFmtId="0" fontId="6" fillId="21" borderId="21" xfId="0" quotePrefix="1" applyFont="1" applyFill="1" applyBorder="1" applyAlignment="1">
      <alignment vertical="center" wrapText="1"/>
    </xf>
    <xf numFmtId="0" fontId="1" fillId="0" borderId="44" xfId="0" applyFont="1" applyBorder="1" applyAlignment="1">
      <alignment vertical="center" wrapText="1"/>
    </xf>
    <xf numFmtId="0" fontId="17" fillId="0" borderId="42" xfId="0" applyFont="1" applyBorder="1" applyAlignment="1">
      <alignment vertical="center"/>
    </xf>
    <xf numFmtId="0" fontId="1" fillId="0" borderId="16" xfId="0" applyFont="1" applyBorder="1" applyAlignment="1">
      <alignment horizontal="left" vertical="top" wrapText="1"/>
    </xf>
    <xf numFmtId="0" fontId="17" fillId="0" borderId="43" xfId="0" applyFont="1" applyBorder="1" applyAlignment="1">
      <alignment vertical="center"/>
    </xf>
    <xf numFmtId="0" fontId="1" fillId="0" borderId="21" xfId="0" applyFont="1" applyBorder="1" applyAlignment="1">
      <alignment vertical="center" wrapText="1"/>
    </xf>
    <xf numFmtId="0" fontId="3" fillId="13" borderId="16" xfId="0" applyFont="1" applyFill="1" applyBorder="1" applyAlignment="1">
      <alignment horizontal="center" vertical="center"/>
    </xf>
    <xf numFmtId="0" fontId="3" fillId="20" borderId="16" xfId="0" applyFont="1" applyFill="1" applyBorder="1" applyAlignment="1">
      <alignment horizontal="center" vertical="center"/>
    </xf>
    <xf numFmtId="0" fontId="1" fillId="0" borderId="0" xfId="0" applyFont="1" applyBorder="1" applyAlignment="1">
      <alignment horizontal="center" vertical="center"/>
    </xf>
    <xf numFmtId="0" fontId="1" fillId="0" borderId="18" xfId="0" applyFont="1" applyBorder="1" applyAlignment="1">
      <alignment horizontal="center" vertical="center"/>
    </xf>
    <xf numFmtId="0" fontId="3" fillId="13" borderId="16" xfId="0" applyFont="1" applyFill="1" applyBorder="1" applyAlignment="1">
      <alignment horizontal="center" vertical="center" wrapText="1"/>
    </xf>
    <xf numFmtId="0" fontId="6" fillId="0" borderId="3" xfId="0" applyFont="1" applyBorder="1" applyAlignment="1">
      <alignment horizontal="center" vertical="center" wrapText="1"/>
    </xf>
    <xf numFmtId="0" fontId="1" fillId="21" borderId="16" xfId="0" applyFont="1" applyFill="1" applyBorder="1" applyAlignment="1">
      <alignment horizontal="center" vertical="center" wrapText="1"/>
    </xf>
    <xf numFmtId="0" fontId="6" fillId="21" borderId="16" xfId="0" applyFont="1" applyFill="1" applyBorder="1" applyAlignment="1">
      <alignment horizontal="center" vertical="center" wrapText="1"/>
    </xf>
    <xf numFmtId="0" fontId="6" fillId="16" borderId="27"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7" fillId="0" borderId="45" xfId="0" applyFont="1" applyBorder="1" applyAlignment="1">
      <alignment vertical="center"/>
    </xf>
    <xf numFmtId="0" fontId="1" fillId="16" borderId="46" xfId="0" applyFont="1" applyFill="1" applyBorder="1" applyAlignment="1">
      <alignment horizontal="center"/>
    </xf>
    <xf numFmtId="0" fontId="1" fillId="16" borderId="0" xfId="0" applyFont="1" applyFill="1" applyBorder="1" applyAlignment="1">
      <alignment horizontal="left"/>
    </xf>
    <xf numFmtId="0" fontId="1" fillId="16" borderId="0" xfId="0" applyFont="1" applyFill="1" applyBorder="1" applyAlignment="1">
      <alignment horizontal="center" vertical="center"/>
    </xf>
    <xf numFmtId="0" fontId="1" fillId="16" borderId="0" xfId="0" applyFont="1" applyFill="1" applyBorder="1"/>
    <xf numFmtId="0" fontId="3" fillId="14" borderId="16" xfId="0" applyFont="1" applyFill="1" applyBorder="1" applyAlignment="1">
      <alignment vertical="center" wrapText="1"/>
    </xf>
    <xf numFmtId="0" fontId="1" fillId="12" borderId="16" xfId="0" applyFont="1" applyFill="1" applyBorder="1" applyAlignment="1">
      <alignment horizontal="left" vertical="center" wrapText="1"/>
    </xf>
    <xf numFmtId="0" fontId="24" fillId="0" borderId="16" xfId="0" applyFont="1" applyFill="1" applyBorder="1" applyAlignment="1">
      <alignment horizontal="left" vertical="center" wrapText="1"/>
    </xf>
    <xf numFmtId="0" fontId="24" fillId="21" borderId="16" xfId="0" applyFont="1" applyFill="1" applyBorder="1" applyAlignment="1">
      <alignment vertical="center" wrapText="1"/>
    </xf>
    <xf numFmtId="0" fontId="1" fillId="16" borderId="16" xfId="0" applyFont="1" applyFill="1" applyBorder="1" applyAlignment="1">
      <alignment horizontal="center" vertical="center" wrapText="1"/>
    </xf>
    <xf numFmtId="0" fontId="6" fillId="16" borderId="26" xfId="0" applyFont="1" applyFill="1" applyBorder="1" applyAlignment="1">
      <alignment horizontal="left" vertical="center" wrapText="1"/>
    </xf>
    <xf numFmtId="0" fontId="1" fillId="12" borderId="16" xfId="0" applyFont="1" applyFill="1" applyBorder="1" applyAlignment="1">
      <alignment horizontal="center" wrapText="1"/>
    </xf>
    <xf numFmtId="0" fontId="1" fillId="12" borderId="16" xfId="0" applyFont="1" applyFill="1" applyBorder="1"/>
    <xf numFmtId="0" fontId="17" fillId="12" borderId="0" xfId="0" applyFont="1" applyFill="1" applyAlignment="1">
      <alignment wrapText="1"/>
    </xf>
    <xf numFmtId="0" fontId="1" fillId="0" borderId="20" xfId="0" applyFont="1" applyBorder="1" applyAlignment="1">
      <alignment horizontal="center" vertical="center" wrapText="1"/>
    </xf>
    <xf numFmtId="0" fontId="3" fillId="20" borderId="27" xfId="0" applyFont="1" applyFill="1" applyBorder="1" applyAlignment="1">
      <alignment vertical="center"/>
    </xf>
    <xf numFmtId="0" fontId="1" fillId="0" borderId="16" xfId="0" applyFont="1" applyBorder="1" applyAlignment="1">
      <alignment horizontal="center" vertical="center"/>
    </xf>
    <xf numFmtId="0" fontId="1" fillId="0" borderId="16" xfId="0" applyFont="1" applyBorder="1"/>
    <xf numFmtId="49" fontId="1" fillId="12" borderId="0" xfId="0" applyNumberFormat="1" applyFont="1" applyFill="1" applyBorder="1" applyAlignment="1">
      <alignment vertical="top" wrapText="1"/>
    </xf>
    <xf numFmtId="0" fontId="0" fillId="12" borderId="34" xfId="0" applyFill="1" applyBorder="1" applyAlignment="1">
      <alignment vertical="center" wrapText="1"/>
    </xf>
    <xf numFmtId="0" fontId="0" fillId="12" borderId="35" xfId="0" applyFill="1" applyBorder="1" applyAlignment="1">
      <alignment vertical="center" wrapText="1"/>
    </xf>
    <xf numFmtId="0" fontId="1" fillId="12" borderId="39" xfId="0" applyFont="1" applyFill="1" applyBorder="1" applyAlignment="1">
      <alignment vertical="top" wrapText="1"/>
    </xf>
    <xf numFmtId="0" fontId="25" fillId="27" borderId="16" xfId="0" applyFont="1" applyFill="1" applyBorder="1" applyAlignment="1">
      <alignment vertical="center"/>
    </xf>
    <xf numFmtId="0" fontId="25" fillId="27" borderId="27" xfId="0" applyFont="1" applyFill="1" applyBorder="1" applyAlignment="1">
      <alignment horizontal="left" vertical="center"/>
    </xf>
    <xf numFmtId="0" fontId="25" fillId="27" borderId="26" xfId="0" applyFont="1" applyFill="1" applyBorder="1" applyAlignment="1">
      <alignment horizontal="left" vertical="center"/>
    </xf>
    <xf numFmtId="0" fontId="17" fillId="0" borderId="26" xfId="0" applyFont="1" applyBorder="1" applyAlignment="1">
      <alignment horizontal="left" vertical="center" wrapText="1"/>
    </xf>
    <xf numFmtId="0" fontId="17" fillId="0" borderId="16" xfId="0" applyFont="1" applyBorder="1" applyAlignment="1">
      <alignment vertical="center" wrapText="1"/>
    </xf>
    <xf numFmtId="0" fontId="17" fillId="24" borderId="16" xfId="0" applyFont="1" applyFill="1" applyBorder="1" applyAlignment="1">
      <alignment vertical="center" wrapText="1"/>
    </xf>
    <xf numFmtId="0" fontId="25" fillId="27" borderId="27" xfId="0" applyFont="1" applyFill="1" applyBorder="1" applyAlignment="1">
      <alignment vertical="center"/>
    </xf>
    <xf numFmtId="0" fontId="17" fillId="0" borderId="26" xfId="0" applyFont="1" applyBorder="1" applyAlignment="1">
      <alignment vertical="center" wrapText="1"/>
    </xf>
    <xf numFmtId="0" fontId="17" fillId="0" borderId="1" xfId="0" applyFont="1" applyBorder="1" applyAlignment="1">
      <alignment vertical="center" wrapText="1"/>
    </xf>
    <xf numFmtId="0" fontId="17" fillId="24" borderId="26" xfId="0" applyFont="1" applyFill="1" applyBorder="1" applyAlignment="1">
      <alignment vertical="center" wrapText="1"/>
    </xf>
    <xf numFmtId="0" fontId="6" fillId="24" borderId="1" xfId="0" applyFont="1" applyFill="1" applyBorder="1" applyAlignment="1">
      <alignment horizontal="left" vertical="center" wrapText="1"/>
    </xf>
    <xf numFmtId="0" fontId="6" fillId="24" borderId="26" xfId="0" applyFont="1" applyFill="1" applyBorder="1" applyAlignment="1">
      <alignment horizontal="left" vertical="center" wrapText="1"/>
    </xf>
    <xf numFmtId="0" fontId="17" fillId="24" borderId="26" xfId="0" applyFont="1" applyFill="1" applyBorder="1" applyAlignment="1">
      <alignment vertical="top" wrapText="1"/>
    </xf>
    <xf numFmtId="0" fontId="17" fillId="24" borderId="16" xfId="0" applyFont="1" applyFill="1" applyBorder="1" applyAlignment="1">
      <alignment vertical="top" wrapText="1"/>
    </xf>
    <xf numFmtId="0" fontId="17" fillId="0" borderId="16" xfId="0" applyFont="1" applyBorder="1" applyAlignment="1">
      <alignment vertical="top" wrapText="1"/>
    </xf>
    <xf numFmtId="0" fontId="17" fillId="0" borderId="16" xfId="0" applyFont="1" applyBorder="1" applyAlignment="1">
      <alignment horizontal="left" vertical="center"/>
    </xf>
    <xf numFmtId="0" fontId="17" fillId="0" borderId="43" xfId="0" applyFont="1" applyBorder="1" applyAlignment="1">
      <alignment horizontal="left" vertical="top" wrapText="1"/>
    </xf>
    <xf numFmtId="0" fontId="17" fillId="0" borderId="43" xfId="0" applyFont="1" applyBorder="1" applyAlignment="1">
      <alignment vertical="center" wrapText="1"/>
    </xf>
    <xf numFmtId="0" fontId="25" fillId="26" borderId="51" xfId="0" applyFont="1" applyFill="1" applyBorder="1" applyAlignment="1">
      <alignment horizontal="left" vertical="center" wrapText="1"/>
    </xf>
    <xf numFmtId="0" fontId="25" fillId="26" borderId="52" xfId="0" applyFont="1" applyFill="1" applyBorder="1" applyAlignment="1">
      <alignment horizontal="left" vertical="center" wrapText="1"/>
    </xf>
    <xf numFmtId="0" fontId="25" fillId="27" borderId="56" xfId="0" applyFont="1" applyFill="1" applyBorder="1" applyAlignment="1">
      <alignment vertical="center"/>
    </xf>
    <xf numFmtId="0" fontId="17" fillId="0" borderId="14" xfId="0" applyFont="1" applyBorder="1" applyAlignment="1">
      <alignment vertical="center"/>
    </xf>
    <xf numFmtId="0" fontId="17" fillId="24" borderId="56" xfId="0" applyFont="1" applyFill="1" applyBorder="1" applyAlignment="1">
      <alignment vertical="center" wrapText="1"/>
    </xf>
    <xf numFmtId="0" fontId="17" fillId="0" borderId="34" xfId="0" applyFont="1" applyBorder="1" applyAlignment="1">
      <alignment horizontal="left" vertical="center" wrapText="1"/>
    </xf>
    <xf numFmtId="0" fontId="17" fillId="0" borderId="56" xfId="0" applyFont="1" applyBorder="1" applyAlignment="1">
      <alignment horizontal="left" vertical="center" wrapText="1"/>
    </xf>
    <xf numFmtId="0" fontId="6" fillId="0" borderId="34" xfId="0" applyFont="1" applyBorder="1" applyAlignment="1">
      <alignment horizontal="left" vertical="center" wrapText="1"/>
    </xf>
    <xf numFmtId="0" fontId="6" fillId="24" borderId="34" xfId="0" applyFont="1" applyFill="1" applyBorder="1" applyAlignment="1">
      <alignment vertical="center" wrapText="1"/>
    </xf>
    <xf numFmtId="0" fontId="6" fillId="24" borderId="35" xfId="0" applyFont="1" applyFill="1" applyBorder="1" applyAlignment="1">
      <alignment vertical="center" wrapText="1"/>
    </xf>
    <xf numFmtId="0" fontId="17" fillId="0" borderId="34" xfId="0" applyFont="1" applyBorder="1" applyAlignment="1">
      <alignment vertical="center" wrapText="1"/>
    </xf>
    <xf numFmtId="0" fontId="17" fillId="0" borderId="56" xfId="0" applyFont="1" applyBorder="1" applyAlignment="1">
      <alignment vertical="center" wrapText="1"/>
    </xf>
    <xf numFmtId="0" fontId="6" fillId="0" borderId="56" xfId="0" applyFont="1" applyBorder="1" applyAlignment="1">
      <alignment vertical="center" wrapText="1"/>
    </xf>
    <xf numFmtId="0" fontId="17" fillId="0" borderId="34" xfId="0" applyFont="1" applyBorder="1" applyAlignment="1">
      <alignment wrapText="1"/>
    </xf>
    <xf numFmtId="0" fontId="17" fillId="0" borderId="57" xfId="0" applyFont="1" applyBorder="1" applyAlignment="1">
      <alignment vertical="top" wrapText="1"/>
    </xf>
    <xf numFmtId="0" fontId="17" fillId="0" borderId="14" xfId="0" applyFont="1" applyBorder="1" applyAlignment="1">
      <alignment horizontal="left" vertical="top" wrapText="1"/>
    </xf>
    <xf numFmtId="0" fontId="17" fillId="0" borderId="41" xfId="0" applyFont="1" applyBorder="1" applyAlignment="1">
      <alignment vertical="center" wrapText="1"/>
    </xf>
    <xf numFmtId="0" fontId="17" fillId="24" borderId="34" xfId="0" applyFont="1" applyFill="1" applyBorder="1" applyAlignment="1">
      <alignment vertical="top" wrapText="1"/>
    </xf>
    <xf numFmtId="0" fontId="17" fillId="24" borderId="56" xfId="0" applyFont="1" applyFill="1" applyBorder="1" applyAlignment="1">
      <alignment vertical="top" wrapText="1"/>
    </xf>
    <xf numFmtId="0" fontId="17" fillId="0" borderId="56" xfId="0" applyFont="1" applyBorder="1" applyAlignment="1">
      <alignment vertical="top" wrapText="1"/>
    </xf>
    <xf numFmtId="0" fontId="17" fillId="0" borderId="42" xfId="0" applyFont="1" applyBorder="1" applyAlignment="1">
      <alignment horizontal="left" vertical="center" wrapText="1"/>
    </xf>
    <xf numFmtId="0" fontId="25" fillId="26" borderId="53" xfId="0" applyFont="1" applyFill="1" applyBorder="1" applyAlignment="1">
      <alignment vertical="center"/>
    </xf>
    <xf numFmtId="0" fontId="25" fillId="27" borderId="16" xfId="0" applyFont="1" applyFill="1" applyBorder="1" applyAlignment="1">
      <alignment vertical="center" wrapText="1"/>
    </xf>
    <xf numFmtId="0" fontId="0" fillId="0" borderId="0" xfId="0" applyAlignment="1"/>
    <xf numFmtId="0" fontId="17" fillId="0" borderId="34" xfId="0" applyFont="1" applyBorder="1" applyAlignment="1">
      <alignment vertical="top" wrapText="1"/>
    </xf>
    <xf numFmtId="0" fontId="17" fillId="24" borderId="1" xfId="0" applyFont="1" applyFill="1" applyBorder="1" applyAlignment="1">
      <alignment vertical="center" wrapText="1"/>
    </xf>
    <xf numFmtId="0" fontId="17" fillId="0" borderId="53" xfId="0" applyFont="1" applyBorder="1" applyAlignment="1">
      <alignment horizontal="left" vertical="center"/>
    </xf>
    <xf numFmtId="0" fontId="17" fillId="0" borderId="53" xfId="0" applyFont="1" applyBorder="1" applyAlignment="1">
      <alignment vertical="top" wrapText="1"/>
    </xf>
    <xf numFmtId="0" fontId="17" fillId="0" borderId="54" xfId="0" applyFont="1" applyBorder="1" applyAlignment="1">
      <alignment horizontal="left" vertical="center" wrapText="1"/>
    </xf>
    <xf numFmtId="0" fontId="17" fillId="0" borderId="38" xfId="0" applyFont="1" applyBorder="1" applyAlignment="1">
      <alignment horizontal="left" vertical="center"/>
    </xf>
    <xf numFmtId="0" fontId="6" fillId="0" borderId="2" xfId="0" applyFont="1" applyBorder="1" applyAlignment="1">
      <alignment vertical="center" wrapText="1"/>
    </xf>
    <xf numFmtId="0" fontId="6" fillId="0" borderId="37" xfId="0" applyFont="1" applyBorder="1" applyAlignment="1">
      <alignment vertical="center" wrapText="1"/>
    </xf>
    <xf numFmtId="0" fontId="6" fillId="0" borderId="47" xfId="0" applyFont="1" applyBorder="1" applyAlignment="1">
      <alignment vertical="center" wrapText="1"/>
    </xf>
    <xf numFmtId="0" fontId="6" fillId="0" borderId="38" xfId="0" applyFont="1" applyBorder="1" applyAlignment="1">
      <alignment vertical="center" wrapText="1"/>
    </xf>
    <xf numFmtId="0" fontId="26" fillId="0" borderId="37" xfId="0" applyFont="1" applyBorder="1" applyAlignment="1">
      <alignment vertical="center" wrapText="1"/>
    </xf>
    <xf numFmtId="0" fontId="25" fillId="26" borderId="50" xfId="0" applyFont="1" applyFill="1" applyBorder="1" applyAlignment="1">
      <alignment horizontal="center" vertical="center" wrapText="1"/>
    </xf>
    <xf numFmtId="0" fontId="25" fillId="27" borderId="55" xfId="0" applyFont="1" applyFill="1" applyBorder="1" applyAlignment="1">
      <alignment horizontal="center" vertical="center"/>
    </xf>
    <xf numFmtId="0" fontId="0" fillId="0" borderId="0" xfId="0" applyAlignment="1">
      <alignment horizontal="center"/>
    </xf>
    <xf numFmtId="0" fontId="26" fillId="21" borderId="37" xfId="0" applyFont="1" applyFill="1" applyBorder="1" applyAlignment="1">
      <alignment horizontal="center" vertical="center" wrapText="1"/>
    </xf>
    <xf numFmtId="0" fontId="6" fillId="24" borderId="2" xfId="0" applyFont="1" applyFill="1" applyBorder="1" applyAlignment="1">
      <alignment vertical="center" wrapText="1"/>
    </xf>
    <xf numFmtId="0" fontId="6" fillId="21" borderId="37" xfId="0" applyFont="1" applyFill="1" applyBorder="1" applyAlignment="1">
      <alignment vertical="center" wrapText="1"/>
    </xf>
    <xf numFmtId="0" fontId="6" fillId="24" borderId="37" xfId="0" applyFont="1" applyFill="1" applyBorder="1" applyAlignment="1">
      <alignment vertical="center" wrapText="1"/>
    </xf>
    <xf numFmtId="0" fontId="6" fillId="0" borderId="41" xfId="0" applyFont="1" applyBorder="1" applyAlignment="1">
      <alignment vertical="center" wrapText="1"/>
    </xf>
    <xf numFmtId="0" fontId="18" fillId="24" borderId="34" xfId="0" applyFont="1" applyFill="1" applyBorder="1" applyAlignment="1">
      <alignment vertical="center" wrapText="1"/>
    </xf>
    <xf numFmtId="0" fontId="18" fillId="24" borderId="37" xfId="0" applyFont="1" applyFill="1" applyBorder="1" applyAlignment="1">
      <alignment vertical="center" wrapText="1"/>
    </xf>
    <xf numFmtId="0" fontId="17" fillId="0" borderId="49" xfId="0" applyFont="1" applyBorder="1" applyAlignment="1">
      <alignment vertical="center" wrapText="1"/>
    </xf>
    <xf numFmtId="0" fontId="18" fillId="21" borderId="37" xfId="0" applyFont="1" applyFill="1" applyBorder="1" applyAlignment="1">
      <alignment vertical="center" wrapText="1"/>
    </xf>
    <xf numFmtId="0" fontId="18" fillId="0" borderId="37" xfId="0" applyFont="1" applyBorder="1" applyAlignment="1">
      <alignment vertical="center" wrapText="1"/>
    </xf>
    <xf numFmtId="0" fontId="25" fillId="27" borderId="27" xfId="0" applyFont="1" applyFill="1" applyBorder="1" applyAlignment="1">
      <alignment horizontal="center" vertical="center"/>
    </xf>
    <xf numFmtId="0" fontId="19" fillId="30" borderId="53" xfId="0" applyFont="1" applyFill="1" applyBorder="1" applyAlignment="1">
      <alignment vertical="center"/>
    </xf>
    <xf numFmtId="0" fontId="19" fillId="30" borderId="51" xfId="0" applyFont="1" applyFill="1" applyBorder="1" applyAlignment="1">
      <alignment horizontal="center" vertical="center" wrapText="1"/>
    </xf>
    <xf numFmtId="0" fontId="17" fillId="24" borderId="34" xfId="0" applyFont="1" applyFill="1" applyBorder="1" applyAlignment="1">
      <alignment horizontal="left" vertical="center" wrapText="1"/>
    </xf>
    <xf numFmtId="0" fontId="17" fillId="0" borderId="21" xfId="0" applyFont="1" applyBorder="1" applyAlignment="1">
      <alignment horizontal="left" vertical="center"/>
    </xf>
    <xf numFmtId="0" fontId="17" fillId="0" borderId="37" xfId="0" applyFont="1" applyBorder="1" applyAlignment="1">
      <alignment horizontal="left" vertical="center" wrapText="1"/>
    </xf>
    <xf numFmtId="0" fontId="17" fillId="0" borderId="21" xfId="0" applyFont="1" applyBorder="1" applyAlignment="1">
      <alignment vertical="center" wrapText="1"/>
    </xf>
    <xf numFmtId="0" fontId="17" fillId="0" borderId="33" xfId="0" applyFont="1" applyBorder="1" applyAlignment="1">
      <alignment vertical="center" wrapText="1"/>
    </xf>
    <xf numFmtId="0" fontId="17" fillId="24" borderId="37" xfId="0" applyFont="1" applyFill="1" applyBorder="1" applyAlignment="1">
      <alignment vertical="top" wrapText="1"/>
    </xf>
    <xf numFmtId="0" fontId="17" fillId="24" borderId="21" xfId="0" applyFont="1" applyFill="1" applyBorder="1" applyAlignment="1">
      <alignment vertical="center" wrapText="1"/>
    </xf>
    <xf numFmtId="0" fontId="17" fillId="24" borderId="33" xfId="0" applyFont="1" applyFill="1" applyBorder="1" applyAlignment="1">
      <alignment vertical="center" wrapText="1"/>
    </xf>
    <xf numFmtId="0" fontId="17" fillId="24" borderId="18" xfId="0" applyFont="1" applyFill="1" applyBorder="1" applyAlignment="1">
      <alignment vertical="center" wrapText="1"/>
    </xf>
    <xf numFmtId="0" fontId="6" fillId="0" borderId="37" xfId="0" applyFont="1" applyBorder="1" applyAlignment="1">
      <alignment horizontal="left" vertical="center" wrapText="1"/>
    </xf>
    <xf numFmtId="0" fontId="26" fillId="0" borderId="37" xfId="0" applyFont="1" applyBorder="1" applyAlignment="1">
      <alignment horizontal="center" vertical="center" wrapText="1"/>
    </xf>
    <xf numFmtId="0" fontId="17" fillId="0" borderId="37" xfId="0" applyFont="1" applyBorder="1" applyAlignment="1">
      <alignment vertical="center" wrapText="1"/>
    </xf>
    <xf numFmtId="0" fontId="17" fillId="0" borderId="4" xfId="0" applyFont="1" applyBorder="1" applyAlignment="1">
      <alignment horizontal="left" vertical="center" wrapText="1"/>
    </xf>
    <xf numFmtId="0" fontId="17" fillId="24" borderId="34" xfId="0" applyFont="1" applyFill="1" applyBorder="1" applyAlignment="1">
      <alignment vertical="center" wrapText="1"/>
    </xf>
    <xf numFmtId="0" fontId="6" fillId="0" borderId="34" xfId="0" applyFont="1" applyBorder="1" applyAlignment="1">
      <alignment vertical="center" wrapText="1"/>
    </xf>
    <xf numFmtId="0" fontId="6" fillId="0" borderId="36" xfId="0" applyFont="1" applyBorder="1" applyAlignment="1">
      <alignment vertical="center" wrapText="1"/>
    </xf>
    <xf numFmtId="0" fontId="17" fillId="0" borderId="2" xfId="0" applyFont="1" applyBorder="1" applyAlignment="1">
      <alignment vertical="center" wrapText="1"/>
    </xf>
    <xf numFmtId="0" fontId="36" fillId="0" borderId="61" xfId="0" applyFont="1" applyBorder="1" applyAlignment="1" applyProtection="1">
      <alignment horizontal="center"/>
      <protection locked="0"/>
    </xf>
    <xf numFmtId="0" fontId="30" fillId="0" borderId="69" xfId="0" applyFont="1" applyBorder="1" applyAlignment="1" applyProtection="1">
      <alignment horizontal="center" vertical="center"/>
      <protection locked="0"/>
    </xf>
    <xf numFmtId="0" fontId="30" fillId="0" borderId="1" xfId="0" applyFont="1" applyBorder="1" applyAlignment="1" applyProtection="1">
      <alignment horizontal="center" vertical="center"/>
      <protection locked="0"/>
    </xf>
    <xf numFmtId="0" fontId="5" fillId="0" borderId="0" xfId="0" applyFont="1" applyAlignment="1">
      <alignment wrapText="1"/>
    </xf>
    <xf numFmtId="0" fontId="17" fillId="0" borderId="37" xfId="0" applyFont="1" applyBorder="1" applyAlignment="1">
      <alignment horizontal="center" vertical="center" wrapText="1"/>
    </xf>
    <xf numFmtId="0" fontId="6" fillId="0" borderId="58" xfId="0" applyFont="1" applyBorder="1" applyAlignment="1">
      <alignment vertical="center" wrapText="1"/>
    </xf>
    <xf numFmtId="0" fontId="17" fillId="24" borderId="36" xfId="0" applyFont="1" applyFill="1" applyBorder="1" applyAlignment="1">
      <alignment vertical="center" wrapText="1"/>
    </xf>
    <xf numFmtId="0" fontId="6" fillId="0" borderId="35" xfId="0" applyFont="1" applyBorder="1" applyAlignment="1">
      <alignment horizontal="left" vertical="top" wrapText="1"/>
    </xf>
    <xf numFmtId="0" fontId="6" fillId="0" borderId="35" xfId="0" applyFont="1" applyBorder="1" applyAlignment="1">
      <alignment vertical="center" wrapText="1"/>
    </xf>
    <xf numFmtId="0" fontId="6" fillId="24" borderId="56" xfId="0" applyFont="1" applyFill="1" applyBorder="1" applyAlignment="1">
      <alignment vertical="center" wrapText="1"/>
    </xf>
    <xf numFmtId="0" fontId="6" fillId="0" borderId="34" xfId="0" applyFont="1" applyBorder="1" applyAlignment="1">
      <alignment horizontal="left" vertical="top" wrapText="1"/>
    </xf>
    <xf numFmtId="0" fontId="6" fillId="24" borderId="39" xfId="0" applyFont="1" applyFill="1" applyBorder="1" applyAlignment="1">
      <alignment vertical="top" wrapText="1"/>
    </xf>
    <xf numFmtId="0" fontId="6" fillId="24" borderId="34" xfId="0" applyFont="1" applyFill="1" applyBorder="1" applyAlignment="1">
      <alignment vertical="top" wrapText="1"/>
    </xf>
    <xf numFmtId="0" fontId="44" fillId="0" borderId="1" xfId="0" applyFont="1" applyBorder="1"/>
    <xf numFmtId="0" fontId="6" fillId="0" borderId="75" xfId="0" applyFont="1" applyBorder="1" applyAlignment="1">
      <alignment horizontal="left" vertical="center" wrapText="1"/>
    </xf>
    <xf numFmtId="0" fontId="6" fillId="24" borderId="1" xfId="0" applyFont="1" applyFill="1" applyBorder="1" applyAlignment="1">
      <alignment vertical="center" wrapText="1"/>
    </xf>
    <xf numFmtId="0" fontId="6" fillId="0" borderId="77" xfId="0" applyFont="1" applyBorder="1" applyAlignment="1">
      <alignment horizontal="left" vertical="center" wrapText="1"/>
    </xf>
    <xf numFmtId="0" fontId="6" fillId="0" borderId="76" xfId="0" applyFont="1" applyBorder="1" applyAlignment="1">
      <alignment horizontal="left" vertical="center" wrapText="1"/>
    </xf>
    <xf numFmtId="0" fontId="0" fillId="0" borderId="1" xfId="0" applyBorder="1" applyAlignment="1" applyProtection="1">
      <alignment wrapText="1"/>
      <protection locked="0"/>
    </xf>
    <xf numFmtId="0" fontId="1" fillId="0" borderId="1" xfId="0" applyFont="1" applyBorder="1" applyAlignment="1">
      <alignment horizontal="left"/>
    </xf>
    <xf numFmtId="0" fontId="1" fillId="0" borderId="1" xfId="0" applyFont="1" applyBorder="1" applyAlignment="1">
      <alignment horizontal="left" vertical="top" wrapText="1"/>
    </xf>
    <xf numFmtId="0" fontId="17" fillId="0" borderId="100" xfId="0" applyFont="1"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0" fillId="0" borderId="0" xfId="0" applyBorder="1" applyProtection="1">
      <protection locked="0"/>
    </xf>
    <xf numFmtId="0" fontId="0" fillId="8" borderId="64" xfId="0" applyFill="1" applyBorder="1" applyProtection="1">
      <protection locked="0"/>
    </xf>
    <xf numFmtId="0" fontId="34" fillId="21" borderId="0" xfId="0" applyFont="1" applyFill="1" applyBorder="1" applyAlignment="1" applyProtection="1">
      <alignment horizontal="center"/>
      <protection locked="0"/>
    </xf>
    <xf numFmtId="0" fontId="0" fillId="0" borderId="78" xfId="0" applyBorder="1" applyProtection="1">
      <protection locked="0"/>
    </xf>
    <xf numFmtId="0" fontId="0" fillId="0" borderId="80" xfId="0" applyBorder="1" applyProtection="1">
      <protection locked="0"/>
    </xf>
    <xf numFmtId="0" fontId="0" fillId="0" borderId="81" xfId="0" applyBorder="1" applyProtection="1">
      <protection locked="0"/>
    </xf>
    <xf numFmtId="0" fontId="0" fillId="0" borderId="82" xfId="0" applyBorder="1" applyProtection="1">
      <protection locked="0"/>
    </xf>
    <xf numFmtId="0" fontId="0" fillId="21" borderId="0" xfId="0" applyFill="1" applyProtection="1">
      <protection locked="0"/>
    </xf>
    <xf numFmtId="0" fontId="0" fillId="0" borderId="80" xfId="0" applyBorder="1" applyAlignment="1" applyProtection="1">
      <alignment wrapText="1"/>
      <protection locked="0"/>
    </xf>
    <xf numFmtId="0" fontId="0" fillId="0" borderId="99" xfId="0" applyBorder="1" applyProtection="1">
      <protection locked="0"/>
    </xf>
    <xf numFmtId="0" fontId="0" fillId="0" borderId="1" xfId="0" applyBorder="1" applyProtection="1">
      <protection locked="0"/>
    </xf>
    <xf numFmtId="0" fontId="0" fillId="0" borderId="72" xfId="0" applyBorder="1" applyProtection="1">
      <protection locked="0"/>
    </xf>
    <xf numFmtId="0" fontId="0" fillId="0" borderId="69" xfId="0" applyBorder="1" applyProtection="1">
      <protection locked="0"/>
    </xf>
    <xf numFmtId="0" fontId="0" fillId="0" borderId="69" xfId="0" applyBorder="1" applyAlignment="1" applyProtection="1">
      <alignment wrapText="1"/>
      <protection locked="0"/>
    </xf>
    <xf numFmtId="0" fontId="0" fillId="0" borderId="70" xfId="0" applyBorder="1" applyProtection="1">
      <protection locked="0"/>
    </xf>
    <xf numFmtId="0" fontId="28" fillId="3" borderId="65" xfId="0" applyFont="1" applyFill="1" applyBorder="1" applyProtection="1"/>
    <xf numFmtId="0" fontId="28" fillId="3" borderId="66" xfId="0" applyFont="1" applyFill="1" applyBorder="1" applyProtection="1"/>
    <xf numFmtId="0" fontId="29" fillId="3" borderId="66" xfId="0" applyFont="1" applyFill="1" applyBorder="1" applyAlignment="1" applyProtection="1">
      <alignment horizontal="center" wrapText="1"/>
    </xf>
    <xf numFmtId="0" fontId="33" fillId="31" borderId="68" xfId="0" applyFont="1" applyFill="1" applyBorder="1" applyAlignment="1" applyProtection="1">
      <alignment horizontal="center" vertical="center" wrapText="1"/>
    </xf>
    <xf numFmtId="0" fontId="30" fillId="0" borderId="69" xfId="0" applyFont="1" applyBorder="1" applyAlignment="1" applyProtection="1">
      <alignment horizontal="center" vertical="center"/>
    </xf>
    <xf numFmtId="0" fontId="30" fillId="0" borderId="69" xfId="0" applyFont="1" applyBorder="1" applyAlignment="1" applyProtection="1">
      <alignment horizontal="center" vertical="center" wrapText="1"/>
    </xf>
    <xf numFmtId="0" fontId="0" fillId="0" borderId="0" xfId="0" applyProtection="1"/>
    <xf numFmtId="0" fontId="0" fillId="0" borderId="0" xfId="0" applyAlignment="1" applyProtection="1">
      <alignment wrapText="1"/>
    </xf>
    <xf numFmtId="0" fontId="27" fillId="9" borderId="1" xfId="0" applyFont="1" applyFill="1" applyBorder="1" applyAlignment="1" applyProtection="1">
      <alignment vertical="center" wrapText="1"/>
    </xf>
    <xf numFmtId="0" fontId="30" fillId="0" borderId="1" xfId="0" applyFont="1" applyBorder="1" applyAlignment="1" applyProtection="1">
      <alignment horizontal="center" vertical="center"/>
    </xf>
    <xf numFmtId="0" fontId="30" fillId="0" borderId="1" xfId="0" applyFont="1" applyBorder="1" applyAlignment="1" applyProtection="1">
      <alignment horizontal="center" vertical="center" wrapText="1"/>
    </xf>
    <xf numFmtId="0" fontId="33" fillId="31" borderId="1" xfId="0" applyFont="1" applyFill="1" applyBorder="1" applyAlignment="1" applyProtection="1">
      <alignment horizontal="center" vertical="center" wrapText="1"/>
    </xf>
    <xf numFmtId="0" fontId="33" fillId="31" borderId="73" xfId="0" applyFont="1" applyFill="1" applyBorder="1" applyAlignment="1" applyProtection="1">
      <alignment vertical="center" wrapText="1"/>
    </xf>
    <xf numFmtId="0" fontId="33" fillId="31" borderId="74" xfId="0" applyFont="1" applyFill="1" applyBorder="1" applyAlignment="1" applyProtection="1">
      <alignment vertical="center" wrapText="1"/>
    </xf>
    <xf numFmtId="0" fontId="30" fillId="0" borderId="2" xfId="0" applyFont="1" applyBorder="1" applyAlignment="1" applyProtection="1">
      <alignment horizontal="center" vertical="center"/>
    </xf>
    <xf numFmtId="0" fontId="33" fillId="28" borderId="68" xfId="0" applyFont="1" applyFill="1" applyBorder="1" applyAlignment="1" applyProtection="1">
      <alignment horizontal="center" vertical="center" wrapText="1"/>
    </xf>
    <xf numFmtId="0" fontId="29" fillId="3" borderId="67" xfId="0" applyFont="1" applyFill="1" applyBorder="1" applyAlignment="1" applyProtection="1">
      <alignment horizontal="center" wrapText="1"/>
    </xf>
    <xf numFmtId="0" fontId="30" fillId="0" borderId="5" xfId="0" applyFont="1" applyBorder="1" applyAlignment="1" applyProtection="1">
      <alignment horizontal="left" vertical="center" wrapText="1"/>
    </xf>
    <xf numFmtId="0" fontId="30" fillId="0" borderId="70" xfId="0" applyFont="1" applyBorder="1" applyAlignment="1" applyProtection="1">
      <alignment horizontal="left" vertical="center" wrapText="1"/>
    </xf>
    <xf numFmtId="0" fontId="1" fillId="0" borderId="2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1" xfId="0" applyFont="1" applyBorder="1" applyAlignment="1">
      <alignment horizontal="left" vertical="center" wrapText="1"/>
    </xf>
    <xf numFmtId="0" fontId="1" fillId="12" borderId="21" xfId="0" applyFont="1" applyFill="1" applyBorder="1" applyAlignment="1">
      <alignment horizontal="center" vertical="center" wrapText="1"/>
    </xf>
    <xf numFmtId="0" fontId="1" fillId="12" borderId="33" xfId="0" applyFont="1" applyFill="1" applyBorder="1" applyAlignment="1">
      <alignment horizontal="center" vertical="center" wrapText="1"/>
    </xf>
    <xf numFmtId="0" fontId="1" fillId="0" borderId="35" xfId="0" applyFont="1" applyBorder="1" applyAlignment="1">
      <alignment horizontal="center" vertical="center" wrapText="1"/>
    </xf>
    <xf numFmtId="0" fontId="6" fillId="0" borderId="3" xfId="0" applyFont="1" applyBorder="1" applyAlignment="1">
      <alignment horizontal="left"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0" xfId="0" applyFont="1" applyBorder="1" applyAlignment="1">
      <alignment vertical="center" wrapText="1"/>
    </xf>
    <xf numFmtId="0" fontId="2" fillId="0" borderId="9" xfId="0" applyFont="1" applyBorder="1" applyAlignment="1">
      <alignment horizontal="center" vertical="center" wrapText="1"/>
    </xf>
    <xf numFmtId="165" fontId="2" fillId="0" borderId="8" xfId="0" applyNumberFormat="1" applyFont="1" applyBorder="1" applyAlignment="1">
      <alignment horizontal="center" vertical="center"/>
    </xf>
    <xf numFmtId="0" fontId="1" fillId="0" borderId="3" xfId="0" applyFont="1" applyBorder="1" applyAlignment="1">
      <alignment vertical="center" wrapText="1"/>
    </xf>
    <xf numFmtId="0" fontId="6" fillId="0" borderId="10" xfId="0" applyFont="1" applyFill="1" applyBorder="1" applyAlignment="1">
      <alignment vertical="center" wrapText="1"/>
    </xf>
    <xf numFmtId="0" fontId="6" fillId="0" borderId="14" xfId="0" applyFont="1" applyFill="1" applyBorder="1" applyAlignment="1">
      <alignment vertical="center" wrapText="1"/>
    </xf>
    <xf numFmtId="0" fontId="12" fillId="0" borderId="1" xfId="0" applyFont="1" applyBorder="1" applyAlignment="1">
      <alignment vertical="center" wrapText="1"/>
    </xf>
    <xf numFmtId="0" fontId="1" fillId="0" borderId="16" xfId="0" applyFont="1" applyBorder="1" applyAlignment="1">
      <alignment horizontal="left" vertical="center" wrapText="1"/>
    </xf>
    <xf numFmtId="0" fontId="0" fillId="12" borderId="16" xfId="0" applyFill="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Fill="1" applyBorder="1" applyAlignment="1">
      <alignment horizontal="center" vertical="center" wrapText="1"/>
    </xf>
    <xf numFmtId="0" fontId="6" fillId="0" borderId="16" xfId="0" applyFont="1" applyFill="1" applyBorder="1" applyAlignment="1">
      <alignment horizontal="left" vertical="center" wrapText="1"/>
    </xf>
    <xf numFmtId="0" fontId="6" fillId="0" borderId="16" xfId="0" applyFont="1" applyBorder="1" applyAlignment="1">
      <alignment horizontal="left" vertical="center" wrapText="1"/>
    </xf>
    <xf numFmtId="0" fontId="1" fillId="0" borderId="16" xfId="0" applyFont="1" applyBorder="1" applyAlignment="1">
      <alignment horizontal="center" vertical="center" wrapText="1"/>
    </xf>
    <xf numFmtId="0" fontId="33" fillId="31" borderId="71" xfId="0" applyFont="1" applyFill="1" applyBorder="1" applyAlignment="1" applyProtection="1">
      <alignment horizontal="center" vertical="center" wrapText="1"/>
    </xf>
    <xf numFmtId="0" fontId="0" fillId="0" borderId="0" xfId="0" quotePrefix="1" applyAlignment="1" applyProtection="1">
      <alignment wrapText="1"/>
      <protection locked="0"/>
    </xf>
    <xf numFmtId="0" fontId="32" fillId="3" borderId="66" xfId="0" applyFont="1" applyFill="1" applyBorder="1" applyAlignment="1" applyProtection="1">
      <alignment horizontal="center" wrapText="1"/>
    </xf>
    <xf numFmtId="0" fontId="49" fillId="3" borderId="66" xfId="0" applyFont="1" applyFill="1" applyBorder="1" applyAlignment="1" applyProtection="1">
      <alignment horizontal="center" wrapText="1"/>
    </xf>
    <xf numFmtId="0" fontId="0" fillId="0" borderId="60" xfId="0" applyBorder="1" applyProtection="1"/>
    <xf numFmtId="0" fontId="0" fillId="0" borderId="106" xfId="0" applyBorder="1" applyProtection="1"/>
    <xf numFmtId="0" fontId="0" fillId="0" borderId="103" xfId="0" applyBorder="1" applyProtection="1"/>
    <xf numFmtId="0" fontId="0" fillId="0" borderId="89" xfId="0" applyBorder="1" applyProtection="1"/>
    <xf numFmtId="0" fontId="0" fillId="0" borderId="83" xfId="0" applyBorder="1" applyProtection="1"/>
    <xf numFmtId="0" fontId="0" fillId="0" borderId="2" xfId="0" applyBorder="1" applyProtection="1">
      <protection locked="0"/>
    </xf>
    <xf numFmtId="0" fontId="0" fillId="0" borderId="2" xfId="0" applyBorder="1" applyAlignment="1" applyProtection="1">
      <alignment wrapText="1"/>
      <protection locked="0"/>
    </xf>
    <xf numFmtId="0" fontId="0" fillId="0" borderId="107" xfId="0" applyBorder="1" applyProtection="1">
      <protection locked="0"/>
    </xf>
    <xf numFmtId="0" fontId="27" fillId="9" borderId="7" xfId="0" applyFont="1" applyFill="1" applyBorder="1" applyAlignment="1" applyProtection="1">
      <alignment vertical="center" wrapText="1"/>
      <protection locked="0"/>
    </xf>
    <xf numFmtId="0" fontId="27" fillId="9" borderId="10" xfId="0" applyFont="1" applyFill="1" applyBorder="1" applyAlignment="1" applyProtection="1">
      <alignment vertical="center" wrapText="1"/>
      <protection locked="0"/>
    </xf>
    <xf numFmtId="0" fontId="27" fillId="9" borderId="108" xfId="0" applyFont="1" applyFill="1" applyBorder="1" applyAlignment="1" applyProtection="1">
      <alignment vertical="center" wrapText="1"/>
      <protection locked="0"/>
    </xf>
    <xf numFmtId="0" fontId="28" fillId="3" borderId="109" xfId="0" applyFont="1" applyFill="1" applyBorder="1" applyAlignment="1" applyProtection="1">
      <alignment wrapText="1"/>
    </xf>
    <xf numFmtId="0" fontId="0" fillId="0" borderId="89" xfId="0" applyBorder="1" applyProtection="1">
      <protection locked="0"/>
    </xf>
    <xf numFmtId="0" fontId="25" fillId="26" borderId="1" xfId="0" applyFont="1" applyFill="1" applyBorder="1" applyAlignment="1">
      <alignment horizontal="left" vertical="center" wrapText="1"/>
    </xf>
    <xf numFmtId="0" fontId="25" fillId="26" borderId="53" xfId="0" applyFont="1" applyFill="1" applyBorder="1" applyAlignment="1">
      <alignment vertical="center" wrapText="1"/>
    </xf>
    <xf numFmtId="0" fontId="25" fillId="26" borderId="53" xfId="0" applyFont="1" applyFill="1" applyBorder="1" applyAlignment="1">
      <alignment horizontal="center" vertical="center" wrapText="1"/>
    </xf>
    <xf numFmtId="0" fontId="19" fillId="30" borderId="54" xfId="0" applyFont="1" applyFill="1" applyBorder="1" applyAlignment="1">
      <alignment vertical="center" wrapText="1"/>
    </xf>
    <xf numFmtId="0" fontId="25" fillId="27" borderId="1" xfId="0" applyFont="1" applyFill="1" applyBorder="1" applyAlignment="1">
      <alignment horizontal="left" vertical="center"/>
    </xf>
    <xf numFmtId="0" fontId="25" fillId="27" borderId="16" xfId="0" applyFont="1" applyFill="1" applyBorder="1" applyAlignment="1">
      <alignment horizontal="center" vertical="center"/>
    </xf>
    <xf numFmtId="0" fontId="17" fillId="0" borderId="1" xfId="0" applyFont="1" applyBorder="1" applyAlignment="1">
      <alignment horizontal="left" vertical="center" wrapText="1"/>
    </xf>
    <xf numFmtId="0" fontId="17" fillId="0" borderId="16" xfId="0" applyFont="1" applyBorder="1" applyAlignment="1">
      <alignment horizontal="center" vertical="center" wrapText="1"/>
    </xf>
    <xf numFmtId="0" fontId="17" fillId="0" borderId="39" xfId="0" applyFont="1" applyBorder="1" applyAlignment="1">
      <alignment vertical="center" wrapText="1"/>
    </xf>
    <xf numFmtId="0" fontId="17" fillId="24" borderId="16" xfId="0" applyFont="1" applyFill="1" applyBorder="1" applyAlignment="1">
      <alignment horizontal="center" vertical="center"/>
    </xf>
    <xf numFmtId="0" fontId="1" fillId="0" borderId="4" xfId="0" applyFont="1" applyBorder="1" applyAlignment="1">
      <alignment horizontal="left" vertical="center" wrapText="1"/>
    </xf>
    <xf numFmtId="0" fontId="6" fillId="0" borderId="48" xfId="0" applyFont="1" applyBorder="1" applyAlignment="1">
      <alignment vertical="center" wrapText="1"/>
    </xf>
    <xf numFmtId="0" fontId="17" fillId="0" borderId="1" xfId="0" applyFont="1" applyBorder="1" applyAlignment="1">
      <alignment horizontal="center" vertical="center" wrapText="1"/>
    </xf>
    <xf numFmtId="0" fontId="6" fillId="24" borderId="16" xfId="0" applyFont="1" applyFill="1" applyBorder="1" applyAlignment="1">
      <alignment horizontal="center" vertical="center" wrapText="1"/>
    </xf>
    <xf numFmtId="0" fontId="6" fillId="24" borderId="21" xfId="0" applyFont="1" applyFill="1" applyBorder="1" applyAlignment="1">
      <alignment vertical="center" wrapText="1"/>
    </xf>
    <xf numFmtId="0" fontId="17" fillId="24" borderId="16" xfId="0" applyFont="1" applyFill="1" applyBorder="1" applyAlignment="1">
      <alignment horizontal="center" vertical="center" wrapText="1"/>
    </xf>
    <xf numFmtId="0" fontId="17" fillId="0" borderId="38" xfId="0" applyFont="1" applyBorder="1" applyAlignment="1">
      <alignment horizontal="center" vertical="center" wrapText="1"/>
    </xf>
    <xf numFmtId="0" fontId="17" fillId="24" borderId="1" xfId="0" applyFont="1" applyFill="1" applyBorder="1" applyAlignment="1">
      <alignment horizontal="left" vertical="center" wrapText="1"/>
    </xf>
    <xf numFmtId="0" fontId="17" fillId="22" borderId="21" xfId="0" applyFont="1" applyFill="1" applyBorder="1" applyAlignment="1">
      <alignment vertical="center" wrapText="1"/>
    </xf>
    <xf numFmtId="0" fontId="6" fillId="24" borderId="18" xfId="0" applyFont="1" applyFill="1" applyBorder="1" applyAlignment="1">
      <alignment horizontal="center" vertical="center" wrapText="1"/>
    </xf>
    <xf numFmtId="0" fontId="17" fillId="24" borderId="20" xfId="0" applyFont="1" applyFill="1" applyBorder="1" applyAlignment="1">
      <alignment horizontal="center" vertical="center" wrapText="1"/>
    </xf>
    <xf numFmtId="0" fontId="17" fillId="23" borderId="21" xfId="0" applyFont="1" applyFill="1" applyBorder="1" applyAlignment="1">
      <alignment vertical="center" wrapText="1"/>
    </xf>
    <xf numFmtId="0" fontId="6" fillId="24" borderId="21" xfId="0" applyFont="1" applyFill="1" applyBorder="1" applyAlignment="1">
      <alignment horizontal="center" vertical="center" wrapText="1"/>
    </xf>
    <xf numFmtId="0" fontId="17" fillId="24" borderId="21" xfId="0" applyFont="1" applyFill="1" applyBorder="1" applyAlignment="1">
      <alignment horizontal="center" vertical="center" wrapText="1"/>
    </xf>
    <xf numFmtId="0" fontId="6" fillId="23" borderId="21" xfId="0" applyFont="1" applyFill="1" applyBorder="1" applyAlignment="1">
      <alignment vertical="center" wrapText="1"/>
    </xf>
    <xf numFmtId="0" fontId="17" fillId="0" borderId="2" xfId="0" applyFont="1" applyBorder="1" applyAlignment="1">
      <alignment horizontal="left" vertical="center" wrapText="1"/>
    </xf>
    <xf numFmtId="0" fontId="0" fillId="0" borderId="0" xfId="0" applyAlignment="1">
      <alignment horizontal="center" vertical="center"/>
    </xf>
    <xf numFmtId="0" fontId="17" fillId="24" borderId="2" xfId="0" applyFont="1" applyFill="1" applyBorder="1" applyAlignment="1">
      <alignment horizontal="left" vertical="center" wrapText="1"/>
    </xf>
    <xf numFmtId="0" fontId="17" fillId="0" borderId="21" xfId="0" applyFont="1" applyBorder="1" applyAlignment="1">
      <alignment horizontal="center" vertical="center"/>
    </xf>
    <xf numFmtId="0" fontId="17" fillId="0" borderId="16" xfId="0" applyFont="1" applyBorder="1" applyAlignment="1">
      <alignment horizontal="center" vertical="center"/>
    </xf>
    <xf numFmtId="0" fontId="17" fillId="24" borderId="21" xfId="0" applyFont="1" applyFill="1" applyBorder="1" applyAlignment="1">
      <alignment vertical="center"/>
    </xf>
    <xf numFmtId="0" fontId="17" fillId="24" borderId="27" xfId="0" applyFont="1" applyFill="1" applyBorder="1" applyAlignment="1">
      <alignment horizontal="center" vertical="center"/>
    </xf>
    <xf numFmtId="0" fontId="6" fillId="0" borderId="2" xfId="0" applyFont="1" applyBorder="1" applyAlignment="1">
      <alignment horizontal="left" vertical="top" wrapText="1"/>
    </xf>
    <xf numFmtId="0" fontId="17" fillId="24" borderId="21" xfId="0" applyFont="1" applyFill="1" applyBorder="1" applyAlignment="1">
      <alignment vertical="top" wrapText="1"/>
    </xf>
    <xf numFmtId="0" fontId="6" fillId="24" borderId="21" xfId="0" applyFont="1" applyFill="1" applyBorder="1" applyAlignment="1">
      <alignment vertical="top" wrapText="1"/>
    </xf>
    <xf numFmtId="0" fontId="17" fillId="24" borderId="1" xfId="0" applyFont="1" applyFill="1" applyBorder="1" applyAlignment="1">
      <alignment horizontal="left" vertical="top" wrapText="1"/>
    </xf>
    <xf numFmtId="0" fontId="17" fillId="0" borderId="1" xfId="0" applyFont="1" applyBorder="1" applyAlignment="1">
      <alignment horizontal="left" vertical="top" wrapText="1"/>
    </xf>
    <xf numFmtId="0" fontId="17" fillId="0" borderId="2" xfId="0" applyFont="1" applyBorder="1" applyAlignment="1">
      <alignment horizontal="left" vertical="top" wrapText="1"/>
    </xf>
    <xf numFmtId="0" fontId="17" fillId="24" borderId="39" xfId="0" applyFont="1" applyFill="1" applyBorder="1" applyAlignment="1">
      <alignment vertical="top" wrapText="1"/>
    </xf>
    <xf numFmtId="0" fontId="17" fillId="0" borderId="21" xfId="0" applyFont="1" applyBorder="1" applyAlignment="1">
      <alignment vertical="top" wrapText="1"/>
    </xf>
    <xf numFmtId="0" fontId="17" fillId="0" borderId="53" xfId="0" applyFont="1" applyBorder="1" applyAlignment="1">
      <alignment horizontal="left" vertical="center" wrapText="1"/>
    </xf>
    <xf numFmtId="0" fontId="17" fillId="0" borderId="53" xfId="0" applyFont="1" applyBorder="1" applyAlignment="1">
      <alignment horizontal="center" vertical="center"/>
    </xf>
    <xf numFmtId="0" fontId="17" fillId="0" borderId="34" xfId="0" applyFont="1" applyBorder="1" applyAlignment="1">
      <alignment horizontal="left" vertical="center"/>
    </xf>
    <xf numFmtId="0" fontId="1" fillId="0" borderId="0" xfId="0" applyFont="1" applyAlignment="1">
      <alignment wrapText="1"/>
    </xf>
    <xf numFmtId="0" fontId="6" fillId="0" borderId="20" xfId="0" applyFont="1" applyBorder="1" applyAlignment="1">
      <alignment vertical="center" wrapText="1"/>
    </xf>
    <xf numFmtId="0" fontId="6" fillId="0" borderId="5" xfId="0" applyFont="1" applyBorder="1" applyAlignment="1">
      <alignment vertical="center" wrapText="1"/>
    </xf>
    <xf numFmtId="0" fontId="0" fillId="0" borderId="0" xfId="0" applyBorder="1" applyAlignment="1" applyProtection="1">
      <alignment wrapText="1"/>
      <protection locked="0"/>
    </xf>
    <xf numFmtId="0" fontId="32" fillId="3" borderId="67" xfId="0" applyFont="1" applyFill="1" applyBorder="1" applyAlignment="1" applyProtection="1">
      <alignment horizontal="center" wrapText="1"/>
    </xf>
    <xf numFmtId="0" fontId="0" fillId="0" borderId="61" xfId="0" applyBorder="1" applyProtection="1"/>
    <xf numFmtId="0" fontId="51" fillId="13" borderId="98" xfId="0" applyFont="1" applyFill="1" applyBorder="1" applyAlignment="1">
      <alignment horizontal="left" vertical="center" wrapText="1"/>
    </xf>
    <xf numFmtId="0" fontId="51" fillId="13" borderId="96" xfId="0" applyFont="1" applyFill="1" applyBorder="1" applyAlignment="1">
      <alignment horizontal="left" vertical="center" wrapText="1"/>
    </xf>
    <xf numFmtId="0" fontId="51" fillId="13" borderId="97" xfId="0" applyFont="1" applyFill="1" applyBorder="1" applyAlignment="1">
      <alignment horizontal="left" vertical="center"/>
    </xf>
    <xf numFmtId="0" fontId="51" fillId="13" borderId="97" xfId="0" applyFont="1" applyFill="1" applyBorder="1" applyAlignment="1">
      <alignment horizontal="left" vertical="center" wrapText="1"/>
    </xf>
    <xf numFmtId="0" fontId="6" fillId="34" borderId="16" xfId="0" applyFont="1" applyFill="1" applyBorder="1" applyAlignment="1" applyProtection="1">
      <alignment vertical="center" wrapText="1"/>
      <protection locked="0"/>
    </xf>
    <xf numFmtId="0" fontId="6" fillId="34" borderId="16" xfId="0" applyFont="1" applyFill="1" applyBorder="1" applyAlignment="1">
      <alignment vertical="center" wrapText="1"/>
    </xf>
    <xf numFmtId="0" fontId="6" fillId="34" borderId="42" xfId="0" applyFont="1" applyFill="1" applyBorder="1" applyAlignment="1">
      <alignment vertical="center"/>
    </xf>
    <xf numFmtId="0" fontId="6" fillId="34" borderId="27" xfId="0" applyFont="1" applyFill="1" applyBorder="1" applyAlignment="1" applyProtection="1">
      <alignment vertical="center" wrapText="1"/>
      <protection locked="0"/>
    </xf>
    <xf numFmtId="0" fontId="6" fillId="34" borderId="1" xfId="0" applyFont="1" applyFill="1" applyBorder="1" applyAlignment="1">
      <alignment vertical="center" wrapText="1"/>
    </xf>
    <xf numFmtId="0" fontId="6" fillId="34" borderId="18" xfId="0" applyFont="1" applyFill="1" applyBorder="1" applyAlignment="1">
      <alignment vertical="center" wrapText="1"/>
    </xf>
    <xf numFmtId="0" fontId="6" fillId="21" borderId="33" xfId="0" applyFont="1" applyFill="1" applyBorder="1" applyAlignment="1">
      <alignment horizontal="left" vertical="center" wrapText="1"/>
    </xf>
    <xf numFmtId="0" fontId="6" fillId="34" borderId="1" xfId="0" applyFont="1" applyFill="1" applyBorder="1" applyAlignment="1">
      <alignment vertical="center"/>
    </xf>
    <xf numFmtId="0" fontId="6" fillId="34" borderId="1" xfId="0" quotePrefix="1" applyFont="1" applyFill="1" applyBorder="1" applyAlignment="1">
      <alignment vertical="center" wrapText="1"/>
    </xf>
    <xf numFmtId="0" fontId="17" fillId="0" borderId="2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1" xfId="0" applyFont="1" applyBorder="1" applyAlignment="1">
      <alignment horizontal="left" vertical="center" wrapText="1"/>
    </xf>
    <xf numFmtId="0" fontId="6" fillId="0" borderId="2" xfId="0" applyFont="1" applyBorder="1" applyAlignment="1">
      <alignment horizontal="left" vertical="center" wrapText="1"/>
    </xf>
    <xf numFmtId="0" fontId="6" fillId="0" borderId="16" xfId="0" applyFont="1" applyBorder="1" applyAlignment="1">
      <alignment horizontal="center" vertical="center" wrapText="1"/>
    </xf>
    <xf numFmtId="0" fontId="6" fillId="0" borderId="16" xfId="0" applyFont="1" applyBorder="1" applyAlignment="1">
      <alignment horizontal="left" vertical="center" wrapText="1"/>
    </xf>
    <xf numFmtId="0" fontId="6" fillId="0" borderId="21" xfId="0" applyFont="1" applyBorder="1" applyAlignment="1">
      <alignment vertical="center" wrapText="1"/>
    </xf>
    <xf numFmtId="0" fontId="6" fillId="0" borderId="33" xfId="0" applyFont="1" applyBorder="1" applyAlignment="1">
      <alignment vertical="center" wrapText="1"/>
    </xf>
    <xf numFmtId="0" fontId="17" fillId="0" borderId="21" xfId="0" applyFont="1" applyBorder="1" applyAlignment="1">
      <alignment horizontal="left" vertical="center" wrapText="1"/>
    </xf>
    <xf numFmtId="0" fontId="6" fillId="34" borderId="1" xfId="0" applyFont="1" applyFill="1" applyBorder="1" applyAlignment="1">
      <alignment horizontal="left" vertical="center" wrapText="1"/>
    </xf>
    <xf numFmtId="0" fontId="6" fillId="34" borderId="1" xfId="0" applyFont="1" applyFill="1" applyBorder="1" applyAlignment="1" applyProtection="1">
      <alignment horizontal="left" vertical="center" wrapText="1"/>
      <protection locked="0"/>
    </xf>
    <xf numFmtId="0" fontId="0" fillId="0" borderId="0" xfId="0" applyAlignment="1">
      <alignment horizontal="left" vertical="center" wrapText="1"/>
    </xf>
    <xf numFmtId="0" fontId="52" fillId="0" borderId="0" xfId="0" applyFont="1" applyAlignment="1">
      <alignment horizontal="left" vertical="center" wrapText="1"/>
    </xf>
    <xf numFmtId="0" fontId="53" fillId="0" borderId="0" xfId="0" applyFont="1" applyAlignment="1">
      <alignment horizontal="left" vertical="center" wrapText="1" readingOrder="1"/>
    </xf>
    <xf numFmtId="0" fontId="54"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horizontal="left" vertical="center"/>
    </xf>
    <xf numFmtId="0" fontId="52" fillId="0" borderId="0" xfId="0" applyFont="1" applyAlignment="1" applyProtection="1">
      <alignment horizontal="left" vertical="center" wrapText="1"/>
      <protection locked="0"/>
    </xf>
    <xf numFmtId="0" fontId="0" fillId="0" borderId="0" xfId="0" applyAlignment="1">
      <alignment horizontal="left" vertical="center"/>
    </xf>
    <xf numFmtId="0" fontId="17" fillId="0" borderId="0" xfId="0" applyFont="1" applyAlignment="1">
      <alignment horizontal="left" vertical="center" wrapText="1"/>
    </xf>
    <xf numFmtId="0" fontId="6" fillId="0" borderId="0" xfId="0" applyFont="1" applyAlignment="1">
      <alignment horizontal="left" vertical="center" wrapText="1"/>
    </xf>
    <xf numFmtId="0" fontId="50" fillId="0" borderId="0" xfId="0" applyFont="1" applyAlignment="1">
      <alignment horizontal="left" vertical="center" wrapText="1"/>
    </xf>
    <xf numFmtId="0" fontId="54" fillId="0" borderId="0" xfId="0" applyFont="1"/>
    <xf numFmtId="0" fontId="58" fillId="0" borderId="0" xfId="0" applyFont="1" applyAlignment="1">
      <alignment horizontal="left" vertical="center" wrapText="1"/>
    </xf>
    <xf numFmtId="0" fontId="59" fillId="0" borderId="0" xfId="0" applyFont="1" applyAlignment="1">
      <alignment horizontal="left" vertical="center" wrapText="1"/>
    </xf>
    <xf numFmtId="0" fontId="0" fillId="16" borderId="0" xfId="0" applyFill="1" applyAlignment="1">
      <alignment horizontal="left" vertical="center" wrapText="1"/>
    </xf>
    <xf numFmtId="0" fontId="58" fillId="16" borderId="0" xfId="0" applyFont="1" applyFill="1" applyAlignment="1">
      <alignment horizontal="left" vertical="center" wrapText="1"/>
    </xf>
    <xf numFmtId="0" fontId="52" fillId="16" borderId="0" xfId="0" applyFont="1" applyFill="1" applyAlignment="1">
      <alignment horizontal="left" vertical="center" wrapText="1"/>
    </xf>
    <xf numFmtId="0" fontId="0" fillId="0" borderId="0" xfId="0" applyBorder="1" applyAlignment="1" applyProtection="1">
      <alignment vertical="top"/>
    </xf>
    <xf numFmtId="0" fontId="0" fillId="0" borderId="0" xfId="0" applyAlignment="1" applyProtection="1">
      <alignment vertical="top"/>
    </xf>
    <xf numFmtId="0" fontId="61" fillId="0" borderId="0" xfId="0" applyFont="1" applyAlignment="1">
      <alignment horizontal="left" vertical="center" wrapText="1"/>
    </xf>
    <xf numFmtId="0" fontId="62" fillId="0" borderId="0" xfId="0" applyFont="1" applyAlignment="1">
      <alignment vertical="center" wrapText="1"/>
    </xf>
    <xf numFmtId="0" fontId="60" fillId="0" borderId="0" xfId="3" applyAlignment="1">
      <alignment horizontal="left" vertical="center" wrapText="1"/>
    </xf>
    <xf numFmtId="0" fontId="60" fillId="0" borderId="0" xfId="3" applyAlignment="1">
      <alignment horizontal="left" vertical="center"/>
    </xf>
    <xf numFmtId="0" fontId="52" fillId="16" borderId="60" xfId="0" applyFont="1" applyFill="1" applyBorder="1" applyProtection="1"/>
    <xf numFmtId="0" fontId="52" fillId="0" borderId="106" xfId="0" applyFont="1" applyBorder="1" applyAlignment="1">
      <alignment vertical="top" wrapText="1"/>
    </xf>
    <xf numFmtId="0" fontId="62" fillId="0" borderId="0" xfId="0" applyFont="1" applyAlignment="1">
      <alignment vertical="top" wrapText="1"/>
    </xf>
    <xf numFmtId="0" fontId="19" fillId="30" borderId="53" xfId="0" applyFont="1" applyFill="1" applyBorder="1" applyAlignment="1">
      <alignment horizontal="center" vertical="center" wrapText="1"/>
    </xf>
    <xf numFmtId="0" fontId="17" fillId="0" borderId="0" xfId="0" applyFont="1" applyAlignment="1">
      <alignment horizontal="center" vertical="center" wrapText="1"/>
    </xf>
    <xf numFmtId="0" fontId="44" fillId="24" borderId="37" xfId="0" applyFont="1" applyFill="1" applyBorder="1" applyAlignment="1">
      <alignment vertical="center" wrapText="1"/>
    </xf>
    <xf numFmtId="0" fontId="17" fillId="0" borderId="59" xfId="0" applyFont="1" applyBorder="1"/>
    <xf numFmtId="0" fontId="17" fillId="0" borderId="37" xfId="0" applyFont="1" applyBorder="1"/>
    <xf numFmtId="0" fontId="6" fillId="0" borderId="37" xfId="0" applyFont="1" applyBorder="1"/>
    <xf numFmtId="0" fontId="6" fillId="0" borderId="1" xfId="0" applyFont="1" applyBorder="1" applyAlignment="1">
      <alignment horizontal="center" vertical="center"/>
    </xf>
    <xf numFmtId="0" fontId="6" fillId="0" borderId="1" xfId="0" applyFont="1" applyBorder="1"/>
    <xf numFmtId="0" fontId="0" fillId="0" borderId="0" xfId="0" applyAlignment="1">
      <alignment horizontal="left" vertical="top" wrapText="1"/>
    </xf>
    <xf numFmtId="0" fontId="0" fillId="0" borderId="0" xfId="0" applyAlignment="1">
      <alignment vertical="top" wrapText="1"/>
    </xf>
    <xf numFmtId="0" fontId="54" fillId="0" borderId="0" xfId="0" applyFont="1" applyAlignment="1">
      <alignment vertical="top" wrapText="1"/>
    </xf>
    <xf numFmtId="0" fontId="54" fillId="0" borderId="0" xfId="0" applyFont="1" applyAlignment="1">
      <alignment horizontal="left" vertical="top" wrapText="1"/>
    </xf>
    <xf numFmtId="0" fontId="51" fillId="13" borderId="67" xfId="0" applyFont="1" applyFill="1" applyBorder="1" applyAlignment="1" applyProtection="1">
      <alignment horizontal="left" vertical="center" wrapText="1"/>
      <protection locked="0"/>
    </xf>
    <xf numFmtId="0" fontId="6" fillId="0" borderId="16" xfId="0" applyFont="1" applyBorder="1" applyAlignment="1" applyProtection="1">
      <alignment vertical="center" wrapText="1"/>
      <protection locked="0"/>
    </xf>
    <xf numFmtId="0" fontId="6" fillId="0" borderId="33" xfId="0" applyFont="1" applyBorder="1" applyAlignment="1">
      <alignment vertical="center"/>
    </xf>
    <xf numFmtId="0" fontId="6" fillId="0" borderId="42" xfId="0" applyFont="1" applyBorder="1" applyAlignment="1">
      <alignment vertical="center"/>
    </xf>
    <xf numFmtId="0" fontId="6" fillId="0" borderId="21" xfId="0" quotePrefix="1" applyFont="1" applyBorder="1" applyAlignment="1">
      <alignment vertical="center" wrapText="1"/>
    </xf>
    <xf numFmtId="0" fontId="6" fillId="0" borderId="18" xfId="0" applyFont="1" applyBorder="1" applyAlignment="1" applyProtection="1">
      <alignment horizontal="left" vertical="center" wrapText="1"/>
      <protection locked="0"/>
    </xf>
    <xf numFmtId="0" fontId="6" fillId="0" borderId="42" xfId="0" applyFont="1" applyBorder="1" applyAlignment="1">
      <alignment horizontal="left" vertical="center" wrapText="1"/>
    </xf>
    <xf numFmtId="0" fontId="6" fillId="0" borderId="27" xfId="0" applyFont="1" applyBorder="1" applyAlignment="1" applyProtection="1">
      <alignment vertical="center" wrapText="1"/>
      <protection locked="0"/>
    </xf>
    <xf numFmtId="0" fontId="6" fillId="0" borderId="1" xfId="0" applyFont="1" applyBorder="1" applyAlignment="1">
      <alignment vertical="center"/>
    </xf>
    <xf numFmtId="0" fontId="6" fillId="0" borderId="84" xfId="0" applyFont="1" applyBorder="1" applyAlignment="1" applyProtection="1">
      <alignment vertical="center" wrapText="1"/>
      <protection locked="0"/>
    </xf>
    <xf numFmtId="0" fontId="6" fillId="0" borderId="69" xfId="0" quotePrefix="1" applyFont="1" applyBorder="1" applyAlignment="1">
      <alignment vertical="center" wrapText="1"/>
    </xf>
    <xf numFmtId="0" fontId="0" fillId="0" borderId="83" xfId="0" applyBorder="1" applyProtection="1">
      <protection locked="0"/>
    </xf>
    <xf numFmtId="0" fontId="63" fillId="0" borderId="0" xfId="0" applyFont="1" applyProtection="1"/>
    <xf numFmtId="0" fontId="34" fillId="0" borderId="0" xfId="0" applyFont="1" applyBorder="1" applyProtection="1"/>
    <xf numFmtId="0" fontId="35" fillId="29" borderId="60" xfId="0" applyFont="1" applyFill="1" applyBorder="1" applyAlignment="1" applyProtection="1">
      <alignment horizontal="center" wrapText="1"/>
    </xf>
    <xf numFmtId="0" fontId="37" fillId="0" borderId="0" xfId="4" applyFont="1" applyAlignment="1">
      <alignment vertical="center"/>
    </xf>
    <xf numFmtId="0" fontId="65" fillId="0" borderId="0" xfId="4"/>
    <xf numFmtId="0" fontId="38" fillId="0" borderId="0" xfId="4" applyFont="1" applyAlignment="1">
      <alignment vertical="center"/>
    </xf>
    <xf numFmtId="0" fontId="39" fillId="21" borderId="0" xfId="5" applyFont="1" applyFill="1"/>
    <xf numFmtId="0" fontId="39" fillId="0" borderId="0" xfId="4" applyFont="1" applyAlignment="1">
      <alignment vertical="center"/>
    </xf>
    <xf numFmtId="0" fontId="41" fillId="0" borderId="0" xfId="4" applyFont="1" applyAlignment="1">
      <alignment horizontal="left" vertical="center" wrapText="1"/>
    </xf>
    <xf numFmtId="0" fontId="46" fillId="0" borderId="101" xfId="4" applyFont="1" applyBorder="1"/>
    <xf numFmtId="0" fontId="46" fillId="0" borderId="102" xfId="4" applyFont="1" applyBorder="1"/>
    <xf numFmtId="0" fontId="46" fillId="0" borderId="103" xfId="4" applyFont="1" applyBorder="1"/>
    <xf numFmtId="0" fontId="65" fillId="0" borderId="0" xfId="4" applyAlignment="1">
      <alignment vertical="center"/>
    </xf>
    <xf numFmtId="0" fontId="40" fillId="0" borderId="0" xfId="6" applyFont="1" applyAlignment="1">
      <alignment vertical="center"/>
    </xf>
    <xf numFmtId="0" fontId="40" fillId="0" borderId="0" xfId="4" applyFont="1" applyAlignment="1">
      <alignment vertical="center"/>
    </xf>
    <xf numFmtId="0" fontId="47" fillId="0" borderId="0" xfId="4" applyFont="1"/>
    <xf numFmtId="0" fontId="43" fillId="0" borderId="0" xfId="4" applyFont="1"/>
    <xf numFmtId="0" fontId="41" fillId="0" borderId="0" xfId="4" applyFont="1" applyAlignment="1">
      <alignment vertical="center"/>
    </xf>
    <xf numFmtId="0" fontId="18" fillId="0" borderId="0" xfId="0" applyFont="1" applyAlignment="1" applyProtection="1">
      <alignment wrapText="1"/>
      <protection locked="0"/>
    </xf>
    <xf numFmtId="0" fontId="29" fillId="3" borderId="79" xfId="0" applyFont="1" applyFill="1" applyBorder="1" applyAlignment="1" applyProtection="1">
      <alignment horizontal="center" wrapText="1"/>
      <protection locked="0"/>
    </xf>
    <xf numFmtId="0" fontId="52" fillId="16" borderId="78" xfId="0" applyFont="1" applyFill="1" applyBorder="1" applyAlignment="1" applyProtection="1">
      <alignment horizontal="left" vertical="top" wrapText="1"/>
    </xf>
    <xf numFmtId="0" fontId="52" fillId="0" borderId="0" xfId="0" applyFont="1" applyAlignment="1" applyProtection="1">
      <alignment horizontal="left" vertical="center" wrapText="1"/>
    </xf>
    <xf numFmtId="0" fontId="0" fillId="0" borderId="60" xfId="0" applyFont="1" applyBorder="1" applyAlignment="1" applyProtection="1">
      <alignment horizontal="left" vertical="top" wrapText="1"/>
    </xf>
    <xf numFmtId="0" fontId="18" fillId="0" borderId="60" xfId="0" applyFont="1" applyBorder="1" applyAlignment="1" applyProtection="1">
      <alignment vertical="top" wrapText="1"/>
    </xf>
    <xf numFmtId="0" fontId="18" fillId="0" borderId="106" xfId="0" applyFont="1" applyBorder="1" applyAlignment="1" applyProtection="1">
      <alignment wrapText="1"/>
    </xf>
    <xf numFmtId="0" fontId="0" fillId="0" borderId="106" xfId="0" applyFont="1" applyBorder="1" applyAlignment="1" applyProtection="1">
      <alignment horizontal="left" vertical="top" wrapText="1"/>
    </xf>
    <xf numFmtId="0" fontId="18" fillId="0" borderId="60" xfId="0" applyFont="1" applyBorder="1" applyAlignment="1" applyProtection="1">
      <alignment wrapText="1"/>
    </xf>
    <xf numFmtId="0" fontId="0" fillId="0" borderId="61" xfId="0" applyBorder="1" applyAlignment="1" applyProtection="1">
      <alignment wrapText="1"/>
    </xf>
    <xf numFmtId="0" fontId="0" fillId="0" borderId="106" xfId="0" applyFont="1" applyBorder="1" applyAlignment="1" applyProtection="1">
      <alignment vertical="top" wrapText="1"/>
    </xf>
    <xf numFmtId="0" fontId="0" fillId="0" borderId="0" xfId="0" applyBorder="1" applyProtection="1"/>
    <xf numFmtId="0" fontId="0" fillId="0" borderId="61" xfId="0" applyFont="1" applyBorder="1" applyAlignment="1" applyProtection="1">
      <alignment horizontal="left" vertical="top" wrapText="1"/>
    </xf>
    <xf numFmtId="0" fontId="18" fillId="0" borderId="61" xfId="0" applyFont="1" applyBorder="1" applyAlignment="1" applyProtection="1">
      <alignment vertical="top" wrapText="1"/>
    </xf>
    <xf numFmtId="0" fontId="0" fillId="12" borderId="21" xfId="0" applyFill="1" applyBorder="1" applyAlignment="1">
      <alignment horizontal="center" vertical="center" wrapText="1"/>
    </xf>
    <xf numFmtId="0" fontId="0" fillId="12" borderId="18" xfId="0" applyFill="1" applyBorder="1" applyAlignment="1">
      <alignment horizontal="center" vertical="center" wrapText="1"/>
    </xf>
    <xf numFmtId="0" fontId="17" fillId="0" borderId="21"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18"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18" xfId="0" applyFont="1" applyBorder="1" applyAlignment="1">
      <alignment horizontal="center" vertical="center" wrapText="1"/>
    </xf>
    <xf numFmtId="0" fontId="17" fillId="23" borderId="21" xfId="0" applyFont="1" applyFill="1" applyBorder="1" applyAlignment="1">
      <alignment horizontal="center" vertical="center" wrapText="1"/>
    </xf>
    <xf numFmtId="0" fontId="17" fillId="23" borderId="33" xfId="0" applyFont="1" applyFill="1" applyBorder="1" applyAlignment="1">
      <alignment horizontal="center" vertical="center" wrapText="1"/>
    </xf>
    <xf numFmtId="0" fontId="17" fillId="23" borderId="18" xfId="0" applyFont="1" applyFill="1" applyBorder="1" applyAlignment="1">
      <alignment horizontal="center" vertical="center" wrapText="1"/>
    </xf>
    <xf numFmtId="0" fontId="1" fillId="0" borderId="2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1"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2" fillId="0" borderId="21" xfId="0" applyFont="1" applyBorder="1" applyAlignment="1">
      <alignment horizontal="center" vertical="center" wrapText="1"/>
    </xf>
    <xf numFmtId="0" fontId="2" fillId="0" borderId="18"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6" xfId="0" applyFont="1" applyBorder="1" applyAlignment="1">
      <alignment horizontal="center" vertical="center" wrapText="1"/>
    </xf>
    <xf numFmtId="0" fontId="1" fillId="0" borderId="21" xfId="0" applyFont="1" applyBorder="1" applyAlignment="1">
      <alignment horizontal="center"/>
    </xf>
    <xf numFmtId="0" fontId="1" fillId="0" borderId="18" xfId="0" applyFont="1" applyBorder="1" applyAlignment="1">
      <alignment horizontal="center"/>
    </xf>
    <xf numFmtId="0" fontId="1" fillId="0" borderId="21" xfId="0" applyFont="1" applyBorder="1" applyAlignment="1">
      <alignment horizontal="left" vertical="center" wrapText="1"/>
    </xf>
    <xf numFmtId="0" fontId="1" fillId="0" borderId="33" xfId="0" applyFont="1" applyBorder="1" applyAlignment="1">
      <alignment horizontal="left" vertical="center" wrapText="1"/>
    </xf>
    <xf numFmtId="0" fontId="1" fillId="0" borderId="18" xfId="0" applyFont="1" applyBorder="1" applyAlignment="1">
      <alignment horizontal="left" vertical="center" wrapText="1"/>
    </xf>
    <xf numFmtId="0" fontId="6" fillId="16" borderId="21" xfId="0" applyFont="1" applyFill="1" applyBorder="1" applyAlignment="1">
      <alignment horizontal="center" vertical="center" wrapText="1"/>
    </xf>
    <xf numFmtId="0" fontId="6" fillId="16" borderId="18" xfId="0" applyFont="1" applyFill="1" applyBorder="1" applyAlignment="1">
      <alignment horizontal="center" vertical="center" wrapText="1"/>
    </xf>
    <xf numFmtId="0" fontId="1" fillId="12" borderId="21" xfId="0" applyFont="1" applyFill="1" applyBorder="1" applyAlignment="1">
      <alignment horizontal="center" vertical="center" wrapText="1"/>
    </xf>
    <xf numFmtId="0" fontId="1" fillId="12" borderId="18" xfId="0" applyFont="1" applyFill="1" applyBorder="1" applyAlignment="1">
      <alignment horizontal="center" vertical="center" wrapText="1"/>
    </xf>
    <xf numFmtId="0" fontId="1" fillId="21" borderId="21" xfId="0" applyFont="1" applyFill="1" applyBorder="1" applyAlignment="1">
      <alignment horizontal="center" vertical="center" wrapText="1"/>
    </xf>
    <xf numFmtId="0" fontId="1" fillId="21" borderId="18" xfId="0" applyFont="1" applyFill="1" applyBorder="1" applyAlignment="1">
      <alignment horizontal="center" vertical="center" wrapText="1"/>
    </xf>
    <xf numFmtId="0" fontId="1" fillId="12" borderId="33"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18" xfId="0" applyBorder="1" applyAlignment="1">
      <alignment horizontal="center" vertical="center" wrapText="1"/>
    </xf>
    <xf numFmtId="0" fontId="1" fillId="21" borderId="33" xfId="0" applyFont="1" applyFill="1" applyBorder="1" applyAlignment="1">
      <alignment horizontal="center" vertical="center" wrapText="1"/>
    </xf>
    <xf numFmtId="0" fontId="17" fillId="25" borderId="21" xfId="0" applyFont="1" applyFill="1" applyBorder="1" applyAlignment="1">
      <alignment horizontal="center" vertical="center" wrapText="1"/>
    </xf>
    <xf numFmtId="0" fontId="17" fillId="25" borderId="18" xfId="0" applyFont="1" applyFill="1" applyBorder="1" applyAlignment="1">
      <alignment horizontal="center" vertical="center" wrapText="1"/>
    </xf>
    <xf numFmtId="0" fontId="2" fillId="0" borderId="33" xfId="0" applyFont="1" applyBorder="1" applyAlignment="1">
      <alignment horizontal="center" vertical="center" wrapText="1"/>
    </xf>
    <xf numFmtId="0" fontId="17" fillId="22" borderId="21" xfId="0" applyFont="1" applyFill="1" applyBorder="1" applyAlignment="1">
      <alignment horizontal="center" vertical="center" wrapText="1"/>
    </xf>
    <xf numFmtId="0" fontId="17" fillId="22" borderId="18" xfId="0" applyFont="1" applyFill="1" applyBorder="1" applyAlignment="1">
      <alignment horizontal="center" vertical="center" wrapText="1"/>
    </xf>
    <xf numFmtId="0" fontId="6" fillId="0" borderId="20" xfId="0" applyFont="1" applyBorder="1" applyAlignment="1">
      <alignment horizontal="center" vertical="center" wrapText="1"/>
    </xf>
    <xf numFmtId="0" fontId="6" fillId="0" borderId="28"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6" xfId="0" applyFont="1" applyBorder="1" applyAlignment="1">
      <alignment horizontal="center" vertical="center" wrapText="1"/>
    </xf>
    <xf numFmtId="0" fontId="2" fillId="16" borderId="46" xfId="0" applyFont="1" applyFill="1" applyBorder="1" applyAlignment="1">
      <alignment horizontal="center" vertical="center"/>
    </xf>
    <xf numFmtId="0" fontId="6" fillId="0" borderId="34"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6" fillId="0" borderId="36" xfId="0"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0" borderId="18" xfId="0" applyFont="1" applyFill="1" applyBorder="1" applyAlignment="1">
      <alignment horizontal="center" vertical="center" wrapText="1"/>
    </xf>
    <xf numFmtId="0" fontId="1" fillId="0" borderId="35" xfId="0" applyFont="1" applyBorder="1" applyAlignment="1">
      <alignment horizontal="center" vertical="center" wrapText="1"/>
    </xf>
    <xf numFmtId="0" fontId="0" fillId="12" borderId="33" xfId="0" applyFill="1" applyBorder="1" applyAlignment="1">
      <alignment horizontal="center" vertical="center" wrapText="1"/>
    </xf>
    <xf numFmtId="0" fontId="6" fillId="0" borderId="33" xfId="0" applyFont="1" applyFill="1" applyBorder="1" applyAlignment="1">
      <alignment horizontal="center" vertical="center" wrapText="1"/>
    </xf>
    <xf numFmtId="0" fontId="6" fillId="0" borderId="21" xfId="0" applyFont="1" applyBorder="1" applyAlignment="1">
      <alignment horizontal="left" vertical="center" wrapText="1"/>
    </xf>
    <xf numFmtId="0" fontId="6" fillId="0" borderId="18" xfId="0" applyFont="1" applyBorder="1" applyAlignment="1">
      <alignment horizontal="left" vertical="center" wrapText="1"/>
    </xf>
    <xf numFmtId="0" fontId="24" fillId="21" borderId="21" xfId="0" applyFont="1" applyFill="1" applyBorder="1" applyAlignment="1">
      <alignment horizontal="center" vertical="center" wrapText="1"/>
    </xf>
    <xf numFmtId="0" fontId="24" fillId="21" borderId="33" xfId="0" applyFont="1" applyFill="1" applyBorder="1" applyAlignment="1">
      <alignment horizontal="center" vertical="center" wrapText="1"/>
    </xf>
    <xf numFmtId="0" fontId="24" fillId="21" borderId="18"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1" fillId="21" borderId="34" xfId="0" applyFont="1" applyFill="1" applyBorder="1" applyAlignment="1">
      <alignment horizontal="left" vertical="center" wrapText="1"/>
    </xf>
    <xf numFmtId="0" fontId="1" fillId="21" borderId="36" xfId="0" applyFont="1" applyFill="1" applyBorder="1" applyAlignment="1">
      <alignment horizontal="left" vertical="center" wrapText="1"/>
    </xf>
    <xf numFmtId="0" fontId="48" fillId="0" borderId="0" xfId="4" applyFont="1" applyAlignment="1">
      <alignment horizontal="center" vertical="center" wrapText="1"/>
    </xf>
    <xf numFmtId="0" fontId="45" fillId="32" borderId="1" xfId="4" applyFont="1" applyFill="1" applyBorder="1" applyAlignment="1">
      <alignment horizontal="left" vertical="center" wrapText="1"/>
    </xf>
    <xf numFmtId="0" fontId="46" fillId="0" borderId="1" xfId="4" applyFont="1" applyBorder="1" applyAlignment="1">
      <alignment horizontal="left" vertical="top" wrapText="1"/>
    </xf>
    <xf numFmtId="0" fontId="66" fillId="0" borderId="0" xfId="6" applyFont="1" applyAlignment="1">
      <alignment horizontal="left" vertical="top" wrapText="1"/>
    </xf>
    <xf numFmtId="0" fontId="41" fillId="0" borderId="0" xfId="4" applyFont="1" applyAlignment="1">
      <alignment horizontal="left" vertical="top" wrapText="1"/>
    </xf>
    <xf numFmtId="0" fontId="41" fillId="0" borderId="0" xfId="4" applyFont="1" applyAlignment="1">
      <alignment horizontal="left" vertical="center" wrapText="1"/>
    </xf>
    <xf numFmtId="0" fontId="46" fillId="0" borderId="9" xfId="4" applyFont="1" applyBorder="1" applyAlignment="1">
      <alignment horizontal="left" vertical="top" wrapText="1"/>
    </xf>
    <xf numFmtId="0" fontId="46" fillId="0" borderId="8" xfId="4" applyFont="1" applyBorder="1" applyAlignment="1">
      <alignment horizontal="left" vertical="top" wrapText="1"/>
    </xf>
    <xf numFmtId="0" fontId="46" fillId="0" borderId="10" xfId="4" applyFont="1" applyBorder="1" applyAlignment="1">
      <alignment horizontal="left" vertical="top" wrapText="1"/>
    </xf>
    <xf numFmtId="0" fontId="46" fillId="0" borderId="15" xfId="4" applyFont="1" applyBorder="1" applyAlignment="1">
      <alignment horizontal="left" vertical="top" wrapText="1"/>
    </xf>
    <xf numFmtId="0" fontId="46" fillId="0" borderId="0" xfId="4" applyFont="1" applyAlignment="1">
      <alignment horizontal="left" vertical="top" wrapText="1"/>
    </xf>
    <xf numFmtId="0" fontId="46" fillId="0" borderId="14" xfId="4" applyFont="1" applyBorder="1" applyAlignment="1">
      <alignment horizontal="left" vertical="top" wrapText="1"/>
    </xf>
    <xf numFmtId="0" fontId="46" fillId="0" borderId="104" xfId="4" quotePrefix="1" applyFont="1" applyBorder="1" applyAlignment="1">
      <alignment horizontal="left" vertical="top" wrapText="1"/>
    </xf>
    <xf numFmtId="0" fontId="46" fillId="0" borderId="89" xfId="4" applyFont="1" applyBorder="1" applyAlignment="1">
      <alignment horizontal="left" vertical="top" wrapText="1"/>
    </xf>
    <xf numFmtId="0" fontId="46" fillId="0" borderId="104" xfId="4" applyFont="1" applyBorder="1" applyAlignment="1">
      <alignment horizontal="left" vertical="top" wrapText="1"/>
    </xf>
    <xf numFmtId="0" fontId="46" fillId="0" borderId="105" xfId="4" applyFont="1" applyBorder="1" applyAlignment="1">
      <alignment horizontal="left" vertical="top" wrapText="1"/>
    </xf>
    <xf numFmtId="0" fontId="46" fillId="0" borderId="99" xfId="4" applyFont="1" applyBorder="1" applyAlignment="1">
      <alignment horizontal="left" vertical="top" wrapText="1"/>
    </xf>
    <xf numFmtId="0" fontId="46" fillId="0" borderId="83" xfId="4" applyFont="1" applyBorder="1" applyAlignment="1">
      <alignment horizontal="left" vertical="top" wrapText="1"/>
    </xf>
    <xf numFmtId="0" fontId="46" fillId="0" borderId="1" xfId="0" applyFont="1" applyBorder="1" applyAlignment="1">
      <alignment horizontal="left" vertical="center" wrapText="1"/>
    </xf>
    <xf numFmtId="0" fontId="46" fillId="0" borderId="1" xfId="4" applyFont="1" applyBorder="1" applyAlignment="1">
      <alignment horizontal="left" vertical="center" wrapText="1"/>
    </xf>
    <xf numFmtId="0" fontId="41" fillId="32" borderId="1" xfId="4" applyFont="1" applyFill="1" applyBorder="1" applyAlignment="1">
      <alignment horizontal="left" vertical="center" wrapText="1"/>
    </xf>
    <xf numFmtId="0" fontId="2" fillId="0" borderId="1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1" fillId="0" borderId="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1" fillId="0" borderId="0" xfId="0" applyFont="1" applyBorder="1" applyAlignment="1">
      <alignment vertical="center" wrapText="1"/>
    </xf>
    <xf numFmtId="0" fontId="2" fillId="0" borderId="9" xfId="0" applyFont="1" applyBorder="1" applyAlignment="1">
      <alignment horizontal="center" vertical="center" wrapText="1"/>
    </xf>
    <xf numFmtId="0" fontId="2" fillId="0" borderId="15" xfId="0" applyFont="1" applyBorder="1" applyAlignment="1">
      <alignment horizontal="center" vertical="center" wrapText="1"/>
    </xf>
    <xf numFmtId="165" fontId="2" fillId="0" borderId="8" xfId="0" applyNumberFormat="1" applyFont="1" applyBorder="1" applyAlignment="1">
      <alignment horizontal="center" vertical="center"/>
    </xf>
    <xf numFmtId="165" fontId="2" fillId="0" borderId="0" xfId="0" applyNumberFormat="1" applyFont="1" applyBorder="1" applyAlignment="1">
      <alignment horizontal="center" vertical="center"/>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3" xfId="0" applyFont="1" applyBorder="1" applyAlignment="1">
      <alignment vertical="center" wrapText="1"/>
    </xf>
    <xf numFmtId="0" fontId="2" fillId="0" borderId="11" xfId="0" applyFont="1" applyBorder="1" applyAlignment="1">
      <alignment horizontal="center" vertical="center" wrapText="1"/>
    </xf>
    <xf numFmtId="165" fontId="2" fillId="0" borderId="8" xfId="0" applyNumberFormat="1" applyFont="1" applyBorder="1" applyAlignment="1">
      <alignment horizontal="center" vertical="center" wrapText="1"/>
    </xf>
    <xf numFmtId="165" fontId="2" fillId="0" borderId="0" xfId="0" applyNumberFormat="1" applyFont="1" applyBorder="1" applyAlignment="1">
      <alignment horizontal="center" vertical="center" wrapText="1"/>
    </xf>
    <xf numFmtId="165" fontId="2" fillId="0" borderId="12" xfId="0" applyNumberFormat="1" applyFont="1" applyBorder="1" applyAlignment="1">
      <alignment horizontal="center" vertical="center" wrapText="1"/>
    </xf>
    <xf numFmtId="0" fontId="6" fillId="0" borderId="10" xfId="0" applyFont="1" applyFill="1" applyBorder="1" applyAlignment="1">
      <alignment vertical="center" wrapText="1"/>
    </xf>
    <xf numFmtId="0" fontId="6" fillId="0" borderId="14" xfId="0" applyFont="1" applyFill="1" applyBorder="1" applyAlignment="1">
      <alignment vertical="center" wrapText="1"/>
    </xf>
    <xf numFmtId="0" fontId="6" fillId="0" borderId="13" xfId="0" applyFont="1" applyFill="1" applyBorder="1" applyAlignment="1">
      <alignment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11" fillId="12" borderId="2"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2" fillId="0" borderId="1" xfId="0" applyFont="1" applyBorder="1" applyAlignment="1">
      <alignment vertical="center" wrapText="1"/>
    </xf>
    <xf numFmtId="165" fontId="2" fillId="0" borderId="12" xfId="0" applyNumberFormat="1" applyFont="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0" xfId="0" applyFont="1" applyAlignment="1">
      <alignment horizontal="left" vertical="center" wrapText="1"/>
    </xf>
    <xf numFmtId="0" fontId="1" fillId="0" borderId="12" xfId="0" applyFont="1" applyBorder="1" applyAlignment="1">
      <alignment horizontal="left"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6" fillId="0" borderId="10" xfId="0" applyFont="1" applyFill="1" applyBorder="1" applyAlignment="1">
      <alignment horizontal="left" vertical="center" wrapText="1"/>
    </xf>
    <xf numFmtId="0" fontId="6" fillId="0" borderId="13" xfId="0" applyFont="1" applyFill="1" applyBorder="1" applyAlignment="1">
      <alignment horizontal="left" vertical="center" wrapText="1"/>
    </xf>
    <xf numFmtId="0" fontId="1" fillId="0" borderId="16" xfId="0" applyFont="1" applyBorder="1" applyAlignment="1">
      <alignment horizontal="center"/>
    </xf>
    <xf numFmtId="0" fontId="1" fillId="0" borderId="16" xfId="0" applyFont="1" applyBorder="1" applyAlignment="1">
      <alignment horizontal="left" vertical="center" wrapText="1"/>
    </xf>
    <xf numFmtId="0" fontId="0" fillId="12" borderId="16" xfId="0" applyFill="1" applyBorder="1" applyAlignment="1">
      <alignment horizontal="center" vertical="center" wrapText="1"/>
    </xf>
    <xf numFmtId="0" fontId="0" fillId="0" borderId="16" xfId="0"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Fill="1" applyBorder="1" applyAlignment="1">
      <alignment horizontal="center" vertical="center" wrapText="1"/>
    </xf>
    <xf numFmtId="0" fontId="6" fillId="0" borderId="16" xfId="0" applyFont="1" applyFill="1" applyBorder="1" applyAlignment="1">
      <alignment horizontal="left" vertical="center" wrapText="1"/>
    </xf>
    <xf numFmtId="0" fontId="6" fillId="0" borderId="16" xfId="0" applyFont="1" applyBorder="1" applyAlignment="1">
      <alignment horizontal="left" vertical="center" wrapText="1"/>
    </xf>
    <xf numFmtId="0" fontId="1" fillId="0" borderId="16" xfId="0" applyFont="1" applyBorder="1" applyAlignment="1">
      <alignment horizontal="center" vertical="center" wrapText="1"/>
    </xf>
    <xf numFmtId="0" fontId="34" fillId="8" borderId="62" xfId="0" applyFont="1" applyFill="1" applyBorder="1" applyAlignment="1">
      <alignment horizontal="center"/>
    </xf>
    <xf numFmtId="0" fontId="34" fillId="8" borderId="63" xfId="0" applyFont="1" applyFill="1" applyBorder="1" applyAlignment="1">
      <alignment horizontal="center"/>
    </xf>
    <xf numFmtId="0" fontId="33" fillId="31" borderId="71" xfId="0" applyFont="1" applyFill="1" applyBorder="1" applyAlignment="1" applyProtection="1">
      <alignment horizontal="center" vertical="center" wrapText="1"/>
    </xf>
    <xf numFmtId="0" fontId="33" fillId="31" borderId="73" xfId="0" applyFont="1" applyFill="1" applyBorder="1" applyAlignment="1" applyProtection="1">
      <alignment horizontal="center" vertical="center" wrapText="1"/>
    </xf>
    <xf numFmtId="0" fontId="33" fillId="31" borderId="74" xfId="0" applyFont="1" applyFill="1" applyBorder="1" applyAlignment="1" applyProtection="1">
      <alignment horizontal="center" vertical="center" wrapText="1"/>
    </xf>
    <xf numFmtId="0" fontId="31" fillId="31" borderId="2" xfId="0" applyFont="1" applyFill="1" applyBorder="1" applyAlignment="1" applyProtection="1">
      <alignment horizontal="center" vertical="center" wrapText="1"/>
    </xf>
    <xf numFmtId="0" fontId="31" fillId="31" borderId="4" xfId="0" applyFont="1" applyFill="1" applyBorder="1" applyAlignment="1" applyProtection="1">
      <alignment horizontal="center" vertical="center" wrapText="1"/>
    </xf>
    <xf numFmtId="0" fontId="31" fillId="31" borderId="3" xfId="0" applyFont="1" applyFill="1" applyBorder="1" applyAlignment="1" applyProtection="1">
      <alignment horizontal="center" vertical="center" wrapText="1"/>
    </xf>
    <xf numFmtId="0" fontId="33" fillId="31" borderId="10" xfId="0" applyFont="1" applyFill="1" applyBorder="1" applyAlignment="1" applyProtection="1">
      <alignment horizontal="center" vertical="center" wrapText="1"/>
      <protection locked="0"/>
    </xf>
    <xf numFmtId="0" fontId="33" fillId="31" borderId="14" xfId="0" applyFont="1" applyFill="1" applyBorder="1" applyAlignment="1" applyProtection="1">
      <alignment horizontal="center" vertical="center" wrapText="1"/>
      <protection locked="0"/>
    </xf>
    <xf numFmtId="0" fontId="33" fillId="31" borderId="110" xfId="0" applyFont="1" applyFill="1" applyBorder="1" applyAlignment="1" applyProtection="1">
      <alignment horizontal="center" vertical="center" wrapText="1"/>
      <protection locked="0"/>
    </xf>
    <xf numFmtId="0" fontId="6" fillId="0" borderId="21" xfId="0" applyFont="1" applyBorder="1" applyAlignment="1">
      <alignment vertical="center" wrapText="1"/>
    </xf>
    <xf numFmtId="0" fontId="6" fillId="0" borderId="33" xfId="0" applyFont="1" applyBorder="1" applyAlignment="1">
      <alignment vertical="center" wrapText="1"/>
    </xf>
    <xf numFmtId="0" fontId="17" fillId="0" borderId="37" xfId="0" applyFont="1" applyBorder="1" applyAlignment="1">
      <alignment horizontal="center"/>
    </xf>
    <xf numFmtId="0" fontId="17" fillId="0" borderId="38" xfId="0" applyFont="1" applyBorder="1" applyAlignment="1">
      <alignment horizontal="center"/>
    </xf>
    <xf numFmtId="0" fontId="17" fillId="0" borderId="21" xfId="0" applyFont="1" applyBorder="1" applyAlignment="1">
      <alignment horizontal="left" vertical="center" wrapText="1"/>
    </xf>
    <xf numFmtId="0" fontId="0" fillId="0" borderId="43" xfId="0" applyBorder="1" applyAlignment="1">
      <alignment horizontal="left" vertical="center" wrapText="1"/>
    </xf>
    <xf numFmtId="0" fontId="0" fillId="0" borderId="33" xfId="0" applyBorder="1" applyAlignment="1">
      <alignment horizontal="left" vertical="center" wrapText="1"/>
    </xf>
    <xf numFmtId="0" fontId="6" fillId="0" borderId="90" xfId="0" applyFont="1" applyBorder="1" applyAlignment="1">
      <alignment horizontal="center" vertical="center" wrapText="1"/>
    </xf>
    <xf numFmtId="0" fontId="6" fillId="0" borderId="88" xfId="0" applyFont="1" applyBorder="1" applyAlignment="1">
      <alignment horizontal="center" vertical="center" wrapText="1"/>
    </xf>
    <xf numFmtId="0" fontId="6" fillId="0" borderId="37" xfId="0" applyFont="1" applyBorder="1" applyAlignment="1">
      <alignment horizontal="left" vertical="center" wrapText="1"/>
    </xf>
    <xf numFmtId="0" fontId="6" fillId="0" borderId="86" xfId="0" applyFont="1" applyBorder="1" applyAlignment="1">
      <alignment horizontal="left" vertical="center" wrapText="1"/>
    </xf>
    <xf numFmtId="0" fontId="6" fillId="0" borderId="85" xfId="0" applyFont="1" applyBorder="1" applyAlignment="1">
      <alignment horizontal="center" vertical="center" wrapText="1"/>
    </xf>
    <xf numFmtId="0" fontId="6" fillId="35" borderId="92" xfId="0" applyFont="1" applyFill="1" applyBorder="1" applyAlignment="1">
      <alignment horizontal="center" vertical="center" wrapText="1"/>
    </xf>
    <xf numFmtId="0" fontId="6" fillId="34" borderId="37" xfId="0" applyFont="1" applyFill="1" applyBorder="1" applyAlignment="1">
      <alignment horizontal="left" vertical="center" wrapText="1"/>
    </xf>
    <xf numFmtId="0" fontId="6" fillId="34" borderId="38" xfId="0" applyFont="1" applyFill="1" applyBorder="1" applyAlignment="1">
      <alignment horizontal="left" vertical="center" wrapText="1"/>
    </xf>
    <xf numFmtId="0" fontId="6" fillId="34" borderId="21" xfId="0" applyFont="1" applyFill="1" applyBorder="1" applyAlignment="1">
      <alignment horizontal="center" vertical="center" wrapText="1"/>
    </xf>
    <xf numFmtId="0" fontId="6" fillId="34" borderId="18" xfId="0" applyFont="1" applyFill="1" applyBorder="1" applyAlignment="1">
      <alignment horizontal="center" vertical="center" wrapText="1"/>
    </xf>
    <xf numFmtId="0" fontId="6" fillId="0" borderId="91"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87" xfId="0" applyFont="1" applyBorder="1" applyAlignment="1">
      <alignment horizontal="center" vertical="center" wrapText="1"/>
    </xf>
    <xf numFmtId="0" fontId="6" fillId="0" borderId="38" xfId="0" applyFont="1" applyBorder="1" applyAlignment="1">
      <alignment horizontal="left" vertical="center" wrapText="1"/>
    </xf>
    <xf numFmtId="0" fontId="6" fillId="35" borderId="90" xfId="0" applyFont="1" applyFill="1" applyBorder="1" applyAlignment="1">
      <alignment horizontal="center" vertical="center" wrapText="1"/>
    </xf>
    <xf numFmtId="0" fontId="6" fillId="35" borderId="91" xfId="0" applyFont="1" applyFill="1" applyBorder="1" applyAlignment="1">
      <alignment horizontal="center" vertical="center" wrapText="1"/>
    </xf>
    <xf numFmtId="0" fontId="6" fillId="34" borderId="21" xfId="0" applyFont="1" applyFill="1" applyBorder="1" applyAlignment="1">
      <alignment horizontal="left" vertical="center" wrapText="1"/>
    </xf>
    <xf numFmtId="0" fontId="6" fillId="34" borderId="18" xfId="0" applyFont="1" applyFill="1" applyBorder="1" applyAlignment="1">
      <alignment horizontal="left" vertical="center" wrapText="1"/>
    </xf>
    <xf numFmtId="0" fontId="6" fillId="35" borderId="93" xfId="0" applyFont="1" applyFill="1" applyBorder="1" applyAlignment="1">
      <alignment horizontal="center" vertical="center" wrapText="1"/>
    </xf>
    <xf numFmtId="0" fontId="6" fillId="34" borderId="33" xfId="0" applyFont="1" applyFill="1" applyBorder="1" applyAlignment="1">
      <alignment horizontal="center" vertical="center" wrapText="1"/>
    </xf>
    <xf numFmtId="0" fontId="6" fillId="35" borderId="95" xfId="0" applyFont="1" applyFill="1" applyBorder="1" applyAlignment="1">
      <alignment horizontal="center" vertical="center" wrapText="1"/>
    </xf>
    <xf numFmtId="0" fontId="6" fillId="34" borderId="1" xfId="0" applyFont="1" applyFill="1" applyBorder="1" applyAlignment="1">
      <alignment horizontal="left" vertical="center" wrapText="1"/>
    </xf>
    <xf numFmtId="0" fontId="6" fillId="34" borderId="1" xfId="0" applyFont="1" applyFill="1" applyBorder="1" applyAlignment="1">
      <alignment horizontal="center" vertical="center" wrapText="1"/>
    </xf>
    <xf numFmtId="0" fontId="6" fillId="34" borderId="1" xfId="0" applyFont="1" applyFill="1" applyBorder="1" applyAlignment="1" applyProtection="1">
      <alignment horizontal="left" vertical="center" wrapText="1"/>
      <protection locked="0"/>
    </xf>
    <xf numFmtId="0" fontId="6" fillId="0" borderId="94"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3" xfId="0" applyFont="1" applyBorder="1" applyAlignment="1">
      <alignment horizontal="center" vertical="center" wrapText="1"/>
    </xf>
    <xf numFmtId="0" fontId="6" fillId="34" borderId="21" xfId="0" applyFont="1" applyFill="1" applyBorder="1" applyAlignment="1" applyProtection="1">
      <alignment horizontal="left" vertical="center" wrapText="1"/>
      <protection locked="0"/>
    </xf>
    <xf numFmtId="0" fontId="6" fillId="34" borderId="18" xfId="0" applyFont="1" applyFill="1" applyBorder="1" applyAlignment="1" applyProtection="1">
      <alignment horizontal="left" vertical="center" wrapText="1"/>
      <protection locked="0"/>
    </xf>
    <xf numFmtId="0" fontId="6" fillId="0" borderId="95" xfId="0" applyFont="1" applyBorder="1" applyAlignment="1">
      <alignment horizontal="center" vertical="center" wrapText="1"/>
    </xf>
    <xf numFmtId="0" fontId="6" fillId="0" borderId="47" xfId="0" applyFont="1" applyBorder="1" applyAlignment="1">
      <alignment horizontal="left" vertical="center" wrapText="1"/>
    </xf>
    <xf numFmtId="0" fontId="6" fillId="0" borderId="21" xfId="0" applyFont="1" applyBorder="1" applyAlignment="1" applyProtection="1">
      <alignment horizontal="left" vertical="center" wrapText="1"/>
      <protection locked="0"/>
    </xf>
    <xf numFmtId="0" fontId="6" fillId="0" borderId="18" xfId="0" applyFont="1" applyBorder="1" applyAlignment="1" applyProtection="1">
      <alignment horizontal="left" vertical="center" wrapText="1"/>
      <protection locked="0"/>
    </xf>
    <xf numFmtId="0" fontId="6" fillId="0" borderId="43" xfId="0" applyFont="1" applyBorder="1" applyAlignment="1">
      <alignment horizontal="left" vertical="center" wrapText="1"/>
    </xf>
    <xf numFmtId="0" fontId="6" fillId="0" borderId="33" xfId="0" applyFont="1" applyBorder="1" applyAlignment="1" applyProtection="1">
      <alignment horizontal="left" vertical="center" wrapText="1"/>
      <protection locked="0"/>
    </xf>
    <xf numFmtId="0" fontId="6" fillId="0" borderId="49" xfId="0" applyFont="1" applyBorder="1" applyAlignment="1">
      <alignment horizontal="left" vertical="center" wrapText="1"/>
    </xf>
    <xf numFmtId="0" fontId="6" fillId="0" borderId="33" xfId="0" applyFont="1" applyBorder="1" applyAlignment="1">
      <alignment horizontal="left" vertical="center" wrapText="1"/>
    </xf>
    <xf numFmtId="0" fontId="6" fillId="33" borderId="92" xfId="0" applyFont="1" applyFill="1" applyBorder="1" applyAlignment="1">
      <alignment horizontal="center" vertical="center" wrapText="1"/>
    </xf>
    <xf numFmtId="0" fontId="6" fillId="34" borderId="47" xfId="0" applyFont="1" applyFill="1" applyBorder="1" applyAlignment="1">
      <alignment horizontal="left" vertical="center" wrapText="1"/>
    </xf>
    <xf numFmtId="0" fontId="6" fillId="0" borderId="92" xfId="0" applyFont="1" applyBorder="1" applyAlignment="1">
      <alignment horizontal="center" vertical="center" wrapText="1"/>
    </xf>
    <xf numFmtId="0" fontId="6" fillId="34" borderId="33" xfId="0" applyFont="1" applyFill="1" applyBorder="1" applyAlignment="1">
      <alignment horizontal="left" vertical="center" wrapText="1"/>
    </xf>
    <xf numFmtId="0" fontId="6" fillId="34" borderId="43" xfId="0" applyFont="1" applyFill="1" applyBorder="1" applyAlignment="1">
      <alignment horizontal="left" vertical="center" wrapText="1"/>
    </xf>
    <xf numFmtId="0" fontId="50" fillId="0" borderId="34" xfId="0" applyFont="1" applyBorder="1" applyAlignment="1">
      <alignment horizontal="left" vertical="center" wrapText="1"/>
    </xf>
    <xf numFmtId="0" fontId="50" fillId="0" borderId="36" xfId="0" applyFont="1" applyBorder="1" applyAlignment="1">
      <alignment horizontal="left" vertical="center" wrapText="1"/>
    </xf>
    <xf numFmtId="0" fontId="6" fillId="33" borderId="90" xfId="0" applyFont="1" applyFill="1" applyBorder="1" applyAlignment="1">
      <alignment horizontal="center" vertical="center" wrapText="1"/>
    </xf>
    <xf numFmtId="0" fontId="6" fillId="33" borderId="95" xfId="0" applyFont="1" applyFill="1" applyBorder="1" applyAlignment="1">
      <alignment horizontal="center" vertical="center" wrapText="1"/>
    </xf>
    <xf numFmtId="0" fontId="6" fillId="33" borderId="91" xfId="0" applyFont="1" applyFill="1" applyBorder="1" applyAlignment="1">
      <alignment horizontal="center" vertical="center" wrapText="1"/>
    </xf>
    <xf numFmtId="0" fontId="0" fillId="34" borderId="21" xfId="0" applyFill="1" applyBorder="1" applyAlignment="1">
      <alignment horizontal="center" vertical="center" wrapText="1"/>
    </xf>
    <xf numFmtId="0" fontId="0" fillId="34" borderId="33" xfId="0" applyFill="1" applyBorder="1" applyAlignment="1">
      <alignment horizontal="center" vertical="center" wrapText="1"/>
    </xf>
    <xf numFmtId="0" fontId="0" fillId="34" borderId="18" xfId="0" applyFill="1" applyBorder="1" applyAlignment="1">
      <alignment horizontal="center" vertical="center" wrapText="1"/>
    </xf>
  </cellXfs>
  <cellStyles count="7">
    <cellStyle name="Hyperlink" xfId="3" builtinId="8"/>
    <cellStyle name="Normal" xfId="0" builtinId="0"/>
    <cellStyle name="Normal 2" xfId="1" xr:uid="{FD719E63-D1F1-44BB-AE06-64D90D8DAE52}"/>
    <cellStyle name="Normal 2 2" xfId="4" xr:uid="{72706275-EB04-46BB-A39B-2F56202EE392}"/>
    <cellStyle name="Normal 3" xfId="5" xr:uid="{56A7F2C8-798D-4023-8B43-C5DBA02C0EF6}"/>
    <cellStyle name="Normal 4" xfId="6" xr:uid="{8FC66A93-2B07-4B44-B874-A764A670AD53}"/>
    <cellStyle name="Porcentaje 2" xfId="2" xr:uid="{D45C3AE5-46EC-4E72-9903-01E1ADFC21EB}"/>
  </cellStyles>
  <dxfs count="8">
    <dxf>
      <font>
        <color theme="9" tint="0.39994506668294322"/>
      </font>
    </dxf>
    <dxf>
      <font>
        <color theme="9" tint="-0.24994659260841701"/>
      </font>
    </dxf>
    <dxf>
      <font>
        <color theme="0"/>
      </font>
    </dxf>
    <dxf>
      <font>
        <color theme="9" tint="-0.499984740745262"/>
      </font>
    </dxf>
    <dxf>
      <font>
        <color theme="9" tint="0.39994506668294322"/>
      </font>
    </dxf>
    <dxf>
      <font>
        <color theme="9" tint="-0.24994659260841701"/>
      </font>
    </dxf>
    <dxf>
      <font>
        <color theme="0"/>
      </font>
    </dxf>
    <dxf>
      <font>
        <color theme="9" tint="-0.499984740745262"/>
      </font>
    </dxf>
  </dxfs>
  <tableStyles count="0" defaultTableStyle="TableStyleMedium2" defaultPivotStyle="PivotStyleLight16"/>
  <colors>
    <mruColors>
      <color rgb="FFF5B224"/>
      <color rgb="FFCCDE82"/>
      <color rgb="FF94BA29"/>
      <color rgb="FF85C4E3"/>
      <color rgb="FFDEDBC4"/>
      <color rgb="FFFFFF66"/>
      <color rgb="FFFFFF99"/>
      <color rgb="FF6DA945"/>
      <color rgb="FF6094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84691731414369"/>
          <c:y val="0.1153818096681577"/>
          <c:w val="0.55513618744676785"/>
          <c:h val="0.80601504138905711"/>
        </c:manualLayout>
      </c:layout>
      <c:radarChart>
        <c:radarStyle val="marker"/>
        <c:varyColors val="0"/>
        <c:ser>
          <c:idx val="0"/>
          <c:order val="0"/>
          <c:spPr>
            <a:ln w="28575" cap="rnd">
              <a:solidFill>
                <a:srgbClr val="FF0000"/>
              </a:solidFill>
              <a:round/>
            </a:ln>
            <a:effectLst/>
          </c:spPr>
          <c:marker>
            <c:symbol val="circle"/>
            <c:size val="5"/>
            <c:spPr>
              <a:solidFill>
                <a:srgbClr val="FF0000"/>
              </a:solidFill>
              <a:ln w="9525">
                <a:solidFill>
                  <a:schemeClr val="accent1"/>
                </a:solidFill>
              </a:ln>
              <a:effectLst/>
            </c:spPr>
          </c:marker>
          <c:cat>
            <c:numRef>
              <c:f>summary!$K$2:$K$11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summary!$P$2:$P$11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7F57-4304-BE03-FF31BC693134}"/>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304800</xdr:colOff>
      <xdr:row>23</xdr:row>
      <xdr:rowOff>63499</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32</xdr:col>
      <xdr:colOff>6350</xdr:colOff>
      <xdr:row>26</xdr:row>
      <xdr:rowOff>497682</xdr:rowOff>
    </xdr:to>
    <xdr:sp macro="" textlink="">
      <xdr:nvSpPr>
        <xdr:cNvPr id="2" name="Group Box 20" hidden="1">
          <a:extLst>
            <a:ext uri="{63B3BB69-23CF-44E3-9099-C40C66FF867C}">
              <a14:compatExt xmlns:a14="http://schemas.microsoft.com/office/drawing/2010/main" spid="_x0000_s2068"/>
            </a:ext>
            <a:ext uri="{FF2B5EF4-FFF2-40B4-BE49-F238E27FC236}">
              <a16:creationId xmlns:a16="http://schemas.microsoft.com/office/drawing/2014/main" id="{C25E3A4D-7ACC-4A10-91CC-25D02CBE7DDD}"/>
            </a:ext>
          </a:extLst>
        </xdr:cNvPr>
        <xdr:cNvSpPr/>
      </xdr:nvSpPr>
      <xdr:spPr bwMode="auto">
        <a:xfrm>
          <a:off x="19326225" y="3543300"/>
          <a:ext cx="13417550"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3" name="Option Button 30" hidden="1">
          <a:extLst>
            <a:ext uri="{63B3BB69-23CF-44E3-9099-C40C66FF867C}">
              <a14:compatExt xmlns:a14="http://schemas.microsoft.com/office/drawing/2010/main" spid="_x0000_s2078"/>
            </a:ext>
            <a:ext uri="{FF2B5EF4-FFF2-40B4-BE49-F238E27FC236}">
              <a16:creationId xmlns:a16="http://schemas.microsoft.com/office/drawing/2014/main" id="{0311536E-20D9-4FD9-A2F8-1B131BD3BA3D}"/>
            </a:ext>
            <a:ext uri="{147F2762-F138-4A5C-976F-8EAC2B608ADB}">
              <a16:predDERef xmlns:a16="http://schemas.microsoft.com/office/drawing/2014/main" pred="{00000000-0008-0000-0200-000014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4" name="Option Button 32" hidden="1">
          <a:extLst>
            <a:ext uri="{63B3BB69-23CF-44E3-9099-C40C66FF867C}">
              <a14:compatExt xmlns:a14="http://schemas.microsoft.com/office/drawing/2010/main" spid="_x0000_s2080"/>
            </a:ext>
            <a:ext uri="{FF2B5EF4-FFF2-40B4-BE49-F238E27FC236}">
              <a16:creationId xmlns:a16="http://schemas.microsoft.com/office/drawing/2014/main" id="{7021CDA5-4F79-49BD-99A4-2B17A26CB8BF}"/>
            </a:ext>
            <a:ext uri="{147F2762-F138-4A5C-976F-8EAC2B608ADB}">
              <a16:predDERef xmlns:a16="http://schemas.microsoft.com/office/drawing/2014/main" pred="{00000000-0008-0000-0200-00001E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5" name="Option Button 34" hidden="1">
          <a:extLst>
            <a:ext uri="{63B3BB69-23CF-44E3-9099-C40C66FF867C}">
              <a14:compatExt xmlns:a14="http://schemas.microsoft.com/office/drawing/2010/main" spid="_x0000_s2082"/>
            </a:ext>
            <a:ext uri="{FF2B5EF4-FFF2-40B4-BE49-F238E27FC236}">
              <a16:creationId xmlns:a16="http://schemas.microsoft.com/office/drawing/2014/main" id="{355F6F2A-A5D8-4BFB-94FC-6C3FDF0B76AF}"/>
            </a:ext>
            <a:ext uri="{147F2762-F138-4A5C-976F-8EAC2B608ADB}">
              <a16:predDERef xmlns:a16="http://schemas.microsoft.com/office/drawing/2014/main" pred="{00000000-0008-0000-0200-000020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6" name="Option Button 36" hidden="1">
          <a:extLst>
            <a:ext uri="{63B3BB69-23CF-44E3-9099-C40C66FF867C}">
              <a14:compatExt xmlns:a14="http://schemas.microsoft.com/office/drawing/2010/main" spid="_x0000_s2084"/>
            </a:ext>
            <a:ext uri="{FF2B5EF4-FFF2-40B4-BE49-F238E27FC236}">
              <a16:creationId xmlns:a16="http://schemas.microsoft.com/office/drawing/2014/main" id="{1E1DD0FF-DDAB-4A58-A54D-6308EBADFA3B}"/>
            </a:ext>
            <a:ext uri="{147F2762-F138-4A5C-976F-8EAC2B608ADB}">
              <a16:predDERef xmlns:a16="http://schemas.microsoft.com/office/drawing/2014/main" pred="{00000000-0008-0000-0200-000022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32</xdr:col>
      <xdr:colOff>6350</xdr:colOff>
      <xdr:row>32</xdr:row>
      <xdr:rowOff>599282</xdr:rowOff>
    </xdr:to>
    <xdr:sp macro="" textlink="">
      <xdr:nvSpPr>
        <xdr:cNvPr id="7" name="Group Box 37" hidden="1">
          <a:extLst>
            <a:ext uri="{63B3BB69-23CF-44E3-9099-C40C66FF867C}">
              <a14:compatExt xmlns:a14="http://schemas.microsoft.com/office/drawing/2010/main" spid="_x0000_s2085"/>
            </a:ext>
            <a:ext uri="{FF2B5EF4-FFF2-40B4-BE49-F238E27FC236}">
              <a16:creationId xmlns:a16="http://schemas.microsoft.com/office/drawing/2014/main" id="{95050B08-725D-47D7-A450-FB1F0A2791A0}"/>
            </a:ext>
            <a:ext uri="{147F2762-F138-4A5C-976F-8EAC2B608ADB}">
              <a16:predDERef xmlns:a16="http://schemas.microsoft.com/office/drawing/2014/main" pred="{00000000-0008-0000-0200-000024080000}"/>
            </a:ext>
          </a:extLst>
        </xdr:cNvPr>
        <xdr:cNvSpPr/>
      </xdr:nvSpPr>
      <xdr:spPr bwMode="auto">
        <a:xfrm>
          <a:off x="19326225" y="1049655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25</xdr:row>
      <xdr:rowOff>0</xdr:rowOff>
    </xdr:from>
    <xdr:to>
      <xdr:col>32</xdr:col>
      <xdr:colOff>6350</xdr:colOff>
      <xdr:row>32</xdr:row>
      <xdr:rowOff>599282</xdr:rowOff>
    </xdr:to>
    <xdr:sp macro="" textlink="">
      <xdr:nvSpPr>
        <xdr:cNvPr id="8" name="Group Box 42" hidden="1">
          <a:extLst>
            <a:ext uri="{63B3BB69-23CF-44E3-9099-C40C66FF867C}">
              <a14:compatExt xmlns:a14="http://schemas.microsoft.com/office/drawing/2010/main" spid="_x0000_s2090"/>
            </a:ext>
            <a:ext uri="{FF2B5EF4-FFF2-40B4-BE49-F238E27FC236}">
              <a16:creationId xmlns:a16="http://schemas.microsoft.com/office/drawing/2014/main" id="{03FEA10C-5377-4C41-A93F-D66F6D3D838D}"/>
            </a:ext>
            <a:ext uri="{147F2762-F138-4A5C-976F-8EAC2B608ADB}">
              <a16:predDERef xmlns:a16="http://schemas.microsoft.com/office/drawing/2014/main" pred="{00000000-0008-0000-0200-000025080000}"/>
            </a:ext>
          </a:extLst>
        </xdr:cNvPr>
        <xdr:cNvSpPr/>
      </xdr:nvSpPr>
      <xdr:spPr bwMode="auto">
        <a:xfrm>
          <a:off x="19326225" y="1049655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9" name="Option Button 51" hidden="1">
          <a:extLst>
            <a:ext uri="{63B3BB69-23CF-44E3-9099-C40C66FF867C}">
              <a14:compatExt xmlns:a14="http://schemas.microsoft.com/office/drawing/2010/main" spid="_x0000_s2099"/>
            </a:ext>
            <a:ext uri="{FF2B5EF4-FFF2-40B4-BE49-F238E27FC236}">
              <a16:creationId xmlns:a16="http://schemas.microsoft.com/office/drawing/2014/main" id="{C3449219-FBCA-4C6E-8720-92ADDDF46140}"/>
            </a:ext>
            <a:ext uri="{147F2762-F138-4A5C-976F-8EAC2B608ADB}">
              <a16:predDERef xmlns:a16="http://schemas.microsoft.com/office/drawing/2014/main" pred="{00000000-0008-0000-0200-00002A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0" name="Option Button 52" hidden="1">
          <a:extLst>
            <a:ext uri="{63B3BB69-23CF-44E3-9099-C40C66FF867C}">
              <a14:compatExt xmlns:a14="http://schemas.microsoft.com/office/drawing/2010/main" spid="_x0000_s2100"/>
            </a:ext>
            <a:ext uri="{FF2B5EF4-FFF2-40B4-BE49-F238E27FC236}">
              <a16:creationId xmlns:a16="http://schemas.microsoft.com/office/drawing/2014/main" id="{B6F94241-D935-4F4E-8AFD-9445A7C7D48D}"/>
            </a:ext>
            <a:ext uri="{147F2762-F138-4A5C-976F-8EAC2B608ADB}">
              <a16:predDERef xmlns:a16="http://schemas.microsoft.com/office/drawing/2014/main" pred="{00000000-0008-0000-0200-000033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1" name="Option Button 53" hidden="1">
          <a:extLst>
            <a:ext uri="{63B3BB69-23CF-44E3-9099-C40C66FF867C}">
              <a14:compatExt xmlns:a14="http://schemas.microsoft.com/office/drawing/2010/main" spid="_x0000_s2101"/>
            </a:ext>
            <a:ext uri="{FF2B5EF4-FFF2-40B4-BE49-F238E27FC236}">
              <a16:creationId xmlns:a16="http://schemas.microsoft.com/office/drawing/2014/main" id="{EC00522B-ED36-4D5E-84A8-F31795EC9D4A}"/>
            </a:ext>
            <a:ext uri="{147F2762-F138-4A5C-976F-8EAC2B608ADB}">
              <a16:predDERef xmlns:a16="http://schemas.microsoft.com/office/drawing/2014/main" pred="{00000000-0008-0000-0200-000034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2" name="Option Button 54" hidden="1">
          <a:extLst>
            <a:ext uri="{63B3BB69-23CF-44E3-9099-C40C66FF867C}">
              <a14:compatExt xmlns:a14="http://schemas.microsoft.com/office/drawing/2010/main" spid="_x0000_s2102"/>
            </a:ext>
            <a:ext uri="{FF2B5EF4-FFF2-40B4-BE49-F238E27FC236}">
              <a16:creationId xmlns:a16="http://schemas.microsoft.com/office/drawing/2014/main" id="{2E96BE2B-1A73-4353-87D4-1A9FC1DA3CC3}"/>
            </a:ext>
            <a:ext uri="{147F2762-F138-4A5C-976F-8EAC2B608ADB}">
              <a16:predDERef xmlns:a16="http://schemas.microsoft.com/office/drawing/2014/main" pred="{00000000-0008-0000-0200-000035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3" name="Option Button 59" hidden="1">
          <a:extLst>
            <a:ext uri="{63B3BB69-23CF-44E3-9099-C40C66FF867C}">
              <a14:compatExt xmlns:a14="http://schemas.microsoft.com/office/drawing/2010/main" spid="_x0000_s2107"/>
            </a:ext>
            <a:ext uri="{FF2B5EF4-FFF2-40B4-BE49-F238E27FC236}">
              <a16:creationId xmlns:a16="http://schemas.microsoft.com/office/drawing/2014/main" id="{26A20BEA-7100-4AC4-AE16-F46CF69D4474}"/>
            </a:ext>
            <a:ext uri="{147F2762-F138-4A5C-976F-8EAC2B608ADB}">
              <a16:predDERef xmlns:a16="http://schemas.microsoft.com/office/drawing/2014/main" pred="{00000000-0008-0000-0200-000036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4" name="Option Button 60" hidden="1">
          <a:extLst>
            <a:ext uri="{63B3BB69-23CF-44E3-9099-C40C66FF867C}">
              <a14:compatExt xmlns:a14="http://schemas.microsoft.com/office/drawing/2010/main" spid="_x0000_s2108"/>
            </a:ext>
            <a:ext uri="{FF2B5EF4-FFF2-40B4-BE49-F238E27FC236}">
              <a16:creationId xmlns:a16="http://schemas.microsoft.com/office/drawing/2014/main" id="{B66EA1AE-26E4-44BE-AE6F-C082B1ADFCDF}"/>
            </a:ext>
            <a:ext uri="{147F2762-F138-4A5C-976F-8EAC2B608ADB}">
              <a16:predDERef xmlns:a16="http://schemas.microsoft.com/office/drawing/2014/main" pred="{00000000-0008-0000-0200-00003B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5" name="Option Button 61" hidden="1">
          <a:extLst>
            <a:ext uri="{63B3BB69-23CF-44E3-9099-C40C66FF867C}">
              <a14:compatExt xmlns:a14="http://schemas.microsoft.com/office/drawing/2010/main" spid="_x0000_s2109"/>
            </a:ext>
            <a:ext uri="{FF2B5EF4-FFF2-40B4-BE49-F238E27FC236}">
              <a16:creationId xmlns:a16="http://schemas.microsoft.com/office/drawing/2014/main" id="{27837999-58C5-4F91-BC84-8176A63F6FC8}"/>
            </a:ext>
            <a:ext uri="{147F2762-F138-4A5C-976F-8EAC2B608ADB}">
              <a16:predDERef xmlns:a16="http://schemas.microsoft.com/office/drawing/2014/main" pred="{00000000-0008-0000-0200-00003C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6" name="Option Button 62" hidden="1">
          <a:extLst>
            <a:ext uri="{63B3BB69-23CF-44E3-9099-C40C66FF867C}">
              <a14:compatExt xmlns:a14="http://schemas.microsoft.com/office/drawing/2010/main" spid="_x0000_s2110"/>
            </a:ext>
            <a:ext uri="{FF2B5EF4-FFF2-40B4-BE49-F238E27FC236}">
              <a16:creationId xmlns:a16="http://schemas.microsoft.com/office/drawing/2014/main" id="{FE231A77-A5D8-492B-89E0-5C936F7246AD}"/>
            </a:ext>
            <a:ext uri="{147F2762-F138-4A5C-976F-8EAC2B608ADB}">
              <a16:predDERef xmlns:a16="http://schemas.microsoft.com/office/drawing/2014/main" pred="{00000000-0008-0000-0200-00003D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32</xdr:col>
      <xdr:colOff>6350</xdr:colOff>
      <xdr:row>59</xdr:row>
      <xdr:rowOff>571501</xdr:rowOff>
    </xdr:to>
    <xdr:sp macro="" textlink="">
      <xdr:nvSpPr>
        <xdr:cNvPr id="17" name="Group Box 63" hidden="1">
          <a:extLst>
            <a:ext uri="{63B3BB69-23CF-44E3-9099-C40C66FF867C}">
              <a14:compatExt xmlns:a14="http://schemas.microsoft.com/office/drawing/2010/main" spid="_x0000_s2111"/>
            </a:ext>
            <a:ext uri="{FF2B5EF4-FFF2-40B4-BE49-F238E27FC236}">
              <a16:creationId xmlns:a16="http://schemas.microsoft.com/office/drawing/2014/main" id="{C5A4F4BA-A819-4165-975E-C801C29F80D8}"/>
            </a:ext>
            <a:ext uri="{147F2762-F138-4A5C-976F-8EAC2B608ADB}">
              <a16:predDERef xmlns:a16="http://schemas.microsoft.com/office/drawing/2014/main" pred="{00000000-0008-0000-0200-00003E080000}"/>
            </a:ext>
          </a:extLst>
        </xdr:cNvPr>
        <xdr:cNvSpPr/>
      </xdr:nvSpPr>
      <xdr:spPr bwMode="auto">
        <a:xfrm>
          <a:off x="19326225" y="15601950"/>
          <a:ext cx="13417550"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18" name="Option Button 64" hidden="1">
          <a:extLst>
            <a:ext uri="{63B3BB69-23CF-44E3-9099-C40C66FF867C}">
              <a14:compatExt xmlns:a14="http://schemas.microsoft.com/office/drawing/2010/main" spid="_x0000_s2112"/>
            </a:ext>
            <a:ext uri="{FF2B5EF4-FFF2-40B4-BE49-F238E27FC236}">
              <a16:creationId xmlns:a16="http://schemas.microsoft.com/office/drawing/2014/main" id="{23AEAAE4-9E91-4F43-B6A3-5F36D905A0CF}"/>
            </a:ext>
            <a:ext uri="{147F2762-F138-4A5C-976F-8EAC2B608ADB}">
              <a16:predDERef xmlns:a16="http://schemas.microsoft.com/office/drawing/2014/main" pred="{00000000-0008-0000-0200-00003F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19" name="Option Button 65" hidden="1">
          <a:extLst>
            <a:ext uri="{63B3BB69-23CF-44E3-9099-C40C66FF867C}">
              <a14:compatExt xmlns:a14="http://schemas.microsoft.com/office/drawing/2010/main" spid="_x0000_s2113"/>
            </a:ext>
            <a:ext uri="{FF2B5EF4-FFF2-40B4-BE49-F238E27FC236}">
              <a16:creationId xmlns:a16="http://schemas.microsoft.com/office/drawing/2014/main" id="{09B6BCF6-F19A-4700-B3D4-576DEC3CC4C5}"/>
            </a:ext>
            <a:ext uri="{147F2762-F138-4A5C-976F-8EAC2B608ADB}">
              <a16:predDERef xmlns:a16="http://schemas.microsoft.com/office/drawing/2014/main" pred="{00000000-0008-0000-0200-000040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20" name="Option Button 66" hidden="1">
          <a:extLst>
            <a:ext uri="{63B3BB69-23CF-44E3-9099-C40C66FF867C}">
              <a14:compatExt xmlns:a14="http://schemas.microsoft.com/office/drawing/2010/main" spid="_x0000_s2114"/>
            </a:ext>
            <a:ext uri="{FF2B5EF4-FFF2-40B4-BE49-F238E27FC236}">
              <a16:creationId xmlns:a16="http://schemas.microsoft.com/office/drawing/2014/main" id="{65FC7FC9-F0C1-40F9-A8DF-884F9F214415}"/>
            </a:ext>
            <a:ext uri="{147F2762-F138-4A5C-976F-8EAC2B608ADB}">
              <a16:predDERef xmlns:a16="http://schemas.microsoft.com/office/drawing/2014/main" pred="{00000000-0008-0000-0200-000041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21" name="Option Button 67" hidden="1">
          <a:extLst>
            <a:ext uri="{63B3BB69-23CF-44E3-9099-C40C66FF867C}">
              <a14:compatExt xmlns:a14="http://schemas.microsoft.com/office/drawing/2010/main" spid="_x0000_s2115"/>
            </a:ext>
            <a:ext uri="{FF2B5EF4-FFF2-40B4-BE49-F238E27FC236}">
              <a16:creationId xmlns:a16="http://schemas.microsoft.com/office/drawing/2014/main" id="{83DA4C3B-2E97-4AEA-89F8-BCD5F7840A8D}"/>
            </a:ext>
            <a:ext uri="{147F2762-F138-4A5C-976F-8EAC2B608ADB}">
              <a16:predDERef xmlns:a16="http://schemas.microsoft.com/office/drawing/2014/main" pred="{00000000-0008-0000-0200-000042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32</xdr:col>
      <xdr:colOff>6350</xdr:colOff>
      <xdr:row>79</xdr:row>
      <xdr:rowOff>236310</xdr:rowOff>
    </xdr:to>
    <xdr:sp macro="" textlink="">
      <xdr:nvSpPr>
        <xdr:cNvPr id="22" name="Group Box 68" hidden="1">
          <a:extLst>
            <a:ext uri="{63B3BB69-23CF-44E3-9099-C40C66FF867C}">
              <a14:compatExt xmlns:a14="http://schemas.microsoft.com/office/drawing/2010/main" spid="_x0000_s2116"/>
            </a:ext>
            <a:ext uri="{FF2B5EF4-FFF2-40B4-BE49-F238E27FC236}">
              <a16:creationId xmlns:a16="http://schemas.microsoft.com/office/drawing/2014/main" id="{67EF33BC-9E33-4EA6-98A1-079E0AD10BD6}"/>
            </a:ext>
            <a:ext uri="{147F2762-F138-4A5C-976F-8EAC2B608ADB}">
              <a16:predDERef xmlns:a16="http://schemas.microsoft.com/office/drawing/2014/main" pred="{00000000-0008-0000-0200-000043080000}"/>
            </a:ext>
          </a:extLst>
        </xdr:cNvPr>
        <xdr:cNvSpPr/>
      </xdr:nvSpPr>
      <xdr:spPr bwMode="auto">
        <a:xfrm>
          <a:off x="19326225" y="27736800"/>
          <a:ext cx="13417550" cy="379186"/>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3" name="Option Button 69" hidden="1">
          <a:extLst>
            <a:ext uri="{63B3BB69-23CF-44E3-9099-C40C66FF867C}">
              <a14:compatExt xmlns:a14="http://schemas.microsoft.com/office/drawing/2010/main" spid="_x0000_s2117"/>
            </a:ext>
            <a:ext uri="{FF2B5EF4-FFF2-40B4-BE49-F238E27FC236}">
              <a16:creationId xmlns:a16="http://schemas.microsoft.com/office/drawing/2014/main" id="{7543C8D2-CAD5-41CA-A1B6-2A76360A42E1}"/>
            </a:ext>
            <a:ext uri="{147F2762-F138-4A5C-976F-8EAC2B608ADB}">
              <a16:predDERef xmlns:a16="http://schemas.microsoft.com/office/drawing/2014/main" pred="{00000000-0008-0000-0200-000044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4" name="Option Button 70" hidden="1">
          <a:extLst>
            <a:ext uri="{63B3BB69-23CF-44E3-9099-C40C66FF867C}">
              <a14:compatExt xmlns:a14="http://schemas.microsoft.com/office/drawing/2010/main" spid="_x0000_s2118"/>
            </a:ext>
            <a:ext uri="{FF2B5EF4-FFF2-40B4-BE49-F238E27FC236}">
              <a16:creationId xmlns:a16="http://schemas.microsoft.com/office/drawing/2014/main" id="{3D626BA0-A2B8-4528-9D06-888B6518587C}"/>
            </a:ext>
            <a:ext uri="{147F2762-F138-4A5C-976F-8EAC2B608ADB}">
              <a16:predDERef xmlns:a16="http://schemas.microsoft.com/office/drawing/2014/main" pred="{00000000-0008-0000-0200-000045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5" name="Option Button 71" hidden="1">
          <a:extLst>
            <a:ext uri="{63B3BB69-23CF-44E3-9099-C40C66FF867C}">
              <a14:compatExt xmlns:a14="http://schemas.microsoft.com/office/drawing/2010/main" spid="_x0000_s2119"/>
            </a:ext>
            <a:ext uri="{FF2B5EF4-FFF2-40B4-BE49-F238E27FC236}">
              <a16:creationId xmlns:a16="http://schemas.microsoft.com/office/drawing/2014/main" id="{2B88DC1A-DEA4-4729-BA66-03129997A7FD}"/>
            </a:ext>
            <a:ext uri="{147F2762-F138-4A5C-976F-8EAC2B608ADB}">
              <a16:predDERef xmlns:a16="http://schemas.microsoft.com/office/drawing/2014/main" pred="{00000000-0008-0000-0200-000046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6" name="Option Button 72" hidden="1">
          <a:extLst>
            <a:ext uri="{63B3BB69-23CF-44E3-9099-C40C66FF867C}">
              <a14:compatExt xmlns:a14="http://schemas.microsoft.com/office/drawing/2010/main" spid="_x0000_s2120"/>
            </a:ext>
            <a:ext uri="{FF2B5EF4-FFF2-40B4-BE49-F238E27FC236}">
              <a16:creationId xmlns:a16="http://schemas.microsoft.com/office/drawing/2014/main" id="{ECA59434-07EC-4F60-97DC-5E3751966797}"/>
            </a:ext>
            <a:ext uri="{147F2762-F138-4A5C-976F-8EAC2B608ADB}">
              <a16:predDERef xmlns:a16="http://schemas.microsoft.com/office/drawing/2014/main" pred="{00000000-0008-0000-0200-000047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32</xdr:col>
      <xdr:colOff>6350</xdr:colOff>
      <xdr:row>61</xdr:row>
      <xdr:rowOff>413544</xdr:rowOff>
    </xdr:to>
    <xdr:sp macro="" textlink="">
      <xdr:nvSpPr>
        <xdr:cNvPr id="27" name="Group Box 73" hidden="1">
          <a:extLst>
            <a:ext uri="{63B3BB69-23CF-44E3-9099-C40C66FF867C}">
              <a14:compatExt xmlns:a14="http://schemas.microsoft.com/office/drawing/2010/main" spid="_x0000_s2121"/>
            </a:ext>
            <a:ext uri="{FF2B5EF4-FFF2-40B4-BE49-F238E27FC236}">
              <a16:creationId xmlns:a16="http://schemas.microsoft.com/office/drawing/2014/main" id="{B776E95E-620F-4C39-9394-FBEA6903400C}"/>
            </a:ext>
            <a:ext uri="{147F2762-F138-4A5C-976F-8EAC2B608ADB}">
              <a16:predDERef xmlns:a16="http://schemas.microsoft.com/office/drawing/2014/main" pred="{00000000-0008-0000-0200-000048080000}"/>
            </a:ext>
          </a:extLst>
        </xdr:cNvPr>
        <xdr:cNvSpPr/>
      </xdr:nvSpPr>
      <xdr:spPr bwMode="auto">
        <a:xfrm>
          <a:off x="19326225" y="37090350"/>
          <a:ext cx="13417550" cy="42545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28" name="Option Button 74" hidden="1">
          <a:extLst>
            <a:ext uri="{63B3BB69-23CF-44E3-9099-C40C66FF867C}">
              <a14:compatExt xmlns:a14="http://schemas.microsoft.com/office/drawing/2010/main" spid="_x0000_s2122"/>
            </a:ext>
            <a:ext uri="{FF2B5EF4-FFF2-40B4-BE49-F238E27FC236}">
              <a16:creationId xmlns:a16="http://schemas.microsoft.com/office/drawing/2014/main" id="{52CFE656-ECB4-4089-8B7F-C490F850025C}"/>
            </a:ext>
            <a:ext uri="{147F2762-F138-4A5C-976F-8EAC2B608ADB}">
              <a16:predDERef xmlns:a16="http://schemas.microsoft.com/office/drawing/2014/main" pred="{00000000-0008-0000-0200-000049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29" name="Option Button 75" hidden="1">
          <a:extLst>
            <a:ext uri="{63B3BB69-23CF-44E3-9099-C40C66FF867C}">
              <a14:compatExt xmlns:a14="http://schemas.microsoft.com/office/drawing/2010/main" spid="_x0000_s2123"/>
            </a:ext>
            <a:ext uri="{FF2B5EF4-FFF2-40B4-BE49-F238E27FC236}">
              <a16:creationId xmlns:a16="http://schemas.microsoft.com/office/drawing/2014/main" id="{B5C893F0-C716-41E0-A187-F7268101CAAD}"/>
            </a:ext>
            <a:ext uri="{147F2762-F138-4A5C-976F-8EAC2B608ADB}">
              <a16:predDERef xmlns:a16="http://schemas.microsoft.com/office/drawing/2014/main" pred="{00000000-0008-0000-0200-00004A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30" name="Option Button 76" hidden="1">
          <a:extLst>
            <a:ext uri="{63B3BB69-23CF-44E3-9099-C40C66FF867C}">
              <a14:compatExt xmlns:a14="http://schemas.microsoft.com/office/drawing/2010/main" spid="_x0000_s2124"/>
            </a:ext>
            <a:ext uri="{FF2B5EF4-FFF2-40B4-BE49-F238E27FC236}">
              <a16:creationId xmlns:a16="http://schemas.microsoft.com/office/drawing/2014/main" id="{43FBECB2-3BFB-45F7-BB14-D5BDE26E0D54}"/>
            </a:ext>
            <a:ext uri="{147F2762-F138-4A5C-976F-8EAC2B608ADB}">
              <a16:predDERef xmlns:a16="http://schemas.microsoft.com/office/drawing/2014/main" pred="{00000000-0008-0000-0200-00004B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31" name="Option Button 77" hidden="1">
          <a:extLst>
            <a:ext uri="{63B3BB69-23CF-44E3-9099-C40C66FF867C}">
              <a14:compatExt xmlns:a14="http://schemas.microsoft.com/office/drawing/2010/main" spid="_x0000_s2125"/>
            </a:ext>
            <a:ext uri="{FF2B5EF4-FFF2-40B4-BE49-F238E27FC236}">
              <a16:creationId xmlns:a16="http://schemas.microsoft.com/office/drawing/2014/main" id="{2A62069E-E7F0-44AA-9530-7782E2378A83}"/>
            </a:ext>
            <a:ext uri="{147F2762-F138-4A5C-976F-8EAC2B608ADB}">
              <a16:predDERef xmlns:a16="http://schemas.microsoft.com/office/drawing/2014/main" pred="{00000000-0008-0000-0200-00004C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32</xdr:col>
      <xdr:colOff>6350</xdr:colOff>
      <xdr:row>61</xdr:row>
      <xdr:rowOff>365918</xdr:rowOff>
    </xdr:to>
    <xdr:sp macro="" textlink="">
      <xdr:nvSpPr>
        <xdr:cNvPr id="32" name="Group Box 78" hidden="1">
          <a:extLst>
            <a:ext uri="{63B3BB69-23CF-44E3-9099-C40C66FF867C}">
              <a14:compatExt xmlns:a14="http://schemas.microsoft.com/office/drawing/2010/main" spid="_x0000_s2126"/>
            </a:ext>
            <a:ext uri="{FF2B5EF4-FFF2-40B4-BE49-F238E27FC236}">
              <a16:creationId xmlns:a16="http://schemas.microsoft.com/office/drawing/2014/main" id="{6EDEAFA9-A0C7-4B47-A73E-79E3E647E568}"/>
            </a:ext>
            <a:ext uri="{147F2762-F138-4A5C-976F-8EAC2B608ADB}">
              <a16:predDERef xmlns:a16="http://schemas.microsoft.com/office/drawing/2014/main" pred="{00000000-0008-0000-0200-00004D080000}"/>
            </a:ext>
          </a:extLst>
        </xdr:cNvPr>
        <xdr:cNvSpPr/>
      </xdr:nvSpPr>
      <xdr:spPr bwMode="auto">
        <a:xfrm>
          <a:off x="19326225" y="3821430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3" name="Option Button 79" hidden="1">
          <a:extLst>
            <a:ext uri="{63B3BB69-23CF-44E3-9099-C40C66FF867C}">
              <a14:compatExt xmlns:a14="http://schemas.microsoft.com/office/drawing/2010/main" spid="_x0000_s2127"/>
            </a:ext>
            <a:ext uri="{FF2B5EF4-FFF2-40B4-BE49-F238E27FC236}">
              <a16:creationId xmlns:a16="http://schemas.microsoft.com/office/drawing/2014/main" id="{A8B6AB48-C2A1-4C15-BB21-DD25851F3B8F}"/>
            </a:ext>
            <a:ext uri="{147F2762-F138-4A5C-976F-8EAC2B608ADB}">
              <a16:predDERef xmlns:a16="http://schemas.microsoft.com/office/drawing/2014/main" pred="{00000000-0008-0000-0200-00004E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4" name="Option Button 80" hidden="1">
          <a:extLst>
            <a:ext uri="{63B3BB69-23CF-44E3-9099-C40C66FF867C}">
              <a14:compatExt xmlns:a14="http://schemas.microsoft.com/office/drawing/2010/main" spid="_x0000_s2128"/>
            </a:ext>
            <a:ext uri="{FF2B5EF4-FFF2-40B4-BE49-F238E27FC236}">
              <a16:creationId xmlns:a16="http://schemas.microsoft.com/office/drawing/2014/main" id="{A7246903-B8B8-4CD1-8682-D9321987F2A9}"/>
            </a:ext>
            <a:ext uri="{147F2762-F138-4A5C-976F-8EAC2B608ADB}">
              <a16:predDERef xmlns:a16="http://schemas.microsoft.com/office/drawing/2014/main" pred="{00000000-0008-0000-0200-00004F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5" name="Option Button 81" hidden="1">
          <a:extLst>
            <a:ext uri="{63B3BB69-23CF-44E3-9099-C40C66FF867C}">
              <a14:compatExt xmlns:a14="http://schemas.microsoft.com/office/drawing/2010/main" spid="_x0000_s2129"/>
            </a:ext>
            <a:ext uri="{FF2B5EF4-FFF2-40B4-BE49-F238E27FC236}">
              <a16:creationId xmlns:a16="http://schemas.microsoft.com/office/drawing/2014/main" id="{07A25210-2F89-4595-817A-C423CBBC51AB}"/>
            </a:ext>
            <a:ext uri="{147F2762-F138-4A5C-976F-8EAC2B608ADB}">
              <a16:predDERef xmlns:a16="http://schemas.microsoft.com/office/drawing/2014/main" pred="{00000000-0008-0000-0200-000050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6" name="Option Button 82" hidden="1">
          <a:extLst>
            <a:ext uri="{63B3BB69-23CF-44E3-9099-C40C66FF867C}">
              <a14:compatExt xmlns:a14="http://schemas.microsoft.com/office/drawing/2010/main" spid="_x0000_s2130"/>
            </a:ext>
            <a:ext uri="{FF2B5EF4-FFF2-40B4-BE49-F238E27FC236}">
              <a16:creationId xmlns:a16="http://schemas.microsoft.com/office/drawing/2014/main" id="{904DD5BF-5820-4C37-8979-B4F7DC412107}"/>
            </a:ext>
            <a:ext uri="{147F2762-F138-4A5C-976F-8EAC2B608ADB}">
              <a16:predDERef xmlns:a16="http://schemas.microsoft.com/office/drawing/2014/main" pred="{00000000-0008-0000-0200-000051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32</xdr:col>
      <xdr:colOff>6350</xdr:colOff>
      <xdr:row>72</xdr:row>
      <xdr:rowOff>120649</xdr:rowOff>
    </xdr:to>
    <xdr:sp macro="" textlink="">
      <xdr:nvSpPr>
        <xdr:cNvPr id="37" name="Group Box 83" hidden="1">
          <a:extLst>
            <a:ext uri="{63B3BB69-23CF-44E3-9099-C40C66FF867C}">
              <a14:compatExt xmlns:a14="http://schemas.microsoft.com/office/drawing/2010/main" spid="_x0000_s2131"/>
            </a:ext>
            <a:ext uri="{FF2B5EF4-FFF2-40B4-BE49-F238E27FC236}">
              <a16:creationId xmlns:a16="http://schemas.microsoft.com/office/drawing/2014/main" id="{18D0DEEF-DEC0-4805-B96C-A9160D7ED0EB}"/>
            </a:ext>
            <a:ext uri="{147F2762-F138-4A5C-976F-8EAC2B608ADB}">
              <a16:predDERef xmlns:a16="http://schemas.microsoft.com/office/drawing/2014/main" pred="{00000000-0008-0000-0200-000052080000}"/>
            </a:ext>
          </a:extLst>
        </xdr:cNvPr>
        <xdr:cNvSpPr/>
      </xdr:nvSpPr>
      <xdr:spPr bwMode="auto">
        <a:xfrm>
          <a:off x="19326225" y="39214425"/>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38" name="Option Button 84" hidden="1">
          <a:extLst>
            <a:ext uri="{63B3BB69-23CF-44E3-9099-C40C66FF867C}">
              <a14:compatExt xmlns:a14="http://schemas.microsoft.com/office/drawing/2010/main" spid="_x0000_s2132"/>
            </a:ext>
            <a:ext uri="{FF2B5EF4-FFF2-40B4-BE49-F238E27FC236}">
              <a16:creationId xmlns:a16="http://schemas.microsoft.com/office/drawing/2014/main" id="{3405F08B-9C6E-488B-9B05-9BAE003280FC}"/>
            </a:ext>
            <a:ext uri="{147F2762-F138-4A5C-976F-8EAC2B608ADB}">
              <a16:predDERef xmlns:a16="http://schemas.microsoft.com/office/drawing/2014/main" pred="{00000000-0008-0000-0200-000053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39" name="Option Button 85" hidden="1">
          <a:extLst>
            <a:ext uri="{63B3BB69-23CF-44E3-9099-C40C66FF867C}">
              <a14:compatExt xmlns:a14="http://schemas.microsoft.com/office/drawing/2010/main" spid="_x0000_s2133"/>
            </a:ext>
            <a:ext uri="{FF2B5EF4-FFF2-40B4-BE49-F238E27FC236}">
              <a16:creationId xmlns:a16="http://schemas.microsoft.com/office/drawing/2014/main" id="{57961242-2EF0-4B75-A7E8-CB63E2B57F2B}"/>
            </a:ext>
            <a:ext uri="{147F2762-F138-4A5C-976F-8EAC2B608ADB}">
              <a16:predDERef xmlns:a16="http://schemas.microsoft.com/office/drawing/2014/main" pred="{00000000-0008-0000-0200-000054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40" name="Option Button 86" hidden="1">
          <a:extLst>
            <a:ext uri="{63B3BB69-23CF-44E3-9099-C40C66FF867C}">
              <a14:compatExt xmlns:a14="http://schemas.microsoft.com/office/drawing/2010/main" spid="_x0000_s2134"/>
            </a:ext>
            <a:ext uri="{FF2B5EF4-FFF2-40B4-BE49-F238E27FC236}">
              <a16:creationId xmlns:a16="http://schemas.microsoft.com/office/drawing/2014/main" id="{015E1C5F-6561-4B40-A702-5CC8DB3FD66C}"/>
            </a:ext>
            <a:ext uri="{147F2762-F138-4A5C-976F-8EAC2B608ADB}">
              <a16:predDERef xmlns:a16="http://schemas.microsoft.com/office/drawing/2014/main" pred="{00000000-0008-0000-0200-000055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41" name="Option Button 87" hidden="1">
          <a:extLst>
            <a:ext uri="{63B3BB69-23CF-44E3-9099-C40C66FF867C}">
              <a14:compatExt xmlns:a14="http://schemas.microsoft.com/office/drawing/2010/main" spid="_x0000_s2135"/>
            </a:ext>
            <a:ext uri="{FF2B5EF4-FFF2-40B4-BE49-F238E27FC236}">
              <a16:creationId xmlns:a16="http://schemas.microsoft.com/office/drawing/2014/main" id="{5313A51E-3E1C-4415-98AE-1F4604855E1C}"/>
            </a:ext>
            <a:ext uri="{147F2762-F138-4A5C-976F-8EAC2B608ADB}">
              <a16:predDERef xmlns:a16="http://schemas.microsoft.com/office/drawing/2014/main" pred="{00000000-0008-0000-0200-000056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28575</xdr:rowOff>
    </xdr:from>
    <xdr:to>
      <xdr:col>32</xdr:col>
      <xdr:colOff>6350</xdr:colOff>
      <xdr:row>67</xdr:row>
      <xdr:rowOff>944563</xdr:rowOff>
    </xdr:to>
    <xdr:sp macro="" textlink="">
      <xdr:nvSpPr>
        <xdr:cNvPr id="42" name="Group Box 88" hidden="1">
          <a:extLst>
            <a:ext uri="{63B3BB69-23CF-44E3-9099-C40C66FF867C}">
              <a14:compatExt xmlns:a14="http://schemas.microsoft.com/office/drawing/2010/main" spid="_x0000_s2136"/>
            </a:ext>
            <a:ext uri="{FF2B5EF4-FFF2-40B4-BE49-F238E27FC236}">
              <a16:creationId xmlns:a16="http://schemas.microsoft.com/office/drawing/2014/main" id="{EE17A492-2C92-4796-A43D-9E586E3129B6}"/>
            </a:ext>
            <a:ext uri="{147F2762-F138-4A5C-976F-8EAC2B608ADB}">
              <a16:predDERef xmlns:a16="http://schemas.microsoft.com/office/drawing/2014/main" pred="{00000000-0008-0000-0200-000057080000}"/>
            </a:ext>
          </a:extLst>
        </xdr:cNvPr>
        <xdr:cNvSpPr/>
      </xdr:nvSpPr>
      <xdr:spPr bwMode="auto">
        <a:xfrm>
          <a:off x="19326225" y="4278630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3" name="Option Button 89" hidden="1">
          <a:extLst>
            <a:ext uri="{63B3BB69-23CF-44E3-9099-C40C66FF867C}">
              <a14:compatExt xmlns:a14="http://schemas.microsoft.com/office/drawing/2010/main" spid="_x0000_s2137"/>
            </a:ext>
            <a:ext uri="{FF2B5EF4-FFF2-40B4-BE49-F238E27FC236}">
              <a16:creationId xmlns:a16="http://schemas.microsoft.com/office/drawing/2014/main" id="{E64669D8-B276-4809-8E3D-19DF2AF40FC6}"/>
            </a:ext>
            <a:ext uri="{147F2762-F138-4A5C-976F-8EAC2B608ADB}">
              <a16:predDERef xmlns:a16="http://schemas.microsoft.com/office/drawing/2014/main" pred="{00000000-0008-0000-0200-000058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4" name="Option Button 90" hidden="1">
          <a:extLst>
            <a:ext uri="{63B3BB69-23CF-44E3-9099-C40C66FF867C}">
              <a14:compatExt xmlns:a14="http://schemas.microsoft.com/office/drawing/2010/main" spid="_x0000_s2138"/>
            </a:ext>
            <a:ext uri="{FF2B5EF4-FFF2-40B4-BE49-F238E27FC236}">
              <a16:creationId xmlns:a16="http://schemas.microsoft.com/office/drawing/2014/main" id="{4B71FAB7-60D6-48DA-8C0E-CCA7A781F77E}"/>
            </a:ext>
            <a:ext uri="{147F2762-F138-4A5C-976F-8EAC2B608ADB}">
              <a16:predDERef xmlns:a16="http://schemas.microsoft.com/office/drawing/2014/main" pred="{00000000-0008-0000-0200-000059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5" name="Option Button 91" hidden="1">
          <a:extLst>
            <a:ext uri="{63B3BB69-23CF-44E3-9099-C40C66FF867C}">
              <a14:compatExt xmlns:a14="http://schemas.microsoft.com/office/drawing/2010/main" spid="_x0000_s2139"/>
            </a:ext>
            <a:ext uri="{FF2B5EF4-FFF2-40B4-BE49-F238E27FC236}">
              <a16:creationId xmlns:a16="http://schemas.microsoft.com/office/drawing/2014/main" id="{C78BEFA0-1C9D-4771-9D18-53729B27F8FC}"/>
            </a:ext>
            <a:ext uri="{147F2762-F138-4A5C-976F-8EAC2B608ADB}">
              <a16:predDERef xmlns:a16="http://schemas.microsoft.com/office/drawing/2014/main" pred="{00000000-0008-0000-0200-00005A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6" name="Option Button 92" hidden="1">
          <a:extLst>
            <a:ext uri="{63B3BB69-23CF-44E3-9099-C40C66FF867C}">
              <a14:compatExt xmlns:a14="http://schemas.microsoft.com/office/drawing/2010/main" spid="_x0000_s2140"/>
            </a:ext>
            <a:ext uri="{FF2B5EF4-FFF2-40B4-BE49-F238E27FC236}">
              <a16:creationId xmlns:a16="http://schemas.microsoft.com/office/drawing/2014/main" id="{AD4822BC-8617-4DF2-B5F6-90EB97FADE99}"/>
            </a:ext>
            <a:ext uri="{147F2762-F138-4A5C-976F-8EAC2B608ADB}">
              <a16:predDERef xmlns:a16="http://schemas.microsoft.com/office/drawing/2014/main" pred="{00000000-0008-0000-0200-00005B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2</xdr:row>
      <xdr:rowOff>0</xdr:rowOff>
    </xdr:from>
    <xdr:ext cx="13365163" cy="374424"/>
    <xdr:sp macro="" textlink="">
      <xdr:nvSpPr>
        <xdr:cNvPr id="86" name="Group Box 93" hidden="1">
          <a:extLst>
            <a:ext uri="{63B3BB69-23CF-44E3-9099-C40C66FF867C}">
              <a14:compatExt xmlns:a14="http://schemas.microsoft.com/office/drawing/2010/main" spid="_x0000_s2141"/>
            </a:ext>
            <a:ext uri="{FF2B5EF4-FFF2-40B4-BE49-F238E27FC236}">
              <a16:creationId xmlns:a16="http://schemas.microsoft.com/office/drawing/2014/main" id="{6B46A2AE-B29A-48E3-8385-9C8E0D1D7A56}"/>
            </a:ext>
            <a:ext uri="{147F2762-F138-4A5C-976F-8EAC2B608ADB}">
              <a16:predDERef xmlns:a16="http://schemas.microsoft.com/office/drawing/2014/main" pred="{00000000-0008-0000-0200-00005C080000}"/>
            </a:ext>
          </a:extLst>
        </xdr:cNvPr>
        <xdr:cNvSpPr/>
      </xdr:nvSpPr>
      <xdr:spPr bwMode="auto">
        <a:xfrm>
          <a:off x="19326225" y="74018775"/>
          <a:ext cx="13417550" cy="37918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twoCellAnchor editAs="oneCell">
    <xdr:from>
      <xdr:col>10</xdr:col>
      <xdr:colOff>0</xdr:colOff>
      <xdr:row>112</xdr:row>
      <xdr:rowOff>0</xdr:rowOff>
    </xdr:from>
    <xdr:to>
      <xdr:col>11</xdr:col>
      <xdr:colOff>438151</xdr:colOff>
      <xdr:row>119</xdr:row>
      <xdr:rowOff>2382</xdr:rowOff>
    </xdr:to>
    <xdr:sp macro="" textlink="">
      <xdr:nvSpPr>
        <xdr:cNvPr id="48" name="Option Button 94" hidden="1">
          <a:extLst>
            <a:ext uri="{63B3BB69-23CF-44E3-9099-C40C66FF867C}">
              <a14:compatExt xmlns:a14="http://schemas.microsoft.com/office/drawing/2010/main" spid="_x0000_s2142"/>
            </a:ext>
            <a:ext uri="{FF2B5EF4-FFF2-40B4-BE49-F238E27FC236}">
              <a16:creationId xmlns:a16="http://schemas.microsoft.com/office/drawing/2014/main" id="{9D194F61-555C-4DA7-BFC6-BAA4C619D577}"/>
            </a:ext>
            <a:ext uri="{147F2762-F138-4A5C-976F-8EAC2B608ADB}">
              <a16:predDERef xmlns:a16="http://schemas.microsoft.com/office/drawing/2014/main" pred="{00000000-0008-0000-0200-00005D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49" name="Option Button 95" hidden="1">
          <a:extLst>
            <a:ext uri="{63B3BB69-23CF-44E3-9099-C40C66FF867C}">
              <a14:compatExt xmlns:a14="http://schemas.microsoft.com/office/drawing/2010/main" spid="_x0000_s2143"/>
            </a:ext>
            <a:ext uri="{FF2B5EF4-FFF2-40B4-BE49-F238E27FC236}">
              <a16:creationId xmlns:a16="http://schemas.microsoft.com/office/drawing/2014/main" id="{9A9B5E43-7D51-4DD0-9DD8-5D9D7A5082F2}"/>
            </a:ext>
            <a:ext uri="{147F2762-F138-4A5C-976F-8EAC2B608ADB}">
              <a16:predDERef xmlns:a16="http://schemas.microsoft.com/office/drawing/2014/main" pred="{00000000-0008-0000-0200-00005E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50" name="Option Button 96" hidden="1">
          <a:extLst>
            <a:ext uri="{63B3BB69-23CF-44E3-9099-C40C66FF867C}">
              <a14:compatExt xmlns:a14="http://schemas.microsoft.com/office/drawing/2010/main" spid="_x0000_s2144"/>
            </a:ext>
            <a:ext uri="{FF2B5EF4-FFF2-40B4-BE49-F238E27FC236}">
              <a16:creationId xmlns:a16="http://schemas.microsoft.com/office/drawing/2014/main" id="{BD5F5FB9-BC87-4F0E-8CDB-62062E5CF815}"/>
            </a:ext>
            <a:ext uri="{147F2762-F138-4A5C-976F-8EAC2B608ADB}">
              <a16:predDERef xmlns:a16="http://schemas.microsoft.com/office/drawing/2014/main" pred="{00000000-0008-0000-0200-00005F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51" name="Option Button 97" hidden="1">
          <a:extLst>
            <a:ext uri="{63B3BB69-23CF-44E3-9099-C40C66FF867C}">
              <a14:compatExt xmlns:a14="http://schemas.microsoft.com/office/drawing/2010/main" spid="_x0000_s2145"/>
            </a:ext>
            <a:ext uri="{FF2B5EF4-FFF2-40B4-BE49-F238E27FC236}">
              <a16:creationId xmlns:a16="http://schemas.microsoft.com/office/drawing/2014/main" id="{66CF583E-ED25-4539-A8D7-81E63BE5FE6D}"/>
            </a:ext>
            <a:ext uri="{147F2762-F138-4A5C-976F-8EAC2B608ADB}">
              <a16:predDERef xmlns:a16="http://schemas.microsoft.com/office/drawing/2014/main" pred="{00000000-0008-0000-0200-000060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3</xdr:row>
      <xdr:rowOff>0</xdr:rowOff>
    </xdr:from>
    <xdr:ext cx="13365163" cy="377825"/>
    <xdr:sp macro="" textlink="">
      <xdr:nvSpPr>
        <xdr:cNvPr id="87" name="Group Box 98" hidden="1">
          <a:extLst>
            <a:ext uri="{63B3BB69-23CF-44E3-9099-C40C66FF867C}">
              <a14:compatExt xmlns:a14="http://schemas.microsoft.com/office/drawing/2010/main" spid="_x0000_s2146"/>
            </a:ext>
            <a:ext uri="{FF2B5EF4-FFF2-40B4-BE49-F238E27FC236}">
              <a16:creationId xmlns:a16="http://schemas.microsoft.com/office/drawing/2014/main" id="{3098DB9A-EF01-4552-B781-9A925363EC85}"/>
            </a:ext>
            <a:ext uri="{147F2762-F138-4A5C-976F-8EAC2B608ADB}">
              <a16:predDERef xmlns:a16="http://schemas.microsoft.com/office/drawing/2014/main" pred="{00000000-0008-0000-0200-000061080000}"/>
            </a:ext>
          </a:extLst>
        </xdr:cNvPr>
        <xdr:cNvSpPr/>
      </xdr:nvSpPr>
      <xdr:spPr bwMode="auto">
        <a:xfrm>
          <a:off x="19326225" y="76228575"/>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3</xdr:row>
      <xdr:rowOff>0</xdr:rowOff>
    </xdr:from>
    <xdr:ext cx="1045370" cy="206375"/>
    <xdr:sp macro="" textlink="">
      <xdr:nvSpPr>
        <xdr:cNvPr id="88" name="Option Button 99" hidden="1">
          <a:extLst>
            <a:ext uri="{63B3BB69-23CF-44E3-9099-C40C66FF867C}">
              <a14:compatExt xmlns:a14="http://schemas.microsoft.com/office/drawing/2010/main" spid="_x0000_s2147"/>
            </a:ext>
            <a:ext uri="{FF2B5EF4-FFF2-40B4-BE49-F238E27FC236}">
              <a16:creationId xmlns:a16="http://schemas.microsoft.com/office/drawing/2014/main" id="{CCD87297-D18D-4A3E-A60F-48830CEFBDD6}"/>
            </a:ext>
            <a:ext uri="{147F2762-F138-4A5C-976F-8EAC2B608ADB}">
              <a16:predDERef xmlns:a16="http://schemas.microsoft.com/office/drawing/2014/main" pred="{00000000-0008-0000-0200-000062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89" name="Option Button 100" hidden="1">
          <a:extLst>
            <a:ext uri="{63B3BB69-23CF-44E3-9099-C40C66FF867C}">
              <a14:compatExt xmlns:a14="http://schemas.microsoft.com/office/drawing/2010/main" spid="_x0000_s2148"/>
            </a:ext>
            <a:ext uri="{FF2B5EF4-FFF2-40B4-BE49-F238E27FC236}">
              <a16:creationId xmlns:a16="http://schemas.microsoft.com/office/drawing/2014/main" id="{5889885B-6018-4217-BC82-FB75909018D6}"/>
            </a:ext>
            <a:ext uri="{147F2762-F138-4A5C-976F-8EAC2B608ADB}">
              <a16:predDERef xmlns:a16="http://schemas.microsoft.com/office/drawing/2014/main" pred="{00000000-0008-0000-0200-000063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90" name="Option Button 101" hidden="1">
          <a:extLst>
            <a:ext uri="{63B3BB69-23CF-44E3-9099-C40C66FF867C}">
              <a14:compatExt xmlns:a14="http://schemas.microsoft.com/office/drawing/2010/main" spid="_x0000_s2149"/>
            </a:ext>
            <a:ext uri="{FF2B5EF4-FFF2-40B4-BE49-F238E27FC236}">
              <a16:creationId xmlns:a16="http://schemas.microsoft.com/office/drawing/2014/main" id="{EDC193DD-9DE7-4A13-B122-1F0E95367BAA}"/>
            </a:ext>
            <a:ext uri="{147F2762-F138-4A5C-976F-8EAC2B608ADB}">
              <a16:predDERef xmlns:a16="http://schemas.microsoft.com/office/drawing/2014/main" pred="{00000000-0008-0000-0200-000064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91" name="Option Button 102" hidden="1">
          <a:extLst>
            <a:ext uri="{63B3BB69-23CF-44E3-9099-C40C66FF867C}">
              <a14:compatExt xmlns:a14="http://schemas.microsoft.com/office/drawing/2010/main" spid="_x0000_s2150"/>
            </a:ext>
            <a:ext uri="{FF2B5EF4-FFF2-40B4-BE49-F238E27FC236}">
              <a16:creationId xmlns:a16="http://schemas.microsoft.com/office/drawing/2014/main" id="{E38E9C2C-96E3-4E9E-81D9-89A81C84B77E}"/>
            </a:ext>
            <a:ext uri="{147F2762-F138-4A5C-976F-8EAC2B608ADB}">
              <a16:predDERef xmlns:a16="http://schemas.microsoft.com/office/drawing/2014/main" pred="{00000000-0008-0000-0200-000065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twoCellAnchor editAs="oneCell">
    <xdr:from>
      <xdr:col>10</xdr:col>
      <xdr:colOff>0</xdr:colOff>
      <xdr:row>113</xdr:row>
      <xdr:rowOff>28575</xdr:rowOff>
    </xdr:from>
    <xdr:to>
      <xdr:col>32</xdr:col>
      <xdr:colOff>6350</xdr:colOff>
      <xdr:row>301</xdr:row>
      <xdr:rowOff>26194</xdr:rowOff>
    </xdr:to>
    <xdr:sp macro="" textlink="">
      <xdr:nvSpPr>
        <xdr:cNvPr id="57" name="Group Box 103" hidden="1">
          <a:extLst>
            <a:ext uri="{63B3BB69-23CF-44E3-9099-C40C66FF867C}">
              <a14:compatExt xmlns:a14="http://schemas.microsoft.com/office/drawing/2010/main" spid="_x0000_s2151"/>
            </a:ext>
            <a:ext uri="{FF2B5EF4-FFF2-40B4-BE49-F238E27FC236}">
              <a16:creationId xmlns:a16="http://schemas.microsoft.com/office/drawing/2014/main" id="{CAF763F2-8FCD-4BCB-B944-4C06931BD45B}"/>
            </a:ext>
            <a:ext uri="{147F2762-F138-4A5C-976F-8EAC2B608ADB}">
              <a16:predDERef xmlns:a16="http://schemas.microsoft.com/office/drawing/2014/main" pred="{00000000-0008-0000-0200-000066080000}"/>
            </a:ext>
          </a:extLst>
        </xdr:cNvPr>
        <xdr:cNvSpPr/>
      </xdr:nvSpPr>
      <xdr:spPr bwMode="auto">
        <a:xfrm>
          <a:off x="19326225" y="79781400"/>
          <a:ext cx="13417550" cy="3905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58" name="Option Button 104" hidden="1">
          <a:extLst>
            <a:ext uri="{63B3BB69-23CF-44E3-9099-C40C66FF867C}">
              <a14:compatExt xmlns:a14="http://schemas.microsoft.com/office/drawing/2010/main" spid="_x0000_s2152"/>
            </a:ext>
            <a:ext uri="{FF2B5EF4-FFF2-40B4-BE49-F238E27FC236}">
              <a16:creationId xmlns:a16="http://schemas.microsoft.com/office/drawing/2014/main" id="{B0FCB23A-CEA7-4809-9304-99AC451C47F6}"/>
            </a:ext>
            <a:ext uri="{147F2762-F138-4A5C-976F-8EAC2B608ADB}">
              <a16:predDERef xmlns:a16="http://schemas.microsoft.com/office/drawing/2014/main" pred="{00000000-0008-0000-0200-000067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59" name="Option Button 105" hidden="1">
          <a:extLst>
            <a:ext uri="{63B3BB69-23CF-44E3-9099-C40C66FF867C}">
              <a14:compatExt xmlns:a14="http://schemas.microsoft.com/office/drawing/2010/main" spid="_x0000_s2153"/>
            </a:ext>
            <a:ext uri="{FF2B5EF4-FFF2-40B4-BE49-F238E27FC236}">
              <a16:creationId xmlns:a16="http://schemas.microsoft.com/office/drawing/2014/main" id="{DFD514D2-2C6B-4421-9D18-790AEEBA5BC6}"/>
            </a:ext>
            <a:ext uri="{147F2762-F138-4A5C-976F-8EAC2B608ADB}">
              <a16:predDERef xmlns:a16="http://schemas.microsoft.com/office/drawing/2014/main" pred="{00000000-0008-0000-0200-000068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60" name="Option Button 106" hidden="1">
          <a:extLst>
            <a:ext uri="{63B3BB69-23CF-44E3-9099-C40C66FF867C}">
              <a14:compatExt xmlns:a14="http://schemas.microsoft.com/office/drawing/2010/main" spid="_x0000_s2154"/>
            </a:ext>
            <a:ext uri="{FF2B5EF4-FFF2-40B4-BE49-F238E27FC236}">
              <a16:creationId xmlns:a16="http://schemas.microsoft.com/office/drawing/2014/main" id="{78059983-432D-4A69-92F2-ACC998C44DCD}"/>
            </a:ext>
            <a:ext uri="{147F2762-F138-4A5C-976F-8EAC2B608ADB}">
              <a16:predDERef xmlns:a16="http://schemas.microsoft.com/office/drawing/2014/main" pred="{00000000-0008-0000-0200-000069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61" name="Option Button 107" hidden="1">
          <a:extLst>
            <a:ext uri="{63B3BB69-23CF-44E3-9099-C40C66FF867C}">
              <a14:compatExt xmlns:a14="http://schemas.microsoft.com/office/drawing/2010/main" spid="_x0000_s2155"/>
            </a:ext>
            <a:ext uri="{FF2B5EF4-FFF2-40B4-BE49-F238E27FC236}">
              <a16:creationId xmlns:a16="http://schemas.microsoft.com/office/drawing/2014/main" id="{512654B3-29CF-4726-8D3F-B4FF3071AC69}"/>
            </a:ext>
            <a:ext uri="{147F2762-F138-4A5C-976F-8EAC2B608ADB}">
              <a16:predDERef xmlns:a16="http://schemas.microsoft.com/office/drawing/2014/main" pred="{00000000-0008-0000-0200-00006A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28575</xdr:rowOff>
    </xdr:from>
    <xdr:to>
      <xdr:col>32</xdr:col>
      <xdr:colOff>6350</xdr:colOff>
      <xdr:row>59</xdr:row>
      <xdr:rowOff>552451</xdr:rowOff>
    </xdr:to>
    <xdr:sp macro="" textlink="">
      <xdr:nvSpPr>
        <xdr:cNvPr id="62" name="Group Box 108" hidden="1">
          <a:extLst>
            <a:ext uri="{63B3BB69-23CF-44E3-9099-C40C66FF867C}">
              <a14:compatExt xmlns:a14="http://schemas.microsoft.com/office/drawing/2010/main" spid="_x0000_s2156"/>
            </a:ext>
            <a:ext uri="{FF2B5EF4-FFF2-40B4-BE49-F238E27FC236}">
              <a16:creationId xmlns:a16="http://schemas.microsoft.com/office/drawing/2014/main" id="{ED1050A0-A243-40BC-87C8-DB35EF307050}"/>
            </a:ext>
            <a:ext uri="{147F2762-F138-4A5C-976F-8EAC2B608ADB}">
              <a16:predDERef xmlns:a16="http://schemas.microsoft.com/office/drawing/2014/main" pred="{00000000-0008-0000-0200-00006B080000}"/>
            </a:ext>
          </a:extLst>
        </xdr:cNvPr>
        <xdr:cNvSpPr/>
      </xdr:nvSpPr>
      <xdr:spPr bwMode="auto">
        <a:xfrm>
          <a:off x="19326225" y="15630525"/>
          <a:ext cx="13417550" cy="3905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3" name="Option Button 109" hidden="1">
          <a:extLst>
            <a:ext uri="{63B3BB69-23CF-44E3-9099-C40C66FF867C}">
              <a14:compatExt xmlns:a14="http://schemas.microsoft.com/office/drawing/2010/main" spid="_x0000_s2157"/>
            </a:ext>
            <a:ext uri="{FF2B5EF4-FFF2-40B4-BE49-F238E27FC236}">
              <a16:creationId xmlns:a16="http://schemas.microsoft.com/office/drawing/2014/main" id="{316A3F41-DC97-4C9F-B0CE-61220E8FCB53}"/>
            </a:ext>
            <a:ext uri="{147F2762-F138-4A5C-976F-8EAC2B608ADB}">
              <a16:predDERef xmlns:a16="http://schemas.microsoft.com/office/drawing/2014/main" pred="{00000000-0008-0000-0200-00006C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4" name="Option Button 110" hidden="1">
          <a:extLst>
            <a:ext uri="{63B3BB69-23CF-44E3-9099-C40C66FF867C}">
              <a14:compatExt xmlns:a14="http://schemas.microsoft.com/office/drawing/2010/main" spid="_x0000_s2158"/>
            </a:ext>
            <a:ext uri="{FF2B5EF4-FFF2-40B4-BE49-F238E27FC236}">
              <a16:creationId xmlns:a16="http://schemas.microsoft.com/office/drawing/2014/main" id="{703EB8B4-C914-4AFC-AAE9-1857B0B40535}"/>
            </a:ext>
            <a:ext uri="{147F2762-F138-4A5C-976F-8EAC2B608ADB}">
              <a16:predDERef xmlns:a16="http://schemas.microsoft.com/office/drawing/2014/main" pred="{00000000-0008-0000-0200-00006D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5" name="Option Button 111" hidden="1">
          <a:extLst>
            <a:ext uri="{63B3BB69-23CF-44E3-9099-C40C66FF867C}">
              <a14:compatExt xmlns:a14="http://schemas.microsoft.com/office/drawing/2010/main" spid="_x0000_s2159"/>
            </a:ext>
            <a:ext uri="{FF2B5EF4-FFF2-40B4-BE49-F238E27FC236}">
              <a16:creationId xmlns:a16="http://schemas.microsoft.com/office/drawing/2014/main" id="{E930BF2D-8B20-4399-A093-106B4D4E461D}"/>
            </a:ext>
            <a:ext uri="{147F2762-F138-4A5C-976F-8EAC2B608ADB}">
              <a16:predDERef xmlns:a16="http://schemas.microsoft.com/office/drawing/2014/main" pred="{00000000-0008-0000-0200-00006E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6" name="Option Button 112" hidden="1">
          <a:extLst>
            <a:ext uri="{63B3BB69-23CF-44E3-9099-C40C66FF867C}">
              <a14:compatExt xmlns:a14="http://schemas.microsoft.com/office/drawing/2010/main" spid="_x0000_s2160"/>
            </a:ext>
            <a:ext uri="{FF2B5EF4-FFF2-40B4-BE49-F238E27FC236}">
              <a16:creationId xmlns:a16="http://schemas.microsoft.com/office/drawing/2014/main" id="{3EFDF75A-22B8-4D83-93ED-DF3DCF4265F0}"/>
            </a:ext>
            <a:ext uri="{147F2762-F138-4A5C-976F-8EAC2B608ADB}">
              <a16:predDERef xmlns:a16="http://schemas.microsoft.com/office/drawing/2014/main" pred="{00000000-0008-0000-0200-00006F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70</xdr:row>
      <xdr:rowOff>0</xdr:rowOff>
    </xdr:from>
    <xdr:ext cx="13420725" cy="381000"/>
    <xdr:sp macro="" textlink="">
      <xdr:nvSpPr>
        <xdr:cNvPr id="67" name="Group Box 113" hidden="1">
          <a:extLst>
            <a:ext uri="{63B3BB69-23CF-44E3-9099-C40C66FF867C}">
              <a14:compatExt xmlns:a14="http://schemas.microsoft.com/office/drawing/2010/main" spid="_x0000_s2161"/>
            </a:ext>
            <a:ext uri="{FF2B5EF4-FFF2-40B4-BE49-F238E27FC236}">
              <a16:creationId xmlns:a16="http://schemas.microsoft.com/office/drawing/2014/main" id="{E462E22F-B946-4091-86E3-BFCD1515CB97}"/>
            </a:ext>
            <a:ext uri="{147F2762-F138-4A5C-976F-8EAC2B608ADB}">
              <a16:predDERef xmlns:a16="http://schemas.microsoft.com/office/drawing/2014/main" pred="{00000000-0008-0000-0200-000070080000}"/>
            </a:ext>
          </a:extLst>
        </xdr:cNvPr>
        <xdr:cNvSpPr/>
      </xdr:nvSpPr>
      <xdr:spPr bwMode="auto">
        <a:xfrm>
          <a:off x="19326225" y="49368075"/>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70</xdr:row>
      <xdr:rowOff>0</xdr:rowOff>
    </xdr:from>
    <xdr:ext cx="1047750" cy="209550"/>
    <xdr:sp macro="" textlink="">
      <xdr:nvSpPr>
        <xdr:cNvPr id="68" name="Option Button 114" hidden="1">
          <a:extLst>
            <a:ext uri="{63B3BB69-23CF-44E3-9099-C40C66FF867C}">
              <a14:compatExt xmlns:a14="http://schemas.microsoft.com/office/drawing/2010/main" spid="_x0000_s2162"/>
            </a:ext>
            <a:ext uri="{FF2B5EF4-FFF2-40B4-BE49-F238E27FC236}">
              <a16:creationId xmlns:a16="http://schemas.microsoft.com/office/drawing/2014/main" id="{18ED4CBE-0F1E-4D71-AA80-58F3A02B717A}"/>
            </a:ext>
            <a:ext uri="{147F2762-F138-4A5C-976F-8EAC2B608ADB}">
              <a16:predDERef xmlns:a16="http://schemas.microsoft.com/office/drawing/2014/main" pred="{0EC04E8C-0742-45DF-AEE8-B9CFFA650B6E}"/>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69" name="Option Button 115" hidden="1">
          <a:extLst>
            <a:ext uri="{63B3BB69-23CF-44E3-9099-C40C66FF867C}">
              <a14:compatExt xmlns:a14="http://schemas.microsoft.com/office/drawing/2010/main" spid="_x0000_s2163"/>
            </a:ext>
            <a:ext uri="{FF2B5EF4-FFF2-40B4-BE49-F238E27FC236}">
              <a16:creationId xmlns:a16="http://schemas.microsoft.com/office/drawing/2014/main" id="{8A168949-44FA-4572-9444-4C9C133E88AE}"/>
            </a:ext>
            <a:ext uri="{147F2762-F138-4A5C-976F-8EAC2B608ADB}">
              <a16:predDERef xmlns:a16="http://schemas.microsoft.com/office/drawing/2014/main" pred="{6BEEA6EE-EE17-49DE-B00B-4140082A04F2}"/>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70" name="Option Button 116" hidden="1">
          <a:extLst>
            <a:ext uri="{63B3BB69-23CF-44E3-9099-C40C66FF867C}">
              <a14:compatExt xmlns:a14="http://schemas.microsoft.com/office/drawing/2010/main" spid="_x0000_s2164"/>
            </a:ext>
            <a:ext uri="{FF2B5EF4-FFF2-40B4-BE49-F238E27FC236}">
              <a16:creationId xmlns:a16="http://schemas.microsoft.com/office/drawing/2014/main" id="{E02C0822-6C8C-4A94-B8E1-2C4E0ADC1F58}"/>
            </a:ext>
            <a:ext uri="{147F2762-F138-4A5C-976F-8EAC2B608ADB}">
              <a16:predDERef xmlns:a16="http://schemas.microsoft.com/office/drawing/2014/main" pred="{DB4AF23A-8998-434E-8A98-9CB60D43BE55}"/>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71" name="Option Button 117" hidden="1">
          <a:extLst>
            <a:ext uri="{63B3BB69-23CF-44E3-9099-C40C66FF867C}">
              <a14:compatExt xmlns:a14="http://schemas.microsoft.com/office/drawing/2010/main" spid="_x0000_s2165"/>
            </a:ext>
            <a:ext uri="{FF2B5EF4-FFF2-40B4-BE49-F238E27FC236}">
              <a16:creationId xmlns:a16="http://schemas.microsoft.com/office/drawing/2014/main" id="{504D0762-9E1F-4EBB-8A75-62E4F84E68C9}"/>
            </a:ext>
            <a:ext uri="{147F2762-F138-4A5C-976F-8EAC2B608ADB}">
              <a16:predDERef xmlns:a16="http://schemas.microsoft.com/office/drawing/2014/main" pred="{9F0E6BF7-5720-46A7-85DC-68AC8A503455}"/>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twoCellAnchor editAs="oneCell">
    <xdr:from>
      <xdr:col>10</xdr:col>
      <xdr:colOff>0</xdr:colOff>
      <xdr:row>29</xdr:row>
      <xdr:rowOff>0</xdr:rowOff>
    </xdr:from>
    <xdr:to>
      <xdr:col>32</xdr:col>
      <xdr:colOff>6350</xdr:colOff>
      <xdr:row>38</xdr:row>
      <xdr:rowOff>294482</xdr:rowOff>
    </xdr:to>
    <xdr:sp macro="" textlink="">
      <xdr:nvSpPr>
        <xdr:cNvPr id="72" name="Group Box 37" hidden="1">
          <a:extLst>
            <a:ext uri="{63B3BB69-23CF-44E3-9099-C40C66FF867C}">
              <a14:compatExt xmlns:a14="http://schemas.microsoft.com/office/drawing/2010/main" spid="_x0000_s2085"/>
            </a:ext>
            <a:ext uri="{FF2B5EF4-FFF2-40B4-BE49-F238E27FC236}">
              <a16:creationId xmlns:a16="http://schemas.microsoft.com/office/drawing/2014/main" id="{EEC85C66-ECF3-48C7-9452-D7E63B258267}"/>
            </a:ext>
            <a:ext uri="{147F2762-F138-4A5C-976F-8EAC2B608ADB}">
              <a16:predDERef xmlns:a16="http://schemas.microsoft.com/office/drawing/2014/main" pred="{504D0762-9E1F-4EBB-8A75-62E4F84E68C9}"/>
            </a:ext>
          </a:extLst>
        </xdr:cNvPr>
        <xdr:cNvSpPr/>
      </xdr:nvSpPr>
      <xdr:spPr bwMode="auto">
        <a:xfrm>
          <a:off x="25003125" y="11896725"/>
          <a:ext cx="13417550" cy="377826"/>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29</xdr:row>
      <xdr:rowOff>0</xdr:rowOff>
    </xdr:from>
    <xdr:to>
      <xdr:col>32</xdr:col>
      <xdr:colOff>6350</xdr:colOff>
      <xdr:row>38</xdr:row>
      <xdr:rowOff>294482</xdr:rowOff>
    </xdr:to>
    <xdr:sp macro="" textlink="">
      <xdr:nvSpPr>
        <xdr:cNvPr id="73" name="Group Box 42" hidden="1">
          <a:extLst>
            <a:ext uri="{63B3BB69-23CF-44E3-9099-C40C66FF867C}">
              <a14:compatExt xmlns:a14="http://schemas.microsoft.com/office/drawing/2010/main" spid="_x0000_s2090"/>
            </a:ext>
            <a:ext uri="{FF2B5EF4-FFF2-40B4-BE49-F238E27FC236}">
              <a16:creationId xmlns:a16="http://schemas.microsoft.com/office/drawing/2014/main" id="{036E970A-BF97-4F21-A1AF-26DDD024E63B}"/>
            </a:ext>
            <a:ext uri="{147F2762-F138-4A5C-976F-8EAC2B608ADB}">
              <a16:predDERef xmlns:a16="http://schemas.microsoft.com/office/drawing/2014/main" pred="{EEC85C66-ECF3-48C7-9452-D7E63B258267}"/>
            </a:ext>
          </a:extLst>
        </xdr:cNvPr>
        <xdr:cNvSpPr/>
      </xdr:nvSpPr>
      <xdr:spPr bwMode="auto">
        <a:xfrm>
          <a:off x="25003125" y="11896725"/>
          <a:ext cx="13417550" cy="377826"/>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2407</xdr:rowOff>
    </xdr:from>
    <xdr:to>
      <xdr:col>4</xdr:col>
      <xdr:colOff>588733</xdr:colOff>
      <xdr:row>25</xdr:row>
      <xdr:rowOff>210879</xdr:rowOff>
    </xdr:to>
    <xdr:pic>
      <xdr:nvPicPr>
        <xdr:cNvPr id="2" name="Picture 1">
          <a:extLst>
            <a:ext uri="{FF2B5EF4-FFF2-40B4-BE49-F238E27FC236}">
              <a16:creationId xmlns:a16="http://schemas.microsoft.com/office/drawing/2014/main" id="{2A358BF7-8378-49A3-B9AA-9B39F260F0FE}"/>
            </a:ext>
          </a:extLst>
        </xdr:cNvPr>
        <xdr:cNvPicPr>
          <a:picLocks noChangeAspect="1"/>
        </xdr:cNvPicPr>
      </xdr:nvPicPr>
      <xdr:blipFill>
        <a:blip xmlns:r="http://schemas.openxmlformats.org/officeDocument/2006/relationships" r:embed="rId1"/>
        <a:stretch>
          <a:fillRect/>
        </a:stretch>
      </xdr:blipFill>
      <xdr:spPr>
        <a:xfrm>
          <a:off x="0" y="2316982"/>
          <a:ext cx="3598633" cy="4751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570864</xdr:colOff>
      <xdr:row>1</xdr:row>
      <xdr:rowOff>172085</xdr:rowOff>
    </xdr:from>
    <xdr:to>
      <xdr:col>13</xdr:col>
      <xdr:colOff>232832</xdr:colOff>
      <xdr:row>34</xdr:row>
      <xdr:rowOff>95250</xdr:rowOff>
    </xdr:to>
    <xdr:sp macro="" textlink="">
      <xdr:nvSpPr>
        <xdr:cNvPr id="2" name="TextBox 1">
          <a:extLst>
            <a:ext uri="{FF2B5EF4-FFF2-40B4-BE49-F238E27FC236}">
              <a16:creationId xmlns:a16="http://schemas.microsoft.com/office/drawing/2014/main" id="{24D07AF6-AF24-4B5B-9856-0D78E6EB6BE5}"/>
            </a:ext>
            <a:ext uri="{147F2762-F138-4A5C-976F-8EAC2B608ADB}">
              <a16:predDERef xmlns:a16="http://schemas.microsoft.com/office/drawing/2014/main" pred="{6BB5F9AA-D8EC-41B8-93B4-3BD4289AE987}"/>
            </a:ext>
          </a:extLst>
        </xdr:cNvPr>
        <xdr:cNvSpPr txBox="1"/>
      </xdr:nvSpPr>
      <xdr:spPr>
        <a:xfrm>
          <a:off x="570864" y="362585"/>
          <a:ext cx="7872518" cy="6209665"/>
        </a:xfrm>
        <a:prstGeom prst="rect">
          <a:avLst/>
        </a:prstGeom>
        <a:solidFill>
          <a:srgbClr val="DEDBC4">
            <a:alpha val="50196"/>
          </a:srgbClr>
        </a:solidFill>
        <a:ln w="9525" cmpd="sng">
          <a:solidFill>
            <a:srgbClr val="DEDBC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fr-FR" sz="1050" b="1" i="0">
              <a:solidFill>
                <a:sysClr val="windowText" lastClr="000000"/>
              </a:solidFill>
              <a:latin typeface="Century Gothic" panose="020B0502020202020204" pitchFamily="34" charset="0"/>
              <a:ea typeface="+mn-ea"/>
              <a:cs typeface="+mn-cs"/>
            </a:rPr>
            <a:t>Comment fonctionne l’outil d’évaluation des risques des exploitations agricoles ?</a:t>
          </a:r>
        </a:p>
        <a:p>
          <a:pPr fontAlgn="base"/>
          <a:r>
            <a:rPr lang="fr-FR" sz="1000" b="0" i="0">
              <a:solidFill>
                <a:sysClr val="windowText" lastClr="000000"/>
              </a:solidFill>
              <a:latin typeface="Century Gothic" panose="020B0502020202020204" pitchFamily="34" charset="0"/>
              <a:ea typeface="+mn-ea"/>
              <a:cs typeface="+mn-cs"/>
            </a:rPr>
            <a:t>L’outil d’évaluation des risques des exploitations agricoles comprend une série de questions permettant aux</a:t>
          </a:r>
          <a:r>
            <a:rPr lang="fr-FR" sz="1000" b="0" i="0" baseline="0">
              <a:solidFill>
                <a:sysClr val="windowText" lastClr="000000"/>
              </a:solidFill>
              <a:latin typeface="Century Gothic" panose="020B0502020202020204" pitchFamily="34" charset="0"/>
              <a:ea typeface="+mn-ea"/>
              <a:cs typeface="+mn-cs"/>
            </a:rPr>
            <a:t> titulaires</a:t>
          </a:r>
          <a:r>
            <a:rPr lang="fr-FR" sz="1000" b="0" i="0">
              <a:solidFill>
                <a:sysClr val="windowText" lastClr="000000"/>
              </a:solidFill>
              <a:latin typeface="Century Gothic" panose="020B0502020202020204" pitchFamily="34" charset="0"/>
              <a:ea typeface="+mn-ea"/>
              <a:cs typeface="+mn-cs"/>
            </a:rPr>
            <a:t> de certificats d’identifier les risques </a:t>
          </a:r>
          <a:r>
            <a:rPr lang="fr-FR" sz="1000" b="0" i="0">
              <a:solidFill>
                <a:schemeClr val="dk1"/>
              </a:solidFill>
              <a:latin typeface="Century Gothic" panose="020B0502020202020204" pitchFamily="34" charset="0"/>
              <a:ea typeface="+mn-ea"/>
              <a:cs typeface="+mn-cs"/>
            </a:rPr>
            <a:t>liés à l’agriculture durable </a:t>
          </a:r>
          <a:r>
            <a:rPr lang="fr-FR" sz="1000" b="0" i="0" baseline="0">
              <a:solidFill>
                <a:schemeClr val="dk1"/>
              </a:solidFill>
              <a:latin typeface="Century Gothic" panose="020B0502020202020204" pitchFamily="34" charset="0"/>
              <a:ea typeface="+mn-ea"/>
              <a:cs typeface="+mn-cs"/>
            </a:rPr>
            <a:t>sur leur exploitation</a:t>
          </a:r>
          <a:r>
            <a:rPr lang="fr-FR" sz="1000" b="0" i="0">
              <a:solidFill>
                <a:sysClr val="windowText" lastClr="000000"/>
              </a:solidFill>
              <a:latin typeface="Century Gothic" panose="020B0502020202020204" pitchFamily="34" charset="0"/>
              <a:ea typeface="+mn-ea"/>
              <a:cs typeface="+mn-cs"/>
            </a:rPr>
            <a:t> et de définir les mesures</a:t>
          </a:r>
          <a:r>
            <a:rPr lang="fr-FR" sz="1000" b="0" i="0" baseline="0">
              <a:solidFill>
                <a:sysClr val="windowText" lastClr="000000"/>
              </a:solidFill>
              <a:latin typeface="Century Gothic" panose="020B0502020202020204" pitchFamily="34" charset="0"/>
              <a:ea typeface="+mn-ea"/>
              <a:cs typeface="+mn-cs"/>
            </a:rPr>
            <a:t> appropriées de traitement de ces risques.</a:t>
          </a:r>
          <a:r>
            <a:rPr lang="fr-FR" sz="1000" b="0" i="0">
              <a:solidFill>
                <a:sysClr val="windowText" lastClr="000000"/>
              </a:solidFill>
              <a:latin typeface="Century Gothic" panose="020B0502020202020204" pitchFamily="34" charset="0"/>
              <a:ea typeface="+mn-ea"/>
              <a:cs typeface="+mn-cs"/>
            </a:rPr>
            <a:t> </a:t>
          </a:r>
        </a:p>
        <a:p>
          <a:pPr fontAlgn="base"/>
          <a:endParaRPr/>
        </a:p>
        <a:p>
          <a:pPr fontAlgn="base"/>
          <a:r>
            <a:rPr lang="fr-FR" sz="1000" b="0" i="0">
              <a:solidFill>
                <a:sysClr val="windowText" lastClr="000000"/>
              </a:solidFill>
              <a:latin typeface="Century Gothic" panose="020B0502020202020204" pitchFamily="34" charset="0"/>
              <a:ea typeface="+mn-ea"/>
              <a:cs typeface="+mn-cs"/>
            </a:rPr>
            <a:t>Un questionnaire basé sur les </a:t>
          </a:r>
          <a:r>
            <a:rPr lang="fr-FR" sz="1000" b="0" i="0" baseline="0">
              <a:solidFill>
                <a:sysClr val="windowText" lastClr="000000"/>
              </a:solidFill>
              <a:latin typeface="Century Gothic" panose="020B0502020202020204" pitchFamily="34" charset="0"/>
              <a:ea typeface="+mn-ea"/>
              <a:cs typeface="+mn-cs"/>
            </a:rPr>
            <a:t>exigences applicables (ex : certification de groupe ou de grandes exploitations agricoles) permettra au titulaire d’un certificat d’accéder à l’Outil d’évaluation des risques des exploitations agricoles. </a:t>
          </a:r>
          <a:r>
            <a:rPr lang="fr-FR" sz="1000" b="1" i="0" baseline="0">
              <a:solidFill>
                <a:sysClr val="windowText" lastClr="000000"/>
              </a:solidFill>
              <a:latin typeface="Century Gothic" panose="020B0502020202020204" pitchFamily="34" charset="0"/>
              <a:ea typeface="+mn-ea"/>
              <a:cs typeface="+mn-cs"/>
            </a:rPr>
            <a:t>NB : les exploitations agricoles individuellement certifiées font partie des ‘grandes exploitations agricoles’). Dans les groupes mixtes entre petites et grandes exploitations agricoles, ou dans les groupes de grandes exploitations, toutes les grandes exploitations agricoles doivent également procéder pour elles-mêmes à l’évaluation des risques, au-dessus de la direction du groupe qui la fait pour le groupe entier</a:t>
          </a:r>
          <a:r>
            <a:rPr lang="fr-FR" sz="1000" b="0" i="0" baseline="0">
              <a:solidFill>
                <a:sysClr val="windowText" lastClr="000000"/>
              </a:solidFill>
              <a:latin typeface="Century Gothic" panose="020B0502020202020204" pitchFamily="34" charset="0"/>
              <a:ea typeface="+mn-ea"/>
              <a:cs typeface="+mn-cs"/>
            </a:rPr>
            <a:t>.</a:t>
          </a:r>
        </a:p>
        <a:p>
          <a:pPr fontAlgn="base"/>
          <a:endParaRPr/>
        </a:p>
        <a:p>
          <a:pPr fontAlgn="base"/>
          <a:r>
            <a:rPr lang="fr-FR" sz="1000" b="0" i="0">
              <a:solidFill>
                <a:sysClr val="windowText" lastClr="000000"/>
              </a:solidFill>
              <a:latin typeface="Century Gothic" panose="020B0502020202020204" pitchFamily="34" charset="0"/>
              <a:ea typeface="+mn-ea"/>
              <a:cs typeface="+mn-cs"/>
            </a:rPr>
            <a:t>Les questions apparaissent sur le tableau de bord (voir onglet ‘Tableau de bord’) par sujet concernant la norme.  </a:t>
          </a:r>
        </a:p>
        <a:p>
          <a:pPr fontAlgn="base"/>
          <a:r>
            <a:rPr lang="fr-FR" sz="1000" b="0" i="0">
              <a:solidFill>
                <a:sysClr val="windowText" lastClr="000000"/>
              </a:solidFill>
              <a:latin typeface="Century Gothic" panose="020B0502020202020204" pitchFamily="34" charset="0"/>
              <a:ea typeface="+mn-ea"/>
              <a:cs typeface="+mn-cs"/>
            </a:rPr>
            <a:t>Le Titulaire d’un certificat peut enregistrer l’état du processus à n’importe quelle étape et le terminer plus tard.  </a:t>
          </a:r>
        </a:p>
        <a:p>
          <a:pPr fontAlgn="base"/>
          <a:r>
            <a:rPr lang="fr-FR" sz="1000" b="0" i="0">
              <a:solidFill>
                <a:sysClr val="windowText" lastClr="000000"/>
              </a:solidFill>
              <a:latin typeface="Century Gothic" panose="020B0502020202020204" pitchFamily="34" charset="0"/>
              <a:ea typeface="+mn-ea"/>
              <a:cs typeface="+mn-cs"/>
            </a:rPr>
            <a:t> </a:t>
          </a:r>
        </a:p>
        <a:p>
          <a:pPr fontAlgn="base"/>
          <a:r>
            <a:rPr lang="fr-FR" sz="1000" b="0" i="0">
              <a:solidFill>
                <a:sysClr val="windowText" lastClr="000000"/>
              </a:solidFill>
              <a:latin typeface="Century Gothic" panose="020B0502020202020204" pitchFamily="34" charset="0"/>
              <a:ea typeface="+mn-ea"/>
              <a:cs typeface="+mn-cs"/>
            </a:rPr>
            <a:t>Une fois que l’Outil d’évaluation des risques pour les exploitations agricoles est rempli avec succès, le Titulaire de certificat peut voir une vue d’ensemble des mesures d’atténuation recommandées pour chacun des risques identifiés. Le Titulaire d’un certificat peut également mettre en œuvre ses propres mesures d’atténuation s'il les considère plus appropriées</a:t>
          </a:r>
          <a:r>
            <a:rPr lang="fr-FR" sz="1000" b="0" i="0" baseline="0">
              <a:solidFill>
                <a:sysClr val="windowText" lastClr="000000"/>
              </a:solidFill>
              <a:latin typeface="Century Gothic" panose="020B0502020202020204" pitchFamily="34" charset="0"/>
              <a:ea typeface="+mn-ea"/>
              <a:cs typeface="+mn-cs"/>
            </a:rPr>
            <a:t> au contexte. Il convient d’inscrire ces mesures dans la colonne ‘H’ : « Mesures personnelles d’atténuation des titulaires de certificats ».</a:t>
          </a:r>
          <a:r>
            <a:rPr lang="fr-FR" sz="1000" b="0" i="0">
              <a:solidFill>
                <a:sysClr val="windowText" lastClr="000000"/>
              </a:solidFill>
              <a:latin typeface="Century Gothic" panose="020B0502020202020204" pitchFamily="34" charset="0"/>
              <a:ea typeface="+mn-ea"/>
              <a:cs typeface="+mn-cs"/>
            </a:rPr>
            <a:t> </a:t>
          </a:r>
        </a:p>
        <a:p>
          <a:pPr fontAlgn="base"/>
          <a:endParaRPr/>
        </a:p>
        <a:p>
          <a:pPr fontAlgn="base"/>
          <a:r>
            <a:rPr lang="fr-FR" sz="1000" b="0" i="0">
              <a:solidFill>
                <a:sysClr val="windowText" lastClr="000000"/>
              </a:solidFill>
              <a:latin typeface="Century Gothic" panose="020B0502020202020204" pitchFamily="34" charset="0"/>
              <a:ea typeface="+mn-ea"/>
              <a:cs typeface="+mn-cs"/>
            </a:rPr>
            <a:t>Il faut </a:t>
          </a:r>
          <a:r>
            <a:rPr lang="fr-FR" sz="1000" b="0" i="0" baseline="0">
              <a:solidFill>
                <a:sysClr val="windowText" lastClr="000000"/>
              </a:solidFill>
              <a:latin typeface="Century Gothic" panose="020B0502020202020204" pitchFamily="34" charset="0"/>
              <a:ea typeface="+mn-ea"/>
              <a:cs typeface="+mn-cs"/>
            </a:rPr>
            <a:t> intégrer les mesures d’atténuation dans le plan de gestion et assurer le suivi de leur mise en œuvre.</a:t>
          </a:r>
        </a:p>
        <a:p>
          <a:pPr fontAlgn="base"/>
          <a:endParaRPr/>
        </a:p>
        <a:p>
          <a:pPr fontAlgn="base"/>
          <a:r>
            <a:rPr lang="fr-FR" sz="1000">
              <a:solidFill>
                <a:sysClr val="windowText" lastClr="000000"/>
              </a:solidFill>
              <a:latin typeface="Century Gothic" panose="020B0502020202020204" pitchFamily="34" charset="0"/>
            </a:rPr>
            <a:t>L’</a:t>
          </a:r>
          <a:r>
            <a:rPr lang="fr-FR" sz="1000" baseline="0">
              <a:solidFill>
                <a:sysClr val="windowText" lastClr="000000"/>
              </a:solidFill>
              <a:latin typeface="Century Gothic" panose="020B0502020202020204" pitchFamily="34" charset="0"/>
            </a:rPr>
            <a:t>outil d’évaluation des risques applicable aux exploitations agricoles comprend une évaluation </a:t>
          </a:r>
          <a:r>
            <a:rPr lang="fr-FR" sz="1000" b="1" baseline="0">
              <a:solidFill>
                <a:sysClr val="windowText" lastClr="000000"/>
              </a:solidFill>
              <a:latin typeface="Century Gothic" panose="020B0502020202020204" pitchFamily="34" charset="0"/>
            </a:rPr>
            <a:t>basique</a:t>
          </a:r>
          <a:r>
            <a:rPr lang="fr-FR" sz="1000" baseline="0">
              <a:solidFill>
                <a:sysClr val="windowText" lastClr="000000"/>
              </a:solidFill>
              <a:latin typeface="Century Gothic" panose="020B0502020202020204" pitchFamily="34" charset="0"/>
            </a:rPr>
            <a:t> (phase de préparation, à répéter après trois ans) et une évaluation </a:t>
          </a:r>
          <a:r>
            <a:rPr lang="fr-FR" sz="1000" b="1" baseline="0">
              <a:solidFill>
                <a:sysClr val="windowText" lastClr="000000"/>
              </a:solidFill>
              <a:latin typeface="Century Gothic" panose="020B0502020202020204" pitchFamily="34" charset="0"/>
            </a:rPr>
            <a:t>approfondie</a:t>
          </a:r>
          <a:r>
            <a:rPr lang="fr-FR" sz="1000" baseline="0">
              <a:solidFill>
                <a:sysClr val="windowText" lastClr="000000"/>
              </a:solidFill>
              <a:latin typeface="Century Gothic" panose="020B0502020202020204" pitchFamily="34" charset="0"/>
            </a:rPr>
            <a:t> (réalisée la première année et à répéter après trois ans). </a:t>
          </a:r>
        </a:p>
        <a:p>
          <a:pPr fontAlgn="base"/>
          <a:endParaRPr/>
        </a:p>
        <a:p>
          <a:pPr fontAlgn="base"/>
          <a:r>
            <a:rPr lang="fr-FR" sz="1000" baseline="0">
              <a:solidFill>
                <a:sysClr val="windowText" lastClr="000000"/>
              </a:solidFill>
              <a:latin typeface="Century Gothic" panose="020B0502020202020204" pitchFamily="34" charset="0"/>
            </a:rPr>
            <a:t>L’évaluation approfondie des risques comprend :</a:t>
          </a:r>
        </a:p>
        <a:p>
          <a:pPr fontAlgn="base"/>
          <a:r>
            <a:rPr lang="fr-FR" sz="1000" baseline="0">
              <a:solidFill>
                <a:sysClr val="windowText" lastClr="000000"/>
              </a:solidFill>
              <a:latin typeface="Century Gothic" panose="020B0502020202020204" pitchFamily="34" charset="0"/>
            </a:rPr>
            <a:t>- Évaluation approfondie des risques liés au genre</a:t>
          </a:r>
        </a:p>
        <a:p>
          <a:pPr fontAlgn="base"/>
          <a:r>
            <a:rPr lang="fr-FR" sz="1000" baseline="0">
              <a:solidFill>
                <a:sysClr val="windowText" lastClr="000000"/>
              </a:solidFill>
              <a:latin typeface="Century Gothic" panose="020B0502020202020204" pitchFamily="34" charset="0"/>
              <a:ea typeface="+mn-ea"/>
              <a:cs typeface="+mn-cs"/>
            </a:rPr>
            <a:t>- Évaluation approfondie et traitement des risques </a:t>
          </a:r>
          <a:r>
            <a:rPr lang="fr-FR" sz="1000" baseline="0">
              <a:solidFill>
                <a:schemeClr val="dk1"/>
              </a:solidFill>
              <a:latin typeface="Century Gothic" panose="020B0502020202020204" pitchFamily="34" charset="0"/>
              <a:ea typeface="+mn-ea"/>
              <a:cs typeface="+mn-cs"/>
            </a:rPr>
            <a:t>(en fonction du niveau national d’exposition aux risques de travail des enfants et de travail forcé tels qu’identifiés par Rainforest Alliance)</a:t>
          </a:r>
        </a:p>
        <a:p>
          <a:pPr fontAlgn="base"/>
          <a:r>
            <a:rPr lang="fr-FR" sz="1000" baseline="0">
              <a:solidFill>
                <a:sysClr val="windowText" lastClr="000000"/>
              </a:solidFill>
              <a:latin typeface="Century Gothic" panose="020B0502020202020204" pitchFamily="34" charset="0"/>
            </a:rPr>
            <a:t>-Évaluation approfondie des risques liés au changement climatique</a:t>
          </a:r>
        </a:p>
        <a:p>
          <a:pPr fontAlgn="base"/>
          <a:r>
            <a:rPr lang="fr-FR" sz="1000" baseline="0">
              <a:solidFill>
                <a:sysClr val="windowText" lastClr="000000"/>
              </a:solidFill>
              <a:latin typeface="Century Gothic" panose="020B0502020202020204" pitchFamily="34" charset="0"/>
              <a:ea typeface="+mn-ea"/>
              <a:cs typeface="+mn-cs"/>
            </a:rPr>
            <a:t>Ces trois évaluations approfondies peuvent faire l’objet de documents séparés. </a:t>
          </a:r>
          <a:r>
            <a:rPr lang="fr-FR" sz="1000" baseline="0">
              <a:solidFill>
                <a:schemeClr val="dk1"/>
              </a:solidFill>
              <a:latin typeface="Century Gothic" panose="020B0502020202020204" pitchFamily="34" charset="0"/>
              <a:ea typeface="+mn-ea"/>
              <a:cs typeface="+mn-cs"/>
            </a:rPr>
            <a:t>L’évaluation approfondie des risques guidera les mesures à prendre à partir de l’année 1. </a:t>
          </a:r>
        </a:p>
        <a:p>
          <a:pPr fontAlgn="base"/>
          <a:endParaRPr/>
        </a:p>
        <a:p>
          <a:pPr fontAlgn="base"/>
          <a:r>
            <a:rPr lang="fr-FR" sz="1000" i="1" baseline="0">
              <a:solidFill>
                <a:sysClr val="windowText" lastClr="000000"/>
              </a:solidFill>
              <a:latin typeface="Century Gothic" panose="020B0502020202020204" pitchFamily="34" charset="0"/>
            </a:rPr>
            <a:t>L’intégration de l’Outil d’évaluation des risques dans la plateforme de certification numérique est planifiée à une étape ultérieure.</a:t>
          </a:r>
        </a:p>
        <a:p>
          <a:pPr fontAlgn="base"/>
          <a:endParaRPr/>
        </a:p>
        <a:p>
          <a:pPr fontAlgn="base"/>
          <a:endParaRPr/>
        </a:p>
      </xdr:txBody>
    </xdr:sp>
    <xdr:clientData/>
  </xdr:twoCellAnchor>
  <xdr:oneCellAnchor>
    <xdr:from>
      <xdr:col>0</xdr:col>
      <xdr:colOff>573828</xdr:colOff>
      <xdr:row>34</xdr:row>
      <xdr:rowOff>337185</xdr:rowOff>
    </xdr:from>
    <xdr:ext cx="7945756" cy="5977548"/>
    <xdr:sp macro="" textlink="">
      <xdr:nvSpPr>
        <xdr:cNvPr id="3" name="TextBox 2">
          <a:extLst>
            <a:ext uri="{FF2B5EF4-FFF2-40B4-BE49-F238E27FC236}">
              <a16:creationId xmlns:a16="http://schemas.microsoft.com/office/drawing/2014/main" id="{1816E4CC-4494-4F6D-9000-98E63CC1D34D}"/>
            </a:ext>
          </a:extLst>
        </xdr:cNvPr>
        <xdr:cNvSpPr txBox="1"/>
      </xdr:nvSpPr>
      <xdr:spPr>
        <a:xfrm>
          <a:off x="573828" y="6814185"/>
          <a:ext cx="7945756" cy="5977548"/>
        </a:xfrm>
        <a:prstGeom prst="rect">
          <a:avLst/>
        </a:prstGeom>
        <a:solidFill>
          <a:srgbClr val="85C4E3">
            <a:alpha val="50196"/>
          </a:srgbClr>
        </a:solidFill>
        <a:ln>
          <a:solidFill>
            <a:srgbClr val="85C4E3"/>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fr-FR" sz="1100" b="1">
              <a:solidFill>
                <a:sysClr val="windowText" lastClr="000000"/>
              </a:solidFill>
              <a:latin typeface="Century Gothic" panose="020B0502020202020204" pitchFamily="34" charset="0"/>
              <a:ea typeface="+mn-ea"/>
              <a:cs typeface="+mn-cs"/>
            </a:rPr>
            <a:t>L’outil d’évaluation des risques pour les exploitations agricoles au sein de la norme</a:t>
          </a:r>
        </a:p>
        <a:p>
          <a:r>
            <a:rPr lang="fr-FR" sz="1000">
              <a:solidFill>
                <a:sysClr val="windowText" lastClr="000000"/>
              </a:solidFill>
              <a:latin typeface="Century Gothic" panose="020B0502020202020204" pitchFamily="34" charset="0"/>
              <a:ea typeface="+mn-ea"/>
              <a:cs typeface="+mn-cs"/>
            </a:rPr>
            <a:t> </a:t>
          </a:r>
        </a:p>
        <a:p>
          <a:r>
            <a:rPr lang="fr-FR" sz="1050" u="sng">
              <a:solidFill>
                <a:sysClr val="windowText" lastClr="000000"/>
              </a:solidFill>
              <a:latin typeface="Century Gothic" panose="020B0502020202020204" pitchFamily="34" charset="0"/>
              <a:ea typeface="+mn-ea"/>
              <a:cs typeface="+mn-cs"/>
            </a:rPr>
            <a:t>Évaluation de base des risques (exigences principales) :</a:t>
          </a:r>
        </a:p>
        <a:p>
          <a:pPr marL="0" marR="0" indent="0" defTabSz="914400" eaLnBrk="1" fontAlgn="auto" latinLnBrk="0" hangingPunct="1">
            <a:lnSpc>
              <a:spcPct val="100000"/>
            </a:lnSpc>
            <a:spcBef>
              <a:spcPts val="0"/>
            </a:spcBef>
            <a:spcAft>
              <a:spcPts val="0"/>
            </a:spcAft>
            <a:buClrTx/>
            <a:buSzTx/>
            <a:buFontTx/>
            <a:buNone/>
            <a:tabLst/>
            <a:defRPr/>
          </a:pPr>
          <a:r>
            <a:rPr lang="fr-FR" sz="1000" b="1">
              <a:solidFill>
                <a:sysClr val="windowText" lastClr="000000"/>
              </a:solidFill>
              <a:latin typeface="Century Gothic" panose="020B0502020202020204" pitchFamily="34" charset="0"/>
              <a:ea typeface="+mn-ea"/>
              <a:cs typeface="+mn-cs"/>
            </a:rPr>
            <a:t>Exigence 1.3.1 :</a:t>
          </a:r>
          <a:r>
            <a:rPr lang="fr-FR" sz="1000">
              <a:solidFill>
                <a:sysClr val="windowText" lastClr="000000"/>
              </a:solidFill>
              <a:latin typeface="Century Gothic" panose="020B0502020202020204" pitchFamily="34" charset="0"/>
              <a:ea typeface="+mn-ea"/>
              <a:cs typeface="+mn-cs"/>
            </a:rPr>
            <a:t>  Au moins tous les trois ans, la direction réalise une évaluation des risques par rapport aux exigences de cette norme, en utilisant l’Outil d’évaluation des risques pour les exploitations agricoles. </a:t>
          </a:r>
        </a:p>
        <a:p>
          <a:r>
            <a:rPr lang="fr-FR" sz="1000" b="1">
              <a:solidFill>
                <a:sysClr val="windowText" lastClr="000000"/>
              </a:solidFill>
              <a:latin typeface="Century Gothic" panose="020B0502020202020204" pitchFamily="34" charset="0"/>
              <a:ea typeface="+mn-ea"/>
              <a:cs typeface="+mn-cs"/>
            </a:rPr>
            <a:t>Exigence 1.6.2 :</a:t>
          </a:r>
          <a:r>
            <a:rPr lang="fr-FR" sz="1000">
              <a:solidFill>
                <a:sysClr val="windowText" lastClr="000000"/>
              </a:solidFill>
              <a:latin typeface="Century Gothic" panose="020B0502020202020204" pitchFamily="34" charset="0"/>
              <a:ea typeface="+mn-ea"/>
              <a:cs typeface="+mn-cs"/>
            </a:rPr>
            <a:t> La personne/comité responsable réalise les activités suivantes : mise en œuvre des mesures d’atténuation relatives à l’égalité des sexes conformément à l'évaluation de base des risques des exploitations agricoles ou à l’évaluation des risques de la chaîne d'approvisionnement et intégration de ces mesures dans le Plan de gestion.</a:t>
          </a:r>
        </a:p>
        <a:p>
          <a:r>
            <a:rPr lang="fr-FR" sz="1000" b="1">
              <a:solidFill>
                <a:sysClr val="windowText" lastClr="000000"/>
              </a:solidFill>
              <a:latin typeface="Century Gothic" panose="020B0502020202020204" pitchFamily="34" charset="0"/>
              <a:ea typeface="+mn-ea"/>
              <a:cs typeface="+mn-cs"/>
            </a:rPr>
            <a:t>Exigence 4.1.1</a:t>
          </a:r>
          <a:r>
            <a:rPr lang="fr-FR" sz="1000">
              <a:solidFill>
                <a:sysClr val="windowText" lastClr="000000"/>
              </a:solidFill>
              <a:latin typeface="Century Gothic" panose="020B0502020202020204" pitchFamily="34" charset="0"/>
              <a:ea typeface="+mn-ea"/>
              <a:cs typeface="+mn-cs"/>
            </a:rPr>
            <a:t> :  Les variétés de plantes pour les plantations, les greffes et la réhabilitation sont sélectionnées en fonction de la qualité, de la productivité, de la résistance aux ravageurs et aux maladies et de leur adéquation au climat durant la durée de vie des plantes. Ceci est effectué conformément aux résultats de l’Evaluation des risques pour les exploitations agricoles (1.3.1) en regard du climat.  </a:t>
          </a:r>
        </a:p>
        <a:p>
          <a:r>
            <a:rPr lang="fr-FR" sz="1000" b="1">
              <a:solidFill>
                <a:sysClr val="windowText" lastClr="000000"/>
              </a:solidFill>
              <a:latin typeface="Century Gothic" panose="020B0502020202020204" pitchFamily="34" charset="0"/>
              <a:ea typeface="+mn-ea"/>
              <a:cs typeface="+mn-cs"/>
            </a:rPr>
            <a:t>Exigence 5.1.2 :</a:t>
          </a:r>
          <a:r>
            <a:rPr lang="fr-FR" sz="1000">
              <a:solidFill>
                <a:sysClr val="windowText" lastClr="000000"/>
              </a:solidFill>
              <a:latin typeface="Century Gothic" panose="020B0502020202020204" pitchFamily="34" charset="0"/>
              <a:ea typeface="+mn-ea"/>
              <a:cs typeface="+mn-cs"/>
            </a:rPr>
            <a:t> Dans le Plan de gestion, le comité/représentant de la direction inclut les mesures d’atténuation identifiées dans l’Évaluation de base des risques pour les exploitations agricoles ou dans l’Évaluation des risques de la chaîne d'approvisionnement et met en œuvre les mesures correspondantes.  </a:t>
          </a:r>
        </a:p>
        <a:p>
          <a:r>
            <a:rPr lang="fr-FR" sz="1000">
              <a:solidFill>
                <a:sysClr val="windowText" lastClr="000000"/>
              </a:solidFill>
              <a:latin typeface="Century Gothic" panose="020B0502020202020204" pitchFamily="34" charset="0"/>
              <a:ea typeface="+mn-ea"/>
              <a:cs typeface="+mn-cs"/>
            </a:rPr>
            <a:t>L’Évaluation de base des risques pour les exploitations agricoles se déroule au moins tous les trois ans.  </a:t>
          </a:r>
        </a:p>
        <a:p>
          <a:r>
            <a:rPr lang="fr-FR" sz="1000" b="1">
              <a:solidFill>
                <a:sysClr val="windowText" lastClr="000000"/>
              </a:solidFill>
              <a:latin typeface="Century Gothic" panose="020B0502020202020204" pitchFamily="34" charset="0"/>
              <a:ea typeface="+mn-ea"/>
              <a:cs typeface="+mn-cs"/>
            </a:rPr>
            <a:t>Exigence 6.1.3</a:t>
          </a:r>
          <a:r>
            <a:rPr lang="fr-FR" sz="1000">
              <a:solidFill>
                <a:sysClr val="windowText" lastClr="000000"/>
              </a:solidFill>
              <a:latin typeface="Century Gothic" panose="020B0502020202020204" pitchFamily="34" charset="0"/>
              <a:ea typeface="+mn-ea"/>
              <a:cs typeface="+mn-cs"/>
            </a:rPr>
            <a:t> </a:t>
          </a:r>
          <a:r>
            <a:rPr lang="fr-FR" sz="1000" b="1">
              <a:solidFill>
                <a:sysClr val="windowText" lastClr="000000"/>
              </a:solidFill>
              <a:latin typeface="Century Gothic" panose="020B0502020202020204" pitchFamily="34" charset="0"/>
              <a:ea typeface="+mn-ea"/>
              <a:cs typeface="+mn-cs"/>
            </a:rPr>
            <a:t>(grandes exploitations, exploitations certifiées individuellement) :</a:t>
          </a:r>
          <a:r>
            <a:rPr lang="fr-FR" sz="1000">
              <a:solidFill>
                <a:sysClr val="windowText" lastClr="000000"/>
              </a:solidFill>
              <a:latin typeface="Century Gothic" panose="020B0502020202020204" pitchFamily="34" charset="0"/>
              <a:ea typeface="+mn-ea"/>
              <a:cs typeface="+mn-cs"/>
            </a:rPr>
            <a:t> La direction inclut les mesures d’atténuation provenant de l’Outil d’évaluation des risques pour les exploitations agricoles de la section 1.3.1 en regard des Hautes valeurs de conservation dans le Plan de gestion (1.3.2). La direction met en œuvre ces mesures. </a:t>
          </a:r>
        </a:p>
        <a:p>
          <a:r>
            <a:rPr lang="fr-FR" sz="1000" b="1">
              <a:solidFill>
                <a:sysClr val="windowText" lastClr="000000"/>
              </a:solidFill>
              <a:latin typeface="Century Gothic" panose="020B0502020202020204" pitchFamily="34" charset="0"/>
              <a:ea typeface="+mn-ea"/>
              <a:cs typeface="+mn-cs"/>
            </a:rPr>
            <a:t>Exigence 6.1.4</a:t>
          </a:r>
          <a:r>
            <a:rPr lang="fr-FR" sz="1000">
              <a:solidFill>
                <a:sysClr val="windowText" lastClr="000000"/>
              </a:solidFill>
              <a:latin typeface="Century Gothic" panose="020B0502020202020204" pitchFamily="34" charset="0"/>
              <a:ea typeface="+mn-ea"/>
              <a:cs typeface="+mn-cs"/>
            </a:rPr>
            <a:t> </a:t>
          </a:r>
          <a:r>
            <a:rPr lang="fr-FR" sz="1000" b="1">
              <a:solidFill>
                <a:sysClr val="windowText" lastClr="000000"/>
              </a:solidFill>
              <a:latin typeface="Century Gothic" panose="020B0502020202020204" pitchFamily="34" charset="0"/>
              <a:ea typeface="+mn-ea"/>
              <a:cs typeface="+mn-cs"/>
            </a:rPr>
            <a:t>(Certification de groupe, Amélioration)</a:t>
          </a:r>
          <a:r>
            <a:rPr lang="fr-FR" sz="1000">
              <a:solidFill>
                <a:sysClr val="windowText" lastClr="000000"/>
              </a:solidFill>
              <a:latin typeface="Century Gothic" panose="020B0502020202020204" pitchFamily="34" charset="0"/>
              <a:ea typeface="+mn-ea"/>
              <a:cs typeface="+mn-cs"/>
            </a:rPr>
            <a:t> : La direction inclut les mesures d’atténuation provenant de l’Outil d’évaluation des risques pour les exploitations agricoles de la section 1.3.1 en regard des Hautes valeurs de conservation dans le Plan de gestion (1.3.2). La direction met en œuvre ces mesures. </a:t>
          </a:r>
        </a:p>
        <a:p>
          <a:r>
            <a:rPr lang="fr-FR" sz="1000">
              <a:solidFill>
                <a:sysClr val="windowText" lastClr="000000"/>
              </a:solidFill>
              <a:latin typeface="Century Gothic" panose="020B0502020202020204" pitchFamily="34" charset="0"/>
              <a:ea typeface="+mn-ea"/>
              <a:cs typeface="+mn-cs"/>
            </a:rPr>
            <a:t>La direction du groupe met en œuvre les mesures d’atténuation des HVC dès la première année.</a:t>
          </a:r>
        </a:p>
        <a:p>
          <a:r>
            <a:rPr lang="fr-FR" sz="1000" b="1">
              <a:solidFill>
                <a:sysClr val="windowText" lastClr="000000"/>
              </a:solidFill>
              <a:latin typeface="Century Gothic" panose="020B0502020202020204" pitchFamily="34" charset="0"/>
              <a:ea typeface="+mn-ea"/>
              <a:cs typeface="+mn-cs"/>
            </a:rPr>
            <a:t>Exigence 6.2.1</a:t>
          </a:r>
          <a:r>
            <a:rPr lang="fr-FR" sz="1000">
              <a:solidFill>
                <a:sysClr val="windowText" lastClr="000000"/>
              </a:solidFill>
              <a:latin typeface="Century Gothic" panose="020B0502020202020204" pitchFamily="34" charset="0"/>
              <a:ea typeface="+mn-ea"/>
              <a:cs typeface="+mn-cs"/>
            </a:rPr>
            <a:t> : La direction élabore et met en œuvre un plan pour conserver les écosystèmes naturels. Le plan se base sur la carte requise de la section 1.2.9 et</a:t>
          </a:r>
          <a:r>
            <a:rPr lang="fr-FR" sz="1000" baseline="0">
              <a:solidFill>
                <a:sysClr val="windowText" lastClr="000000"/>
              </a:solidFill>
              <a:latin typeface="Century Gothic" panose="020B0502020202020204" pitchFamily="34" charset="0"/>
              <a:ea typeface="+mn-ea"/>
              <a:cs typeface="+mn-cs"/>
            </a:rPr>
            <a:t> de</a:t>
          </a:r>
          <a:r>
            <a:rPr lang="fr-FR" sz="1000">
              <a:solidFill>
                <a:sysClr val="windowText" lastClr="000000"/>
              </a:solidFill>
              <a:latin typeface="Century Gothic" panose="020B0502020202020204" pitchFamily="34" charset="0"/>
              <a:ea typeface="+mn-ea"/>
              <a:cs typeface="+mn-cs"/>
            </a:rPr>
            <a:t> la section sur les écosystèmes naturels de l’Outil d’évaluation des risques pour les exploitations agricoles de la section 1.3.1 et est mis à jour annuellement. </a:t>
          </a:r>
        </a:p>
        <a:p>
          <a:r>
            <a:rPr lang="fr-FR" sz="1000">
              <a:solidFill>
                <a:sysClr val="windowText" lastClr="000000"/>
              </a:solidFill>
              <a:latin typeface="Century Gothic" panose="020B0502020202020204" pitchFamily="34" charset="0"/>
              <a:ea typeface="+mn-ea"/>
              <a:cs typeface="+mn-cs"/>
            </a:rPr>
            <a:t> </a:t>
          </a:r>
        </a:p>
        <a:p>
          <a:r>
            <a:rPr lang="fr-FR" sz="1050" u="sng">
              <a:solidFill>
                <a:sysClr val="windowText" lastClr="000000"/>
              </a:solidFill>
              <a:latin typeface="Century Gothic" panose="020B0502020202020204" pitchFamily="34" charset="0"/>
              <a:ea typeface="+mn-ea"/>
              <a:cs typeface="+mn-cs"/>
            </a:rPr>
            <a:t>Évaluation approfondie des risques des exploitations agricoles (exigences d’amélioration) :</a:t>
          </a:r>
        </a:p>
        <a:p>
          <a:r>
            <a:rPr lang="fr-FR" sz="1000" b="1">
              <a:solidFill>
                <a:sysClr val="windowText" lastClr="000000"/>
              </a:solidFill>
              <a:latin typeface="Century Gothic" panose="020B0502020202020204" pitchFamily="34" charset="0"/>
              <a:ea typeface="+mn-ea"/>
              <a:cs typeface="+mn-cs"/>
            </a:rPr>
            <a:t>Exigence 1.3.5 :</a:t>
          </a:r>
          <a:r>
            <a:rPr lang="fr-FR" sz="1000">
              <a:solidFill>
                <a:sysClr val="windowText" lastClr="000000"/>
              </a:solidFill>
              <a:latin typeface="Century Gothic" panose="020B0502020202020204" pitchFamily="34" charset="0"/>
              <a:ea typeface="+mn-ea"/>
              <a:cs typeface="+mn-cs"/>
            </a:rPr>
            <a:t> En fonction des résultats de l’évaluation de base des risques des exploitations agricoles (1.3.1), la direction effectue l’évaluation approfondie des risques des exploitations agricoles dus au changement climatique afin d’évaluer plus en détails les menaces climatiques et les mesures d’atténuation correspondantes adaptées au contexte régional.</a:t>
          </a:r>
        </a:p>
        <a:p>
          <a:r>
            <a:rPr lang="fr-FR" sz="1000" b="1">
              <a:solidFill>
                <a:sysClr val="windowText" lastClr="000000"/>
              </a:solidFill>
              <a:latin typeface="Century Gothic" panose="020B0502020202020204" pitchFamily="34" charset="0"/>
              <a:ea typeface="+mn-ea"/>
              <a:cs typeface="+mn-cs"/>
            </a:rPr>
            <a:t>Exigence 1.6.3 :</a:t>
          </a:r>
          <a:r>
            <a:rPr lang="fr-FR" sz="1000">
              <a:solidFill>
                <a:sysClr val="windowText" lastClr="000000"/>
              </a:solidFill>
              <a:latin typeface="Century Gothic" panose="020B0502020202020204" pitchFamily="34" charset="0"/>
              <a:ea typeface="+mn-ea"/>
              <a:cs typeface="+mn-cs"/>
            </a:rPr>
            <a:t> A partir de la première année, la personne/comité responsable : met en œuvre l’outil d’évaluation approfondie des risques liés au genre sur les exploitations agricoles et le répète tous les trois ans au minimum.</a:t>
          </a:r>
        </a:p>
        <a:p>
          <a:r>
            <a:rPr lang="fr-FR" sz="1000" b="1">
              <a:solidFill>
                <a:sysClr val="windowText" lastClr="000000"/>
              </a:solidFill>
              <a:latin typeface="Century Gothic" panose="020B0502020202020204" pitchFamily="34" charset="0"/>
              <a:ea typeface="+mn-ea"/>
              <a:cs typeface="+mn-cs"/>
            </a:rPr>
            <a:t>Exigence 5.1.5</a:t>
          </a:r>
          <a:r>
            <a:rPr lang="fr-FR" sz="1000">
              <a:solidFill>
                <a:sysClr val="windowText" lastClr="000000"/>
              </a:solidFill>
              <a:latin typeface="Century Gothic" panose="020B0502020202020204" pitchFamily="34" charset="0"/>
              <a:ea typeface="+mn-ea"/>
              <a:cs typeface="+mn-cs"/>
            </a:rPr>
            <a:t> : Au cours de l’année 1 de la certification, le comité/représentant de la direction : </a:t>
          </a:r>
        </a:p>
        <a:p>
          <a:r>
            <a:rPr lang="fr-FR" sz="1000">
              <a:solidFill>
                <a:sysClr val="windowText" lastClr="000000"/>
              </a:solidFill>
              <a:latin typeface="Century Gothic" panose="020B0502020202020204" pitchFamily="34" charset="0"/>
              <a:ea typeface="+mn-ea"/>
              <a:cs typeface="+mn-cs"/>
            </a:rPr>
            <a:t>Applique l’Evaluation-et-Résolution approfondies des risques</a:t>
          </a:r>
        </a:p>
        <a:p>
          <a:r>
            <a:rPr lang="fr-FR" sz="1000">
              <a:solidFill>
                <a:sysClr val="windowText" lastClr="000000"/>
              </a:solidFill>
              <a:latin typeface="Century Gothic" panose="020B0502020202020204" pitchFamily="34" charset="0"/>
              <a:ea typeface="+mn-ea"/>
              <a:cs typeface="+mn-cs"/>
            </a:rPr>
            <a:t>Intègre les mesures d’atténuation correspondantes dans le Plan de gestion (1.3.2)</a:t>
          </a:r>
        </a:p>
        <a:p>
          <a:r>
            <a:rPr lang="fr-FR" sz="1000">
              <a:solidFill>
                <a:sysClr val="windowText" lastClr="000000"/>
              </a:solidFill>
              <a:latin typeface="Century Gothic" panose="020B0502020202020204" pitchFamily="34" charset="0"/>
              <a:ea typeface="+mn-ea"/>
              <a:cs typeface="+mn-cs"/>
            </a:rPr>
            <a:t>Met en œuvre ces mesures </a:t>
          </a:r>
        </a:p>
      </xdr:txBody>
    </xdr:sp>
    <xdr:clientData/>
  </xdr:oneCellAnchor>
  <xdr:oneCellAnchor>
    <xdr:from>
      <xdr:col>13</xdr:col>
      <xdr:colOff>533399</xdr:colOff>
      <xdr:row>1</xdr:row>
      <xdr:rowOff>165099</xdr:rowOff>
    </xdr:from>
    <xdr:ext cx="9603106" cy="7159625"/>
    <xdr:sp macro="" textlink="">
      <xdr:nvSpPr>
        <xdr:cNvPr id="4" name="TextBox 3">
          <a:extLst>
            <a:ext uri="{FF2B5EF4-FFF2-40B4-BE49-F238E27FC236}">
              <a16:creationId xmlns:a16="http://schemas.microsoft.com/office/drawing/2014/main" id="{5D052420-1A61-41D4-8CF4-CECAEEE842CF}"/>
            </a:ext>
          </a:extLst>
        </xdr:cNvPr>
        <xdr:cNvSpPr txBox="1"/>
      </xdr:nvSpPr>
      <xdr:spPr>
        <a:xfrm>
          <a:off x="8798982" y="355599"/>
          <a:ext cx="9603106" cy="7159625"/>
        </a:xfrm>
        <a:prstGeom prst="rect">
          <a:avLst/>
        </a:prstGeom>
        <a:solidFill>
          <a:srgbClr val="CCDE82">
            <a:alpha val="50196"/>
          </a:srgbClr>
        </a:solidFill>
        <a:ln>
          <a:solidFill>
            <a:srgbClr val="CCDE82"/>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pPr eaLnBrk="1" fontAlgn="auto" latinLnBrk="0" hangingPunct="1"/>
          <a:r>
            <a:rPr lang="fr-FR" sz="1000" b="1" i="0" baseline="0">
              <a:solidFill>
                <a:sysClr val="windowText" lastClr="000000"/>
              </a:solidFill>
              <a:latin typeface="Century Gothic" panose="020B0502020202020204" pitchFamily="34" charset="0"/>
              <a:ea typeface="+mn-ea"/>
              <a:cs typeface="+mn-cs"/>
            </a:rPr>
            <a:t>Pourquoi créer un outil d’évaluation des risques pour les exploitations agricoles </a:t>
          </a:r>
          <a:r>
            <a:rPr lang="fr-FR" sz="1000" b="0" i="0" baseline="0">
              <a:solidFill>
                <a:sysClr val="windowText" lastClr="000000"/>
              </a:solidFill>
              <a:latin typeface="Century Gothic" panose="020B0502020202020204" pitchFamily="34" charset="0"/>
              <a:ea typeface="+mn-ea"/>
              <a:cs typeface="+mn-cs"/>
            </a:rPr>
            <a:t>?</a:t>
          </a: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L’objectif est d’aider les titulaires d’un certificat à définir les éléments permettant </a:t>
          </a:r>
          <a:r>
            <a:rPr lang="fr-FR" sz="1000" b="0" i="0" baseline="0">
              <a:solidFill>
                <a:schemeClr val="tx1"/>
              </a:solidFill>
              <a:latin typeface="Century Gothic" panose="020B0502020202020204" pitchFamily="34" charset="0"/>
              <a:ea typeface="+mn-ea"/>
              <a:cs typeface="+mn-cs"/>
            </a:rPr>
            <a:t>d’atteindre les objectifs de durabilité définis par</a:t>
          </a:r>
          <a:r>
            <a:rPr lang="fr-FR" sz="1000" b="0" i="0" baseline="0">
              <a:solidFill>
                <a:sysClr val="windowText" lastClr="000000"/>
              </a:solidFill>
              <a:latin typeface="Century Gothic" panose="020B0502020202020204" pitchFamily="34" charset="0"/>
              <a:ea typeface="+mn-ea"/>
              <a:cs typeface="+mn-cs"/>
            </a:rPr>
            <a:t> la norme parce que :</a:t>
          </a: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 la </a:t>
          </a:r>
          <a:r>
            <a:rPr lang="fr-FR" sz="1000" b="1" i="0" baseline="0">
              <a:solidFill>
                <a:sysClr val="windowText" lastClr="000000"/>
              </a:solidFill>
              <a:latin typeface="Century Gothic" panose="020B0502020202020204" pitchFamily="34" charset="0"/>
              <a:ea typeface="+mn-ea"/>
              <a:cs typeface="+mn-cs"/>
            </a:rPr>
            <a:t>norme ne peut pas couvrir l’ensemble des différentes circonstances spécifiques </a:t>
          </a:r>
          <a:r>
            <a:rPr lang="fr-FR" sz="1000" b="0" i="0" baseline="0">
              <a:solidFill>
                <a:sysClr val="windowText" lastClr="000000"/>
              </a:solidFill>
              <a:latin typeface="Century Gothic" panose="020B0502020202020204" pitchFamily="34" charset="0"/>
              <a:ea typeface="+mn-ea"/>
              <a:cs typeface="+mn-cs"/>
            </a:rPr>
            <a:t>susceptibles de se présenter dans une exploitation agricole, un groupe ou une zone particulière. </a:t>
          </a: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 la norme </a:t>
          </a:r>
          <a:r>
            <a:rPr lang="fr-FR" sz="1000" b="1" i="0" baseline="0">
              <a:solidFill>
                <a:sysClr val="windowText" lastClr="000000"/>
              </a:solidFill>
              <a:latin typeface="Century Gothic" panose="020B0502020202020204" pitchFamily="34" charset="0"/>
              <a:ea typeface="+mn-ea"/>
              <a:cs typeface="+mn-cs"/>
            </a:rPr>
            <a:t>ne peut pas définir</a:t>
          </a:r>
          <a:r>
            <a:rPr lang="fr-FR" sz="1000" b="0" i="0" baseline="0">
              <a:solidFill>
                <a:sysClr val="windowText" lastClr="000000"/>
              </a:solidFill>
              <a:latin typeface="Century Gothic" panose="020B0502020202020204" pitchFamily="34" charset="0"/>
              <a:ea typeface="+mn-ea"/>
              <a:cs typeface="+mn-cs"/>
            </a:rPr>
            <a:t> ce qui constitue les meilleures réponses ou </a:t>
          </a:r>
          <a:r>
            <a:rPr lang="fr-FR" sz="1000" b="1" i="0" baseline="0">
              <a:solidFill>
                <a:sysClr val="windowText" lastClr="000000"/>
              </a:solidFill>
              <a:latin typeface="Century Gothic" panose="020B0502020202020204" pitchFamily="34" charset="0"/>
              <a:ea typeface="+mn-ea"/>
              <a:cs typeface="+mn-cs"/>
            </a:rPr>
            <a:t>les mesures les plus efficaces </a:t>
          </a:r>
          <a:r>
            <a:rPr lang="fr-FR" sz="1000" b="1" i="0" baseline="0">
              <a:solidFill>
                <a:schemeClr val="tx1"/>
              </a:solidFill>
              <a:latin typeface="Century Gothic" panose="020B0502020202020204" pitchFamily="34" charset="0"/>
              <a:ea typeface="+mn-ea"/>
              <a:cs typeface="+mn-cs"/>
            </a:rPr>
            <a:t>dans toutes les circonstances dès lors que les réponses aux besoins spécifiques des différents contextes nécessitent des mesures différentes</a:t>
          </a:r>
          <a:r>
            <a:rPr lang="fr-FR" sz="1000" b="0" i="0" baseline="0">
              <a:solidFill>
                <a:sysClr val="windowText" lastClr="000000"/>
              </a:solidFill>
              <a:latin typeface="Century Gothic" panose="020B0502020202020204" pitchFamily="34" charset="0"/>
              <a:ea typeface="+mn-ea"/>
              <a:cs typeface="+mn-cs"/>
            </a:rPr>
            <a:t>. </a:t>
          </a:r>
        </a:p>
        <a:p>
          <a:pPr eaLnBrk="1" fontAlgn="auto" latinLnBrk="0" hangingPunct="1"/>
          <a:endParaRP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En répondant à un ensemble de questions prédéfinies, l’outil est un</a:t>
          </a:r>
          <a:r>
            <a:rPr lang="fr-FR" sz="1000" i="0" baseline="0">
              <a:solidFill>
                <a:sysClr val="windowText" lastClr="000000"/>
              </a:solidFill>
              <a:latin typeface="Century Gothic" panose="020B0502020202020204" pitchFamily="34" charset="0"/>
              <a:ea typeface="+mn-ea"/>
              <a:cs typeface="+mn-cs"/>
            </a:rPr>
            <a:t> </a:t>
          </a:r>
          <a:r>
            <a:rPr lang="fr-FR" sz="1000" b="1" i="0" baseline="0">
              <a:solidFill>
                <a:sysClr val="windowText" lastClr="000000"/>
              </a:solidFill>
              <a:latin typeface="Century Gothic" panose="020B0502020202020204" pitchFamily="34" charset="0"/>
              <a:ea typeface="+mn-ea"/>
              <a:cs typeface="+mn-cs"/>
            </a:rPr>
            <a:t>guide</a:t>
          </a:r>
          <a:r>
            <a:rPr lang="fr-FR" sz="1000" b="0" i="0" baseline="0">
              <a:solidFill>
                <a:sysClr val="windowText" lastClr="000000"/>
              </a:solidFill>
              <a:latin typeface="Century Gothic" panose="020B0502020202020204" pitchFamily="34" charset="0"/>
              <a:ea typeface="+mn-ea"/>
              <a:cs typeface="+mn-cs"/>
            </a:rPr>
            <a:t> qui répond à une série prédéfinie de questions </a:t>
          </a:r>
          <a:r>
            <a:rPr lang="fr-FR" sz="1000" b="0" i="0" baseline="0">
              <a:solidFill>
                <a:schemeClr val="tx1"/>
              </a:solidFill>
              <a:latin typeface="Century Gothic" panose="020B0502020202020204" pitchFamily="34" charset="0"/>
              <a:ea typeface="+mn-ea"/>
              <a:cs typeface="+mn-cs"/>
            </a:rPr>
            <a:t>afin de permettre aux titulaires de certificats d’identifier la meilleure manière de réduire les risques </a:t>
          </a:r>
          <a:r>
            <a:rPr lang="fr-FR" sz="1000" b="0" i="0" baseline="0">
              <a:solidFill>
                <a:sysClr val="windowText" lastClr="000000"/>
              </a:solidFill>
              <a:latin typeface="Century Gothic" panose="020B0502020202020204" pitchFamily="34" charset="0"/>
              <a:ea typeface="+mn-ea"/>
              <a:cs typeface="+mn-cs"/>
            </a:rPr>
            <a:t>négatifs liés à l’agriculture durable sur leur exploitation et d’atteindre leurs objectifs. </a:t>
          </a: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L’outil</a:t>
          </a:r>
          <a:r>
            <a:rPr lang="fr-FR" sz="1000" i="0" baseline="0">
              <a:solidFill>
                <a:sysClr val="windowText" lastClr="000000"/>
              </a:solidFill>
              <a:latin typeface="Century Gothic" panose="020B0502020202020204" pitchFamily="34" charset="0"/>
              <a:ea typeface="+mn-ea"/>
              <a:cs typeface="+mn-cs"/>
            </a:rPr>
            <a:t> </a:t>
          </a:r>
          <a:r>
            <a:rPr lang="fr-FR" sz="1000" b="1" i="0" baseline="0">
              <a:solidFill>
                <a:sysClr val="windowText" lastClr="000000"/>
              </a:solidFill>
              <a:latin typeface="Century Gothic" panose="020B0502020202020204" pitchFamily="34" charset="0"/>
              <a:ea typeface="+mn-ea"/>
              <a:cs typeface="+mn-cs"/>
            </a:rPr>
            <a:t>n’a pas</a:t>
          </a:r>
          <a:r>
            <a:rPr lang="fr-FR" sz="1000" b="0" i="0" baseline="0">
              <a:solidFill>
                <a:sysClr val="windowText" lastClr="000000"/>
              </a:solidFill>
              <a:latin typeface="Century Gothic" panose="020B0502020202020204" pitchFamily="34" charset="0"/>
              <a:ea typeface="+mn-ea"/>
              <a:cs typeface="+mn-cs"/>
            </a:rPr>
            <a:t> pour objet de permettre à Rainforest Alliance ni à tout autre tiers d’</a:t>
          </a:r>
          <a:r>
            <a:rPr lang="fr-FR" sz="1000" b="1" i="0" baseline="0">
              <a:solidFill>
                <a:sysClr val="windowText" lastClr="000000"/>
              </a:solidFill>
              <a:latin typeface="Century Gothic" panose="020B0502020202020204" pitchFamily="34" charset="0"/>
              <a:ea typeface="+mn-ea"/>
              <a:cs typeface="+mn-cs"/>
            </a:rPr>
            <a:t>évaluer</a:t>
          </a:r>
          <a:r>
            <a:rPr lang="fr-FR" sz="1000" b="0" i="0" baseline="0">
              <a:solidFill>
                <a:sysClr val="windowText" lastClr="000000"/>
              </a:solidFill>
              <a:latin typeface="Century Gothic" panose="020B0502020202020204" pitchFamily="34" charset="0"/>
              <a:ea typeface="+mn-ea"/>
              <a:cs typeface="+mn-cs"/>
            </a:rPr>
            <a:t> </a:t>
          </a:r>
          <a:r>
            <a:rPr lang="fr-FR" sz="1000" b="1" i="0" baseline="0">
              <a:solidFill>
                <a:sysClr val="windowText" lastClr="000000"/>
              </a:solidFill>
              <a:latin typeface="Century Gothic" panose="020B0502020202020204" pitchFamily="34" charset="0"/>
              <a:ea typeface="+mn-ea"/>
              <a:cs typeface="+mn-cs"/>
            </a:rPr>
            <a:t>le niveau de risque </a:t>
          </a:r>
          <a:r>
            <a:rPr lang="fr-FR" sz="1000" b="0" i="0" baseline="0">
              <a:solidFill>
                <a:sysClr val="windowText" lastClr="000000"/>
              </a:solidFill>
              <a:latin typeface="Century Gothic" panose="020B0502020202020204" pitchFamily="34" charset="0"/>
              <a:ea typeface="+mn-ea"/>
              <a:cs typeface="+mn-cs"/>
            </a:rPr>
            <a:t>auquel le titulaire d’un certificat </a:t>
          </a:r>
          <a:r>
            <a:rPr lang="fr-FR" sz="1000" b="0" i="0" baseline="0">
              <a:solidFill>
                <a:schemeClr val="tx1"/>
              </a:solidFill>
              <a:latin typeface="Century Gothic" panose="020B0502020202020204" pitchFamily="34" charset="0"/>
              <a:ea typeface="+mn-ea"/>
              <a:cs typeface="+mn-cs"/>
            </a:rPr>
            <a:t>est exposé</a:t>
          </a:r>
          <a:r>
            <a:rPr lang="fr-FR" sz="1000" b="0" i="0" baseline="0">
              <a:solidFill>
                <a:sysClr val="windowText" lastClr="000000"/>
              </a:solidFill>
              <a:latin typeface="Century Gothic" panose="020B0502020202020204" pitchFamily="34" charset="0"/>
              <a:ea typeface="+mn-ea"/>
              <a:cs typeface="+mn-cs"/>
            </a:rPr>
            <a:t>. </a:t>
          </a:r>
        </a:p>
        <a:p>
          <a:pPr fontAlgn="base"/>
          <a:endParaRPr/>
        </a:p>
        <a:p>
          <a:pPr eaLnBrk="1" fontAlgn="auto" latinLnBrk="0" hangingPunct="1"/>
          <a:r>
            <a:rPr lang="fr-FR" sz="1000" b="1" i="0" baseline="0">
              <a:solidFill>
                <a:sysClr val="windowText" lastClr="000000"/>
              </a:solidFill>
              <a:latin typeface="Century Gothic" panose="020B0502020202020204" pitchFamily="34" charset="0"/>
              <a:ea typeface="+mn-ea"/>
              <a:cs typeface="+mn-cs"/>
            </a:rPr>
            <a:t>Sommaire</a:t>
          </a: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Les</a:t>
          </a:r>
          <a:r>
            <a:rPr lang="fr-FR" sz="1000" i="0" baseline="0">
              <a:solidFill>
                <a:sysClr val="windowText" lastClr="000000"/>
              </a:solidFill>
              <a:latin typeface="Century Gothic" panose="020B0502020202020204" pitchFamily="34" charset="0"/>
              <a:ea typeface="+mn-ea"/>
              <a:cs typeface="+mn-cs"/>
            </a:rPr>
            <a:t> </a:t>
          </a:r>
          <a:r>
            <a:rPr lang="fr-FR" sz="1000" b="1" i="0" baseline="0">
              <a:solidFill>
                <a:sysClr val="windowText" lastClr="000000"/>
              </a:solidFill>
              <a:latin typeface="Century Gothic" panose="020B0502020202020204" pitchFamily="34" charset="0"/>
              <a:ea typeface="+mn-ea"/>
              <a:cs typeface="+mn-cs"/>
            </a:rPr>
            <a:t>sujets</a:t>
          </a:r>
          <a:r>
            <a:rPr lang="fr-FR" sz="1000" b="0" i="0" baseline="0">
              <a:solidFill>
                <a:sysClr val="windowText" lastClr="000000"/>
              </a:solidFill>
              <a:latin typeface="Century Gothic" panose="020B0502020202020204" pitchFamily="34" charset="0"/>
              <a:ea typeface="+mn-ea"/>
              <a:cs typeface="+mn-cs"/>
            </a:rPr>
            <a:t> couverts par l’Outil d’évaluation des risques pour les exploitations agricoles sont :</a:t>
          </a:r>
        </a:p>
        <a:p>
          <a:pPr marL="171450" indent="-171450" eaLnBrk="1" fontAlgn="auto" latinLnBrk="0" hangingPunct="1">
            <a:buFont typeface="Arial" panose="020B0604020202020204" pitchFamily="34" charset="0"/>
            <a:buChar char="•"/>
          </a:pPr>
          <a:r>
            <a:rPr lang="fr-FR" sz="1000" b="0" i="1" baseline="0">
              <a:solidFill>
                <a:sysClr val="windowText" lastClr="000000"/>
              </a:solidFill>
              <a:latin typeface="Century Gothic" panose="020B0502020202020204" pitchFamily="34" charset="0"/>
              <a:ea typeface="+mn-ea"/>
              <a:cs typeface="+mn-cs"/>
            </a:rPr>
            <a:t>Gestion</a:t>
          </a:r>
          <a:r>
            <a:rPr lang="fr-FR" sz="1000" b="0" i="0" baseline="0">
              <a:solidFill>
                <a:sysClr val="windowText" lastClr="000000"/>
              </a:solidFill>
              <a:latin typeface="Century Gothic" panose="020B0502020202020204" pitchFamily="34" charset="0"/>
              <a:ea typeface="+mn-ea"/>
              <a:cs typeface="+mn-cs"/>
            </a:rPr>
            <a:t> : surface de l’exploitation, productivité et rentabilité, traçabilité, mécanisme de traitement des réclamations</a:t>
          </a:r>
        </a:p>
        <a:p>
          <a:pPr marL="171450" indent="-171450" eaLnBrk="1" fontAlgn="auto" latinLnBrk="0" hangingPunct="1">
            <a:buFont typeface="Arial" panose="020B0604020202020204" pitchFamily="34" charset="0"/>
            <a:buChar char="•"/>
          </a:pPr>
          <a:r>
            <a:rPr lang="fr-FR" sz="1000" b="0" i="1" baseline="0">
              <a:solidFill>
                <a:sysClr val="windowText" lastClr="000000"/>
              </a:solidFill>
              <a:latin typeface="Century Gothic" panose="020B0502020202020204" pitchFamily="34" charset="0"/>
              <a:ea typeface="+mn-ea"/>
              <a:cs typeface="+mn-cs"/>
            </a:rPr>
            <a:t>Exploitation</a:t>
          </a:r>
          <a:r>
            <a:rPr lang="fr-FR" sz="1000" b="0" i="0" baseline="0">
              <a:solidFill>
                <a:sysClr val="windowText" lastClr="000000"/>
              </a:solidFill>
              <a:latin typeface="Century Gothic" panose="020B0502020202020204" pitchFamily="34" charset="0"/>
              <a:ea typeface="+mn-ea"/>
              <a:cs typeface="+mn-cs"/>
            </a:rPr>
            <a:t> : gestion des produits phytosanitaires, fertilité et conservation du sol</a:t>
          </a:r>
        </a:p>
        <a:p>
          <a:pPr marL="171450" indent="-171450" eaLnBrk="1" fontAlgn="auto" latinLnBrk="0" hangingPunct="1">
            <a:buFont typeface="Arial" panose="020B0604020202020204" pitchFamily="34" charset="0"/>
            <a:buChar char="•"/>
          </a:pPr>
          <a:r>
            <a:rPr lang="fr-FR" sz="1000" b="0" i="1" baseline="0">
              <a:solidFill>
                <a:sysClr val="windowText" lastClr="000000"/>
              </a:solidFill>
              <a:latin typeface="Century Gothic" panose="020B0502020202020204" pitchFamily="34" charset="0"/>
              <a:ea typeface="+mn-ea"/>
              <a:cs typeface="+mn-cs"/>
            </a:rPr>
            <a:t>Social</a:t>
          </a:r>
          <a:r>
            <a:rPr lang="fr-FR" sz="1000" b="0" i="0" baseline="0">
              <a:solidFill>
                <a:sysClr val="windowText" lastClr="000000"/>
              </a:solidFill>
              <a:latin typeface="Century Gothic" panose="020B0502020202020204" pitchFamily="34" charset="0"/>
              <a:ea typeface="+mn-ea"/>
              <a:cs typeface="+mn-cs"/>
            </a:rPr>
            <a:t> : Évaluation-et-Résolution (travail des enfants, travail forcé, discrimination, violence et harcèlement au travail), égalité des genres, conditions de vie et de logement</a:t>
          </a:r>
        </a:p>
        <a:p>
          <a:pPr marL="171450" indent="-171450" eaLnBrk="1" fontAlgn="auto" latinLnBrk="0" hangingPunct="1">
            <a:buFont typeface="Arial" panose="020B0604020202020204" pitchFamily="34" charset="0"/>
            <a:buChar char="•"/>
          </a:pPr>
          <a:r>
            <a:rPr lang="fr-FR" sz="1000" b="0" i="1" baseline="0">
              <a:solidFill>
                <a:sysClr val="windowText" lastClr="000000"/>
              </a:solidFill>
              <a:latin typeface="Century Gothic" panose="020B0502020202020204" pitchFamily="34" charset="0"/>
              <a:ea typeface="+mn-ea"/>
              <a:cs typeface="+mn-cs"/>
            </a:rPr>
            <a:t>Environnement</a:t>
          </a:r>
          <a:r>
            <a:rPr lang="fr-FR" sz="1000" b="0" i="0" baseline="0">
              <a:solidFill>
                <a:sysClr val="windowText" lastClr="000000"/>
              </a:solidFill>
              <a:latin typeface="Century Gothic" panose="020B0502020202020204" pitchFamily="34" charset="0"/>
              <a:ea typeface="+mn-ea"/>
              <a:cs typeface="+mn-cs"/>
            </a:rPr>
            <a:t> : Évaluation des Zones à haute valeur de conservation, Conservation et amélioration des écosystèmes naturels et de la végétation, changement climatique</a:t>
          </a:r>
        </a:p>
        <a:p>
          <a:pPr eaLnBrk="1" fontAlgn="auto" latinLnBrk="0" hangingPunct="1"/>
          <a:endParaRP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À chaque sujet correspond un nombre limité de </a:t>
          </a:r>
          <a:r>
            <a:rPr lang="fr-FR" sz="1000" b="1" i="0" baseline="0">
              <a:solidFill>
                <a:sysClr val="windowText" lastClr="000000"/>
              </a:solidFill>
              <a:latin typeface="Century Gothic" panose="020B0502020202020204" pitchFamily="34" charset="0"/>
              <a:ea typeface="+mn-ea"/>
              <a:cs typeface="+mn-cs"/>
            </a:rPr>
            <a:t>questions</a:t>
          </a:r>
          <a:r>
            <a:rPr lang="fr-FR" sz="1000" i="0" baseline="0">
              <a:solidFill>
                <a:sysClr val="windowText" lastClr="000000"/>
              </a:solidFill>
              <a:latin typeface="Century Gothic" panose="020B0502020202020204" pitchFamily="34" charset="0"/>
              <a:ea typeface="+mn-ea"/>
              <a:cs typeface="+mn-cs"/>
            </a:rPr>
            <a:t> auxquelles il faut répondre par </a:t>
          </a:r>
          <a:r>
            <a:rPr lang="fr-FR" sz="1000" b="1" i="0" baseline="0">
              <a:solidFill>
                <a:sysClr val="windowText" lastClr="000000"/>
              </a:solidFill>
              <a:latin typeface="Century Gothic" panose="020B0502020202020204" pitchFamily="34" charset="0"/>
              <a:ea typeface="+mn-ea"/>
              <a:cs typeface="+mn-cs"/>
            </a:rPr>
            <a:t>oui</a:t>
          </a:r>
          <a:r>
            <a:rPr lang="fr-FR" sz="1000" b="0" i="0" baseline="0">
              <a:solidFill>
                <a:sysClr val="windowText" lastClr="000000"/>
              </a:solidFill>
              <a:latin typeface="Century Gothic" panose="020B0502020202020204" pitchFamily="34" charset="0"/>
              <a:ea typeface="+mn-ea"/>
              <a:cs typeface="+mn-cs"/>
            </a:rPr>
            <a:t> ou par </a:t>
          </a:r>
          <a:r>
            <a:rPr lang="fr-FR" sz="1000" b="1" i="0" baseline="0">
              <a:solidFill>
                <a:sysClr val="windowText" lastClr="000000"/>
              </a:solidFill>
              <a:latin typeface="Century Gothic" panose="020B0502020202020204" pitchFamily="34" charset="0"/>
              <a:ea typeface="+mn-ea"/>
              <a:cs typeface="+mn-cs"/>
            </a:rPr>
            <a:t>non</a:t>
          </a:r>
          <a:r>
            <a:rPr lang="fr-FR" sz="1000" b="0" i="0" baseline="0">
              <a:solidFill>
                <a:sysClr val="windowText" lastClr="000000"/>
              </a:solidFill>
              <a:latin typeface="Century Gothic" panose="020B0502020202020204" pitchFamily="34" charset="0"/>
              <a:ea typeface="+mn-ea"/>
              <a:cs typeface="+mn-cs"/>
            </a:rPr>
            <a:t>. En fonction de la réponse, les </a:t>
          </a:r>
          <a:r>
            <a:rPr lang="fr-FR" sz="1000" b="1" i="0" baseline="0">
              <a:solidFill>
                <a:sysClr val="windowText" lastClr="000000"/>
              </a:solidFill>
              <a:latin typeface="Century Gothic" panose="020B0502020202020204" pitchFamily="34" charset="0"/>
              <a:ea typeface="+mn-ea"/>
              <a:cs typeface="+mn-cs"/>
            </a:rPr>
            <a:t>mesures recommandées d’atténuation des</a:t>
          </a:r>
          <a:r>
            <a:rPr lang="fr-FR" sz="1000" b="0" i="0" baseline="0">
              <a:solidFill>
                <a:sysClr val="windowText" lastClr="000000"/>
              </a:solidFill>
              <a:latin typeface="Century Gothic" panose="020B0502020202020204" pitchFamily="34" charset="0"/>
              <a:ea typeface="+mn-ea"/>
              <a:cs typeface="+mn-cs"/>
            </a:rPr>
            <a:t> </a:t>
          </a:r>
          <a:r>
            <a:rPr lang="fr-FR" sz="1000" b="1" i="0" baseline="0">
              <a:solidFill>
                <a:sysClr val="windowText" lastClr="000000"/>
              </a:solidFill>
              <a:latin typeface="Century Gothic" panose="020B0502020202020204" pitchFamily="34" charset="0"/>
              <a:ea typeface="+mn-ea"/>
              <a:cs typeface="+mn-cs"/>
            </a:rPr>
            <a:t>risques</a:t>
          </a:r>
          <a:r>
            <a:rPr lang="fr-FR" sz="1000" b="0" i="0" baseline="0">
              <a:solidFill>
                <a:sysClr val="windowText" lastClr="000000"/>
              </a:solidFill>
              <a:latin typeface="Century Gothic" panose="020B0502020202020204" pitchFamily="34" charset="0"/>
              <a:ea typeface="+mn-ea"/>
              <a:cs typeface="+mn-cs"/>
            </a:rPr>
            <a:t> apparaissent dans la cellule suivante sur la même ligne du tableau. </a:t>
          </a:r>
        </a:p>
        <a:p>
          <a:pPr eaLnBrk="1" fontAlgn="auto" latinLnBrk="0" hangingPunct="1"/>
          <a:endParaRPr/>
        </a:p>
        <a:p>
          <a:pPr eaLnBrk="1" fontAlgn="auto" latinLnBrk="0" hangingPunct="1"/>
          <a:r>
            <a:rPr lang="fr-FR" sz="1000" b="1" i="0" baseline="0">
              <a:solidFill>
                <a:sysClr val="windowText" lastClr="000000"/>
              </a:solidFill>
              <a:latin typeface="Century Gothic" panose="020B0502020202020204" pitchFamily="34" charset="0"/>
              <a:ea typeface="+mn-ea"/>
              <a:cs typeface="+mn-cs"/>
            </a:rPr>
            <a:t>Utilisation de l’outil d’évaluation des risques</a:t>
          </a: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L’outil d’évaluation des risques est utilisé par la direction d’un groupe ou par une exploitation individuelle pour identifier </a:t>
          </a:r>
          <a:r>
            <a:rPr lang="fr-FR" sz="1000" b="1" i="0" baseline="0">
              <a:solidFill>
                <a:sysClr val="windowText" lastClr="000000"/>
              </a:solidFill>
              <a:latin typeface="Century Gothic" panose="020B0502020202020204" pitchFamily="34" charset="0"/>
              <a:ea typeface="+mn-ea"/>
              <a:cs typeface="+mn-cs"/>
            </a:rPr>
            <a:t>les mesures à prendre pour atténuer les risques identifiés</a:t>
          </a:r>
          <a:r>
            <a:rPr lang="fr-FR" sz="1000" b="0" i="0" baseline="0">
              <a:solidFill>
                <a:sysClr val="windowText" lastClr="000000"/>
              </a:solidFill>
              <a:latin typeface="Century Gothic" panose="020B0502020202020204" pitchFamily="34" charset="0"/>
              <a:ea typeface="+mn-ea"/>
              <a:cs typeface="+mn-cs"/>
            </a:rPr>
            <a:t>.</a:t>
          </a:r>
        </a:p>
        <a:p>
          <a:pPr eaLnBrk="1" fontAlgn="auto" latinLnBrk="0" hangingPunct="1"/>
          <a:endParaRPr/>
        </a:p>
        <a:p>
          <a:pPr marL="0" marR="0" lvl="0" indent="0" defTabSz="914400" eaLnBrk="1" fontAlgn="auto" latinLnBrk="0" hangingPunct="1">
            <a:lnSpc>
              <a:spcPct val="100000"/>
            </a:lnSpc>
            <a:spcBef>
              <a:spcPts val="0"/>
            </a:spcBef>
            <a:spcAft>
              <a:spcPts val="0"/>
            </a:spcAft>
            <a:buClrTx/>
            <a:buSzTx/>
            <a:buFontTx/>
            <a:buNone/>
            <a:tabLst/>
            <a:defRPr/>
          </a:pPr>
          <a:r>
            <a:rPr lang="fr-FR" sz="1000" b="0" i="0" baseline="0">
              <a:solidFill>
                <a:sysClr val="windowText" lastClr="000000"/>
              </a:solidFill>
              <a:latin typeface="Century Gothic" panose="020B0502020202020204" pitchFamily="34" charset="0"/>
              <a:ea typeface="+mn-ea"/>
              <a:cs typeface="+mn-cs"/>
            </a:rPr>
            <a:t>Le résultat de l’évaluation des risques est une liste de mesures à inclure dans le</a:t>
          </a:r>
          <a:r>
            <a:rPr lang="fr-FR" sz="1000" i="0" baseline="0">
              <a:solidFill>
                <a:sysClr val="windowText" lastClr="000000"/>
              </a:solidFill>
              <a:latin typeface="Century Gothic" panose="020B0502020202020204" pitchFamily="34" charset="0"/>
              <a:ea typeface="+mn-ea"/>
              <a:cs typeface="+mn-cs"/>
            </a:rPr>
            <a:t> </a:t>
          </a:r>
          <a:r>
            <a:rPr lang="fr-FR" sz="1000" b="1" i="0" baseline="0">
              <a:solidFill>
                <a:sysClr val="windowText" lastClr="000000"/>
              </a:solidFill>
              <a:latin typeface="Century Gothic" panose="020B0502020202020204" pitchFamily="34" charset="0"/>
              <a:ea typeface="+mn-ea"/>
              <a:cs typeface="+mn-cs"/>
            </a:rPr>
            <a:t>plan de gestion. </a:t>
          </a:r>
          <a:r>
            <a:rPr lang="fr-FR" sz="1000" b="0" i="0" baseline="0">
              <a:solidFill>
                <a:schemeClr val="tx1"/>
              </a:solidFill>
              <a:latin typeface="Century Gothic" panose="020B0502020202020204" pitchFamily="34" charset="0"/>
              <a:ea typeface="+mn-ea"/>
              <a:cs typeface="+mn-cs"/>
            </a:rPr>
            <a:t>L</a:t>
          </a:r>
          <a:r>
            <a:rPr lang="fr-FR" sz="1000" baseline="0">
              <a:solidFill>
                <a:schemeClr val="tx1"/>
              </a:solidFill>
              <a:latin typeface="Century Gothic" panose="020B0502020202020204" pitchFamily="34" charset="0"/>
              <a:ea typeface="+mn-ea"/>
              <a:cs typeface="+mn-cs"/>
            </a:rPr>
            <a:t>es résultats de l’évaluation basique des risques sont intégrés dans le plan de gestion dès la première année et mis à jour annuellement sur la base 1) des progrès mis en évidence par le suivi et 2) des résultats actualisés à l’occasion de l'évaluation triennale des risques.  L’évaluation approfondie des risques guidera les mesures à prendre à partir de l’année 1.</a:t>
          </a:r>
        </a:p>
        <a:p>
          <a:pPr eaLnBrk="1" fontAlgn="auto" latinLnBrk="0" hangingPunct="1"/>
          <a:endParaRP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Il est </a:t>
          </a:r>
          <a:r>
            <a:rPr lang="fr-FR" sz="1000" b="1" i="0" baseline="0">
              <a:solidFill>
                <a:sysClr val="windowText" lastClr="000000"/>
              </a:solidFill>
              <a:latin typeface="Century Gothic" panose="020B0502020202020204" pitchFamily="34" charset="0"/>
              <a:ea typeface="+mn-ea"/>
              <a:cs typeface="+mn-cs"/>
            </a:rPr>
            <a:t>impératif</a:t>
          </a:r>
          <a:r>
            <a:rPr lang="fr-FR" sz="1000" b="0" i="0" baseline="0">
              <a:solidFill>
                <a:sysClr val="windowText" lastClr="000000"/>
              </a:solidFill>
              <a:latin typeface="Century Gothic" panose="020B0502020202020204" pitchFamily="34" charset="0"/>
              <a:ea typeface="+mn-ea"/>
              <a:cs typeface="+mn-cs"/>
            </a:rPr>
            <a:t> de mettre en place des mesures d’atténuation pour chaque risque identifié. Rainforest Alliance recommande fortement les mesures d’atténuation proposées, mais avec une flexibilité pour les autres mesures d’atténuation si elles sont considérées comme étant plus efficaces dans le contexte spécifique du Titulaire de certificat. Si le Titulaire de certificat décide de prendre des mesures différentes, il doit les justifier et les inclure aussi dans le Plan de gestion.</a:t>
          </a:r>
        </a:p>
        <a:p>
          <a:pPr eaLnBrk="1" fontAlgn="auto" latinLnBrk="0" hangingPunct="1"/>
          <a:endParaRP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Les </a:t>
          </a:r>
          <a:r>
            <a:rPr lang="fr-FR" sz="1000" b="1" i="0" baseline="0">
              <a:solidFill>
                <a:sysClr val="windowText" lastClr="000000"/>
              </a:solidFill>
              <a:latin typeface="Century Gothic" panose="020B0502020202020204" pitchFamily="34" charset="0"/>
              <a:ea typeface="+mn-ea"/>
              <a:cs typeface="+mn-cs"/>
            </a:rPr>
            <a:t>auditeurs</a:t>
          </a:r>
          <a:r>
            <a:rPr lang="fr-FR" sz="1000" b="0" i="0" baseline="0">
              <a:solidFill>
                <a:sysClr val="windowText" lastClr="000000"/>
              </a:solidFill>
              <a:latin typeface="Century Gothic" panose="020B0502020202020204" pitchFamily="34" charset="0"/>
              <a:ea typeface="+mn-ea"/>
              <a:cs typeface="+mn-cs"/>
            </a:rPr>
            <a:t> vérifient que l’évaluation des risques a été réalisée et que les mesures ont été intégrées dans le plan de gestion et qu’elles sont mises en œuvre. </a:t>
          </a:r>
        </a:p>
        <a:p>
          <a:pPr eaLnBrk="1" fontAlgn="auto" latinLnBrk="0" hangingPunct="1"/>
          <a:endParaRPr/>
        </a:p>
        <a:p>
          <a:pPr eaLnBrk="1" fontAlgn="auto" latinLnBrk="0" hangingPunct="1"/>
          <a:r>
            <a:rPr lang="fr-FR" sz="1000" b="0" i="0" baseline="0">
              <a:solidFill>
                <a:sysClr val="windowText" lastClr="000000"/>
              </a:solidFill>
              <a:latin typeface="Century Gothic" panose="020B0502020202020204" pitchFamily="34" charset="0"/>
              <a:ea typeface="+mn-ea"/>
              <a:cs typeface="+mn-cs"/>
            </a:rPr>
            <a:t>Rainforest Alliance ne divulgue pas les </a:t>
          </a:r>
          <a:r>
            <a:rPr lang="fr-FR" sz="1000" b="1" i="0" baseline="0">
              <a:solidFill>
                <a:sysClr val="windowText" lastClr="000000"/>
              </a:solidFill>
              <a:latin typeface="Century Gothic" panose="020B0502020202020204" pitchFamily="34" charset="0"/>
              <a:ea typeface="+mn-ea"/>
              <a:cs typeface="+mn-cs"/>
            </a:rPr>
            <a:t>données</a:t>
          </a:r>
          <a:r>
            <a:rPr lang="fr-FR" sz="1000" b="0" i="0" baseline="0">
              <a:solidFill>
                <a:sysClr val="windowText" lastClr="000000"/>
              </a:solidFill>
              <a:latin typeface="Century Gothic" panose="020B0502020202020204" pitchFamily="34" charset="0"/>
              <a:ea typeface="+mn-ea"/>
              <a:cs typeface="+mn-cs"/>
            </a:rPr>
            <a:t> de l’évaluation des risques à des tiers extérieurs. Rainforest Alliance peut cependant utiliser les données de l’outil d’évaluation des risques </a:t>
          </a:r>
          <a:r>
            <a:rPr lang="fr-FR" sz="1000" b="0" i="0" baseline="0">
              <a:solidFill>
                <a:schemeClr val="tx1"/>
              </a:solidFill>
              <a:latin typeface="Century Gothic" panose="020B0502020202020204" pitchFamily="34" charset="0"/>
              <a:ea typeface="+mn-ea"/>
              <a:cs typeface="+mn-cs"/>
            </a:rPr>
            <a:t>à un niveau agrégé qui ne permet pas d’identifier les titulaires de certificats, </a:t>
          </a:r>
          <a:r>
            <a:rPr lang="fr-FR" sz="1000" b="0" i="0" baseline="0">
              <a:solidFill>
                <a:sysClr val="windowText" lastClr="000000"/>
              </a:solidFill>
              <a:latin typeface="Century Gothic" panose="020B0502020202020204" pitchFamily="34" charset="0"/>
              <a:ea typeface="+mn-ea"/>
              <a:cs typeface="+mn-cs"/>
            </a:rPr>
            <a:t>à des fins d’apprentissage, d’adaptation et d’amélioration de l’outil, par ex : recommander des mesures supplémentaires à mettre en œuvre.</a:t>
          </a:r>
        </a:p>
        <a:p>
          <a:pPr fontAlgn="base"/>
          <a:endParaRPr/>
        </a:p>
        <a:p>
          <a:pPr fontAlgn="base"/>
          <a:endParaRPr/>
        </a:p>
        <a:p>
          <a:pPr fontAlgn="base"/>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33</xdr:col>
      <xdr:colOff>6350</xdr:colOff>
      <xdr:row>6</xdr:row>
      <xdr:rowOff>177800</xdr:rowOff>
    </xdr:to>
    <xdr:sp macro="" textlink="">
      <xdr:nvSpPr>
        <xdr:cNvPr id="2" name="Group Box 37" hidden="1">
          <a:extLst>
            <a:ext uri="{63B3BB69-23CF-44E3-9099-C40C66FF867C}">
              <a14:compatExt xmlns:a14="http://schemas.microsoft.com/office/drawing/2010/main" spid="_x0000_s2085"/>
            </a:ext>
            <a:ext uri="{FF2B5EF4-FFF2-40B4-BE49-F238E27FC236}">
              <a16:creationId xmlns:a16="http://schemas.microsoft.com/office/drawing/2014/main" id="{86A76B7C-F267-422E-A333-FC0BE7717821}"/>
            </a:ext>
            <a:ext uri="{147F2762-F138-4A5C-976F-8EAC2B608ADB}">
              <a16:predDERef xmlns:a16="http://schemas.microsoft.com/office/drawing/2014/main" pred="{00000000-0008-0000-0200-000024080000}"/>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3" name="Group Box 42" hidden="1">
          <a:extLst>
            <a:ext uri="{63B3BB69-23CF-44E3-9099-C40C66FF867C}">
              <a14:compatExt xmlns:a14="http://schemas.microsoft.com/office/drawing/2010/main" spid="_x0000_s2090"/>
            </a:ext>
            <a:ext uri="{FF2B5EF4-FFF2-40B4-BE49-F238E27FC236}">
              <a16:creationId xmlns:a16="http://schemas.microsoft.com/office/drawing/2014/main" id="{9D91A364-FAB1-434D-9A86-F0FC87BFCC08}"/>
            </a:ext>
            <a:ext uri="{147F2762-F138-4A5C-976F-8EAC2B608ADB}">
              <a16:predDERef xmlns:a16="http://schemas.microsoft.com/office/drawing/2014/main" pred="{86A76B7C-F267-422E-A333-FC0BE7717821}"/>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4" name="Option Button 51" hidden="1">
          <a:extLst>
            <a:ext uri="{63B3BB69-23CF-44E3-9099-C40C66FF867C}">
              <a14:compatExt xmlns:a14="http://schemas.microsoft.com/office/drawing/2010/main" spid="_x0000_s2099"/>
            </a:ext>
            <a:ext uri="{FF2B5EF4-FFF2-40B4-BE49-F238E27FC236}">
              <a16:creationId xmlns:a16="http://schemas.microsoft.com/office/drawing/2014/main" id="{B215CD7F-1766-4334-8C6F-EE965ED7E7C5}"/>
            </a:ext>
            <a:ext uri="{147F2762-F138-4A5C-976F-8EAC2B608ADB}">
              <a16:predDERef xmlns:a16="http://schemas.microsoft.com/office/drawing/2014/main" pred="{9D91A364-FAB1-434D-9A86-F0FC87BFCC08}"/>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5" name="Option Button 52" hidden="1">
          <a:extLst>
            <a:ext uri="{63B3BB69-23CF-44E3-9099-C40C66FF867C}">
              <a14:compatExt xmlns:a14="http://schemas.microsoft.com/office/drawing/2010/main" spid="_x0000_s2100"/>
            </a:ext>
            <a:ext uri="{FF2B5EF4-FFF2-40B4-BE49-F238E27FC236}">
              <a16:creationId xmlns:a16="http://schemas.microsoft.com/office/drawing/2014/main" id="{E1A2AC2C-0324-44BC-8F7B-D2A02AF6D68B}"/>
            </a:ext>
            <a:ext uri="{147F2762-F138-4A5C-976F-8EAC2B608ADB}">
              <a16:predDERef xmlns:a16="http://schemas.microsoft.com/office/drawing/2014/main" pred="{B215CD7F-1766-4334-8C6F-EE965ED7E7C5}"/>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6" name="Option Button 53" hidden="1">
          <a:extLst>
            <a:ext uri="{63B3BB69-23CF-44E3-9099-C40C66FF867C}">
              <a14:compatExt xmlns:a14="http://schemas.microsoft.com/office/drawing/2010/main" spid="_x0000_s2101"/>
            </a:ext>
            <a:ext uri="{FF2B5EF4-FFF2-40B4-BE49-F238E27FC236}">
              <a16:creationId xmlns:a16="http://schemas.microsoft.com/office/drawing/2014/main" id="{913E1879-6D5D-4427-B79E-AAB04D14D2EF}"/>
            </a:ext>
            <a:ext uri="{147F2762-F138-4A5C-976F-8EAC2B608ADB}">
              <a16:predDERef xmlns:a16="http://schemas.microsoft.com/office/drawing/2014/main" pred="{E1A2AC2C-0324-44BC-8F7B-D2A02AF6D68B}"/>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7" name="Option Button 54" hidden="1">
          <a:extLst>
            <a:ext uri="{63B3BB69-23CF-44E3-9099-C40C66FF867C}">
              <a14:compatExt xmlns:a14="http://schemas.microsoft.com/office/drawing/2010/main" spid="_x0000_s2102"/>
            </a:ext>
            <a:ext uri="{FF2B5EF4-FFF2-40B4-BE49-F238E27FC236}">
              <a16:creationId xmlns:a16="http://schemas.microsoft.com/office/drawing/2014/main" id="{1AD26929-CA2B-4C6A-BB8B-DB840F73B6E3}"/>
            </a:ext>
            <a:ext uri="{147F2762-F138-4A5C-976F-8EAC2B608ADB}">
              <a16:predDERef xmlns:a16="http://schemas.microsoft.com/office/drawing/2014/main" pred="{913E1879-6D5D-4427-B79E-AAB04D14D2EF}"/>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8" name="Option Button 59" hidden="1">
          <a:extLst>
            <a:ext uri="{63B3BB69-23CF-44E3-9099-C40C66FF867C}">
              <a14:compatExt xmlns:a14="http://schemas.microsoft.com/office/drawing/2010/main" spid="_x0000_s2107"/>
            </a:ext>
            <a:ext uri="{FF2B5EF4-FFF2-40B4-BE49-F238E27FC236}">
              <a16:creationId xmlns:a16="http://schemas.microsoft.com/office/drawing/2014/main" id="{BDEE6BE6-DCD0-4362-AD6F-79B35C38856D}"/>
            </a:ext>
            <a:ext uri="{147F2762-F138-4A5C-976F-8EAC2B608ADB}">
              <a16:predDERef xmlns:a16="http://schemas.microsoft.com/office/drawing/2014/main" pred="{1AD26929-CA2B-4C6A-BB8B-DB840F73B6E3}"/>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9" name="Option Button 60" hidden="1">
          <a:extLst>
            <a:ext uri="{63B3BB69-23CF-44E3-9099-C40C66FF867C}">
              <a14:compatExt xmlns:a14="http://schemas.microsoft.com/office/drawing/2010/main" spid="_x0000_s2108"/>
            </a:ext>
            <a:ext uri="{FF2B5EF4-FFF2-40B4-BE49-F238E27FC236}">
              <a16:creationId xmlns:a16="http://schemas.microsoft.com/office/drawing/2014/main" id="{529BA80F-BABA-4871-88FB-F2B1863D6CE2}"/>
            </a:ext>
            <a:ext uri="{147F2762-F138-4A5C-976F-8EAC2B608ADB}">
              <a16:predDERef xmlns:a16="http://schemas.microsoft.com/office/drawing/2014/main" pred="{BDEE6BE6-DCD0-4362-AD6F-79B35C38856D}"/>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0" name="Option Button 61" hidden="1">
          <a:extLst>
            <a:ext uri="{63B3BB69-23CF-44E3-9099-C40C66FF867C}">
              <a14:compatExt xmlns:a14="http://schemas.microsoft.com/office/drawing/2010/main" spid="_x0000_s2109"/>
            </a:ext>
            <a:ext uri="{FF2B5EF4-FFF2-40B4-BE49-F238E27FC236}">
              <a16:creationId xmlns:a16="http://schemas.microsoft.com/office/drawing/2014/main" id="{D86556EC-0FA9-4D77-9B32-8BEFBBA97FB9}"/>
            </a:ext>
            <a:ext uri="{147F2762-F138-4A5C-976F-8EAC2B608ADB}">
              <a16:predDERef xmlns:a16="http://schemas.microsoft.com/office/drawing/2014/main" pred="{529BA80F-BABA-4871-88FB-F2B1863D6CE2}"/>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1" name="Option Button 62" hidden="1">
          <a:extLst>
            <a:ext uri="{63B3BB69-23CF-44E3-9099-C40C66FF867C}">
              <a14:compatExt xmlns:a14="http://schemas.microsoft.com/office/drawing/2010/main" spid="_x0000_s2110"/>
            </a:ext>
            <a:ext uri="{FF2B5EF4-FFF2-40B4-BE49-F238E27FC236}">
              <a16:creationId xmlns:a16="http://schemas.microsoft.com/office/drawing/2014/main" id="{E7BC57DE-9C1B-443C-887D-5A87F04E6EE9}"/>
            </a:ext>
            <a:ext uri="{147F2762-F138-4A5C-976F-8EAC2B608ADB}">
              <a16:predDERef xmlns:a16="http://schemas.microsoft.com/office/drawing/2014/main" pred="{D86556EC-0FA9-4D77-9B32-8BEFBBA97FB9}"/>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12" name="Group Box 37" hidden="1">
          <a:extLst>
            <a:ext uri="{63B3BB69-23CF-44E3-9099-C40C66FF867C}">
              <a14:compatExt xmlns:a14="http://schemas.microsoft.com/office/drawing/2010/main" spid="_x0000_s2085"/>
            </a:ext>
            <a:ext uri="{FF2B5EF4-FFF2-40B4-BE49-F238E27FC236}">
              <a16:creationId xmlns:a16="http://schemas.microsoft.com/office/drawing/2014/main" id="{3C7EB420-0F81-406E-AA6C-DF17E1BD6125}"/>
            </a:ext>
            <a:ext uri="{147F2762-F138-4A5C-976F-8EAC2B608ADB}">
              <a16:predDERef xmlns:a16="http://schemas.microsoft.com/office/drawing/2014/main" pred="{E7BC57DE-9C1B-443C-887D-5A87F04E6EE9}"/>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13" name="Group Box 42" hidden="1">
          <a:extLst>
            <a:ext uri="{63B3BB69-23CF-44E3-9099-C40C66FF867C}">
              <a14:compatExt xmlns:a14="http://schemas.microsoft.com/office/drawing/2010/main" spid="_x0000_s2090"/>
            </a:ext>
            <a:ext uri="{FF2B5EF4-FFF2-40B4-BE49-F238E27FC236}">
              <a16:creationId xmlns:a16="http://schemas.microsoft.com/office/drawing/2014/main" id="{5D510BF0-83DC-4BE8-94C6-AF4E4230F5F5}"/>
            </a:ext>
            <a:ext uri="{147F2762-F138-4A5C-976F-8EAC2B608ADB}">
              <a16:predDERef xmlns:a16="http://schemas.microsoft.com/office/drawing/2014/main" pred="{3C7EB420-0F81-406E-AA6C-DF17E1BD6125}"/>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4" name="Option Button 51" hidden="1">
          <a:extLst>
            <a:ext uri="{63B3BB69-23CF-44E3-9099-C40C66FF867C}">
              <a14:compatExt xmlns:a14="http://schemas.microsoft.com/office/drawing/2010/main" spid="_x0000_s2099"/>
            </a:ext>
            <a:ext uri="{FF2B5EF4-FFF2-40B4-BE49-F238E27FC236}">
              <a16:creationId xmlns:a16="http://schemas.microsoft.com/office/drawing/2014/main" id="{B8CC3D6E-5290-4418-9FFC-F6EEABDC0382}"/>
            </a:ext>
            <a:ext uri="{147F2762-F138-4A5C-976F-8EAC2B608ADB}">
              <a16:predDERef xmlns:a16="http://schemas.microsoft.com/office/drawing/2014/main" pred="{5D510BF0-83DC-4BE8-94C6-AF4E4230F5F5}"/>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5" name="Option Button 52" hidden="1">
          <a:extLst>
            <a:ext uri="{63B3BB69-23CF-44E3-9099-C40C66FF867C}">
              <a14:compatExt xmlns:a14="http://schemas.microsoft.com/office/drawing/2010/main" spid="_x0000_s2100"/>
            </a:ext>
            <a:ext uri="{FF2B5EF4-FFF2-40B4-BE49-F238E27FC236}">
              <a16:creationId xmlns:a16="http://schemas.microsoft.com/office/drawing/2014/main" id="{EC7DF95E-402A-453E-B26E-D97B1D092968}"/>
            </a:ext>
            <a:ext uri="{147F2762-F138-4A5C-976F-8EAC2B608ADB}">
              <a16:predDERef xmlns:a16="http://schemas.microsoft.com/office/drawing/2014/main" pred="{B8CC3D6E-5290-4418-9FFC-F6EEABDC0382}"/>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6" name="Option Button 53" hidden="1">
          <a:extLst>
            <a:ext uri="{63B3BB69-23CF-44E3-9099-C40C66FF867C}">
              <a14:compatExt xmlns:a14="http://schemas.microsoft.com/office/drawing/2010/main" spid="_x0000_s2101"/>
            </a:ext>
            <a:ext uri="{FF2B5EF4-FFF2-40B4-BE49-F238E27FC236}">
              <a16:creationId xmlns:a16="http://schemas.microsoft.com/office/drawing/2014/main" id="{5DD9AA35-BC46-495B-B656-5A7652A35F36}"/>
            </a:ext>
            <a:ext uri="{147F2762-F138-4A5C-976F-8EAC2B608ADB}">
              <a16:predDERef xmlns:a16="http://schemas.microsoft.com/office/drawing/2014/main" pred="{EC7DF95E-402A-453E-B26E-D97B1D092968}"/>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7" name="Option Button 54" hidden="1">
          <a:extLst>
            <a:ext uri="{63B3BB69-23CF-44E3-9099-C40C66FF867C}">
              <a14:compatExt xmlns:a14="http://schemas.microsoft.com/office/drawing/2010/main" spid="_x0000_s2102"/>
            </a:ext>
            <a:ext uri="{FF2B5EF4-FFF2-40B4-BE49-F238E27FC236}">
              <a16:creationId xmlns:a16="http://schemas.microsoft.com/office/drawing/2014/main" id="{F684A365-7B1E-42A2-8C58-9184BE9A5802}"/>
            </a:ext>
            <a:ext uri="{147F2762-F138-4A5C-976F-8EAC2B608ADB}">
              <a16:predDERef xmlns:a16="http://schemas.microsoft.com/office/drawing/2014/main" pred="{5DD9AA35-BC46-495B-B656-5A7652A35F36}"/>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8" name="Option Button 59" hidden="1">
          <a:extLst>
            <a:ext uri="{63B3BB69-23CF-44E3-9099-C40C66FF867C}">
              <a14:compatExt xmlns:a14="http://schemas.microsoft.com/office/drawing/2010/main" spid="_x0000_s2107"/>
            </a:ext>
            <a:ext uri="{FF2B5EF4-FFF2-40B4-BE49-F238E27FC236}">
              <a16:creationId xmlns:a16="http://schemas.microsoft.com/office/drawing/2014/main" id="{02848A43-B8FB-4337-BF77-968FBE418CCF}"/>
            </a:ext>
            <a:ext uri="{147F2762-F138-4A5C-976F-8EAC2B608ADB}">
              <a16:predDERef xmlns:a16="http://schemas.microsoft.com/office/drawing/2014/main" pred="{F684A365-7B1E-42A2-8C58-9184BE9A5802}"/>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9" name="Option Button 60" hidden="1">
          <a:extLst>
            <a:ext uri="{63B3BB69-23CF-44E3-9099-C40C66FF867C}">
              <a14:compatExt xmlns:a14="http://schemas.microsoft.com/office/drawing/2010/main" spid="_x0000_s2108"/>
            </a:ext>
            <a:ext uri="{FF2B5EF4-FFF2-40B4-BE49-F238E27FC236}">
              <a16:creationId xmlns:a16="http://schemas.microsoft.com/office/drawing/2014/main" id="{67195904-95A1-4411-9F8C-9F43E3D059CA}"/>
            </a:ext>
            <a:ext uri="{147F2762-F138-4A5C-976F-8EAC2B608ADB}">
              <a16:predDERef xmlns:a16="http://schemas.microsoft.com/office/drawing/2014/main" pred="{02848A43-B8FB-4337-BF77-968FBE418CCF}"/>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20" name="Option Button 61" hidden="1">
          <a:extLst>
            <a:ext uri="{63B3BB69-23CF-44E3-9099-C40C66FF867C}">
              <a14:compatExt xmlns:a14="http://schemas.microsoft.com/office/drawing/2010/main" spid="_x0000_s2109"/>
            </a:ext>
            <a:ext uri="{FF2B5EF4-FFF2-40B4-BE49-F238E27FC236}">
              <a16:creationId xmlns:a16="http://schemas.microsoft.com/office/drawing/2014/main" id="{19242683-BA86-4981-98E8-7D2CAFE311FC}"/>
            </a:ext>
            <a:ext uri="{147F2762-F138-4A5C-976F-8EAC2B608ADB}">
              <a16:predDERef xmlns:a16="http://schemas.microsoft.com/office/drawing/2014/main" pred="{67195904-95A1-4411-9F8C-9F43E3D059CA}"/>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21" name="Option Button 62" hidden="1">
          <a:extLst>
            <a:ext uri="{63B3BB69-23CF-44E3-9099-C40C66FF867C}">
              <a14:compatExt xmlns:a14="http://schemas.microsoft.com/office/drawing/2010/main" spid="_x0000_s2110"/>
            </a:ext>
            <a:ext uri="{FF2B5EF4-FFF2-40B4-BE49-F238E27FC236}">
              <a16:creationId xmlns:a16="http://schemas.microsoft.com/office/drawing/2014/main" id="{5DCF7D84-F6FD-463B-BEB5-BF2CEBCFA82C}"/>
            </a:ext>
            <a:ext uri="{147F2762-F138-4A5C-976F-8EAC2B608ADB}">
              <a16:predDERef xmlns:a16="http://schemas.microsoft.com/office/drawing/2014/main" pred="{19242683-BA86-4981-98E8-7D2CAFE311FC}"/>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57150</xdr:colOff>
      <xdr:row>9</xdr:row>
      <xdr:rowOff>28575</xdr:rowOff>
    </xdr:from>
    <xdr:to>
      <xdr:col>12</xdr:col>
      <xdr:colOff>19050</xdr:colOff>
      <xdr:row>11</xdr:row>
      <xdr:rowOff>28575</xdr:rowOff>
    </xdr:to>
    <xdr:sp macro="" textlink="">
      <xdr:nvSpPr>
        <xdr:cNvPr id="10241" name="Group Box 1" hidden="1">
          <a:extLst>
            <a:ext uri="{63B3BB69-23CF-44E3-9099-C40C66FF867C}">
              <a14:compatExt xmlns:a14="http://schemas.microsoft.com/office/drawing/2010/main" spid="_x0000_s10241"/>
            </a:ext>
            <a:ext uri="{FF2B5EF4-FFF2-40B4-BE49-F238E27FC236}">
              <a16:creationId xmlns:a16="http://schemas.microsoft.com/office/drawing/2014/main" id="{3B1F81D5-52A9-477B-8B5F-636083B8CCDD}"/>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8</xdr:row>
      <xdr:rowOff>0</xdr:rowOff>
    </xdr:from>
    <xdr:to>
      <xdr:col>8</xdr:col>
      <xdr:colOff>2609850</xdr:colOff>
      <xdr:row>8</xdr:row>
      <xdr:rowOff>0</xdr:rowOff>
    </xdr:to>
    <xdr:sp macro="" textlink="">
      <xdr:nvSpPr>
        <xdr:cNvPr id="10242" name="Option Button 2" hidden="1">
          <a:extLst>
            <a:ext uri="{63B3BB69-23CF-44E3-9099-C40C66FF867C}">
              <a14:compatExt xmlns:a14="http://schemas.microsoft.com/office/drawing/2010/main" spid="_x0000_s10242"/>
            </a:ext>
            <a:ext uri="{FF2B5EF4-FFF2-40B4-BE49-F238E27FC236}">
              <a16:creationId xmlns:a16="http://schemas.microsoft.com/office/drawing/2014/main" id="{572AF643-F6B3-4ECC-A30F-7EF8884C73F8}"/>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8</xdr:row>
      <xdr:rowOff>0</xdr:rowOff>
    </xdr:from>
    <xdr:to>
      <xdr:col>9</xdr:col>
      <xdr:colOff>2667000</xdr:colOff>
      <xdr:row>8</xdr:row>
      <xdr:rowOff>0</xdr:rowOff>
    </xdr:to>
    <xdr:sp macro="" textlink="">
      <xdr:nvSpPr>
        <xdr:cNvPr id="10243" name="Option Button 3" hidden="1">
          <a:extLst>
            <a:ext uri="{63B3BB69-23CF-44E3-9099-C40C66FF867C}">
              <a14:compatExt xmlns:a14="http://schemas.microsoft.com/office/drawing/2010/main" spid="_x0000_s10243"/>
            </a:ext>
            <a:ext uri="{FF2B5EF4-FFF2-40B4-BE49-F238E27FC236}">
              <a16:creationId xmlns:a16="http://schemas.microsoft.com/office/drawing/2014/main" id="{D05C6233-C386-43BE-A1F8-AD6EAB1CFFC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8</xdr:row>
      <xdr:rowOff>0</xdr:rowOff>
    </xdr:from>
    <xdr:to>
      <xdr:col>10</xdr:col>
      <xdr:colOff>2609850</xdr:colOff>
      <xdr:row>8</xdr:row>
      <xdr:rowOff>0</xdr:rowOff>
    </xdr:to>
    <xdr:sp macro="" textlink="">
      <xdr:nvSpPr>
        <xdr:cNvPr id="10244" name="Option Button 4" hidden="1">
          <a:extLst>
            <a:ext uri="{63B3BB69-23CF-44E3-9099-C40C66FF867C}">
              <a14:compatExt xmlns:a14="http://schemas.microsoft.com/office/drawing/2010/main" spid="_x0000_s10244"/>
            </a:ext>
            <a:ext uri="{FF2B5EF4-FFF2-40B4-BE49-F238E27FC236}">
              <a16:creationId xmlns:a16="http://schemas.microsoft.com/office/drawing/2014/main" id="{BDC580CF-3A28-4CA2-8987-22AECECB466B}"/>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8</xdr:row>
      <xdr:rowOff>0</xdr:rowOff>
    </xdr:from>
    <xdr:to>
      <xdr:col>11</xdr:col>
      <xdr:colOff>2686050</xdr:colOff>
      <xdr:row>8</xdr:row>
      <xdr:rowOff>0</xdr:rowOff>
    </xdr:to>
    <xdr:sp macro="" textlink="">
      <xdr:nvSpPr>
        <xdr:cNvPr id="10245" name="Option Button 5" hidden="1">
          <a:extLst>
            <a:ext uri="{63B3BB69-23CF-44E3-9099-C40C66FF867C}">
              <a14:compatExt xmlns:a14="http://schemas.microsoft.com/office/drawing/2010/main" spid="_x0000_s10245"/>
            </a:ext>
            <a:ext uri="{FF2B5EF4-FFF2-40B4-BE49-F238E27FC236}">
              <a16:creationId xmlns:a16="http://schemas.microsoft.com/office/drawing/2014/main" id="{4F2F5FCF-4C60-4A02-BADE-BEB3BC0EA55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12</xdr:row>
      <xdr:rowOff>0</xdr:rowOff>
    </xdr:from>
    <xdr:to>
      <xdr:col>12</xdr:col>
      <xdr:colOff>19050</xdr:colOff>
      <xdr:row>14</xdr:row>
      <xdr:rowOff>0</xdr:rowOff>
    </xdr:to>
    <xdr:sp macro="" textlink="">
      <xdr:nvSpPr>
        <xdr:cNvPr id="10246" name="Group Box 6" hidden="1">
          <a:extLst>
            <a:ext uri="{63B3BB69-23CF-44E3-9099-C40C66FF867C}">
              <a14:compatExt xmlns:a14="http://schemas.microsoft.com/office/drawing/2010/main" spid="_x0000_s10246"/>
            </a:ext>
            <a:ext uri="{FF2B5EF4-FFF2-40B4-BE49-F238E27FC236}">
              <a16:creationId xmlns:a16="http://schemas.microsoft.com/office/drawing/2014/main" id="{9086D6C4-5ED6-44B5-9A28-63D513FF42CD}"/>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57150</xdr:colOff>
      <xdr:row>12</xdr:row>
      <xdr:rowOff>0</xdr:rowOff>
    </xdr:from>
    <xdr:to>
      <xdr:col>12</xdr:col>
      <xdr:colOff>19050</xdr:colOff>
      <xdr:row>14</xdr:row>
      <xdr:rowOff>0</xdr:rowOff>
    </xdr:to>
    <xdr:sp macro="" textlink="">
      <xdr:nvSpPr>
        <xdr:cNvPr id="10247" name="Group Box 7" hidden="1">
          <a:extLst>
            <a:ext uri="{63B3BB69-23CF-44E3-9099-C40C66FF867C}">
              <a14:compatExt xmlns:a14="http://schemas.microsoft.com/office/drawing/2010/main" spid="_x0000_s10247"/>
            </a:ext>
            <a:ext uri="{FF2B5EF4-FFF2-40B4-BE49-F238E27FC236}">
              <a16:creationId xmlns:a16="http://schemas.microsoft.com/office/drawing/2014/main" id="{CBAE9903-95C9-4600-A689-5CD702A01356}"/>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12</xdr:row>
      <xdr:rowOff>0</xdr:rowOff>
    </xdr:from>
    <xdr:to>
      <xdr:col>8</xdr:col>
      <xdr:colOff>2609850</xdr:colOff>
      <xdr:row>13</xdr:row>
      <xdr:rowOff>19050</xdr:rowOff>
    </xdr:to>
    <xdr:sp macro="" textlink="">
      <xdr:nvSpPr>
        <xdr:cNvPr id="10248" name="Option Button 8" hidden="1">
          <a:extLst>
            <a:ext uri="{63B3BB69-23CF-44E3-9099-C40C66FF867C}">
              <a14:compatExt xmlns:a14="http://schemas.microsoft.com/office/drawing/2010/main" spid="_x0000_s10248"/>
            </a:ext>
            <a:ext uri="{FF2B5EF4-FFF2-40B4-BE49-F238E27FC236}">
              <a16:creationId xmlns:a16="http://schemas.microsoft.com/office/drawing/2014/main" id="{0BB9B81B-E7F8-4747-8A97-B9EC181F344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12</xdr:row>
      <xdr:rowOff>0</xdr:rowOff>
    </xdr:from>
    <xdr:to>
      <xdr:col>9</xdr:col>
      <xdr:colOff>2667000</xdr:colOff>
      <xdr:row>13</xdr:row>
      <xdr:rowOff>19050</xdr:rowOff>
    </xdr:to>
    <xdr:sp macro="" textlink="">
      <xdr:nvSpPr>
        <xdr:cNvPr id="10249" name="Option Button 9" hidden="1">
          <a:extLst>
            <a:ext uri="{63B3BB69-23CF-44E3-9099-C40C66FF867C}">
              <a14:compatExt xmlns:a14="http://schemas.microsoft.com/office/drawing/2010/main" spid="_x0000_s10249"/>
            </a:ext>
            <a:ext uri="{FF2B5EF4-FFF2-40B4-BE49-F238E27FC236}">
              <a16:creationId xmlns:a16="http://schemas.microsoft.com/office/drawing/2014/main" id="{5A881404-17E1-46E7-9B7D-BFED560751B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12</xdr:row>
      <xdr:rowOff>0</xdr:rowOff>
    </xdr:from>
    <xdr:to>
      <xdr:col>10</xdr:col>
      <xdr:colOff>2609850</xdr:colOff>
      <xdr:row>13</xdr:row>
      <xdr:rowOff>19050</xdr:rowOff>
    </xdr:to>
    <xdr:sp macro="" textlink="">
      <xdr:nvSpPr>
        <xdr:cNvPr id="10250" name="Option Button 10" hidden="1">
          <a:extLst>
            <a:ext uri="{63B3BB69-23CF-44E3-9099-C40C66FF867C}">
              <a14:compatExt xmlns:a14="http://schemas.microsoft.com/office/drawing/2010/main" spid="_x0000_s10250"/>
            </a:ext>
            <a:ext uri="{FF2B5EF4-FFF2-40B4-BE49-F238E27FC236}">
              <a16:creationId xmlns:a16="http://schemas.microsoft.com/office/drawing/2014/main" id="{076FE8BC-C102-4237-8DB6-1F64D58CD41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12</xdr:row>
      <xdr:rowOff>0</xdr:rowOff>
    </xdr:from>
    <xdr:to>
      <xdr:col>11</xdr:col>
      <xdr:colOff>2686050</xdr:colOff>
      <xdr:row>13</xdr:row>
      <xdr:rowOff>19050</xdr:rowOff>
    </xdr:to>
    <xdr:sp macro="" textlink="">
      <xdr:nvSpPr>
        <xdr:cNvPr id="10251" name="Option Button 11" hidden="1">
          <a:extLst>
            <a:ext uri="{63B3BB69-23CF-44E3-9099-C40C66FF867C}">
              <a14:compatExt xmlns:a14="http://schemas.microsoft.com/office/drawing/2010/main" spid="_x0000_s10251"/>
            </a:ext>
            <a:ext uri="{FF2B5EF4-FFF2-40B4-BE49-F238E27FC236}">
              <a16:creationId xmlns:a16="http://schemas.microsoft.com/office/drawing/2014/main" id="{98258075-F204-4C7F-A063-BA7ECB71AC8C}"/>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1562100</xdr:colOff>
      <xdr:row>12</xdr:row>
      <xdr:rowOff>0</xdr:rowOff>
    </xdr:from>
    <xdr:to>
      <xdr:col>8</xdr:col>
      <xdr:colOff>2609850</xdr:colOff>
      <xdr:row>13</xdr:row>
      <xdr:rowOff>19050</xdr:rowOff>
    </xdr:to>
    <xdr:sp macro="" textlink="">
      <xdr:nvSpPr>
        <xdr:cNvPr id="10252" name="Option Button 12" hidden="1">
          <a:extLst>
            <a:ext uri="{63B3BB69-23CF-44E3-9099-C40C66FF867C}">
              <a14:compatExt xmlns:a14="http://schemas.microsoft.com/office/drawing/2010/main" spid="_x0000_s10252"/>
            </a:ext>
            <a:ext uri="{FF2B5EF4-FFF2-40B4-BE49-F238E27FC236}">
              <a16:creationId xmlns:a16="http://schemas.microsoft.com/office/drawing/2014/main" id="{3A1F91D5-FEC2-4582-9850-21C7C8289F0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12</xdr:row>
      <xdr:rowOff>0</xdr:rowOff>
    </xdr:from>
    <xdr:to>
      <xdr:col>9</xdr:col>
      <xdr:colOff>2667000</xdr:colOff>
      <xdr:row>13</xdr:row>
      <xdr:rowOff>19050</xdr:rowOff>
    </xdr:to>
    <xdr:sp macro="" textlink="">
      <xdr:nvSpPr>
        <xdr:cNvPr id="10253" name="Option Button 13" hidden="1">
          <a:extLst>
            <a:ext uri="{63B3BB69-23CF-44E3-9099-C40C66FF867C}">
              <a14:compatExt xmlns:a14="http://schemas.microsoft.com/office/drawing/2010/main" spid="_x0000_s10253"/>
            </a:ext>
            <a:ext uri="{FF2B5EF4-FFF2-40B4-BE49-F238E27FC236}">
              <a16:creationId xmlns:a16="http://schemas.microsoft.com/office/drawing/2014/main" id="{734ED024-E2C1-4A88-B914-94ADAF2D2A44}"/>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12</xdr:row>
      <xdr:rowOff>0</xdr:rowOff>
    </xdr:from>
    <xdr:to>
      <xdr:col>10</xdr:col>
      <xdr:colOff>2609850</xdr:colOff>
      <xdr:row>13</xdr:row>
      <xdr:rowOff>19050</xdr:rowOff>
    </xdr:to>
    <xdr:sp macro="" textlink="">
      <xdr:nvSpPr>
        <xdr:cNvPr id="10254" name="Option Button 14" hidden="1">
          <a:extLst>
            <a:ext uri="{63B3BB69-23CF-44E3-9099-C40C66FF867C}">
              <a14:compatExt xmlns:a14="http://schemas.microsoft.com/office/drawing/2010/main" spid="_x0000_s10254"/>
            </a:ext>
            <a:ext uri="{FF2B5EF4-FFF2-40B4-BE49-F238E27FC236}">
              <a16:creationId xmlns:a16="http://schemas.microsoft.com/office/drawing/2014/main" id="{B9BC7A4B-6D53-44A6-AB48-56459ABD8ED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12</xdr:row>
      <xdr:rowOff>0</xdr:rowOff>
    </xdr:from>
    <xdr:to>
      <xdr:col>11</xdr:col>
      <xdr:colOff>2686050</xdr:colOff>
      <xdr:row>13</xdr:row>
      <xdr:rowOff>19050</xdr:rowOff>
    </xdr:to>
    <xdr:sp macro="" textlink="">
      <xdr:nvSpPr>
        <xdr:cNvPr id="10255" name="Option Button 15" hidden="1">
          <a:extLst>
            <a:ext uri="{63B3BB69-23CF-44E3-9099-C40C66FF867C}">
              <a14:compatExt xmlns:a14="http://schemas.microsoft.com/office/drawing/2010/main" spid="_x0000_s10255"/>
            </a:ext>
            <a:ext uri="{FF2B5EF4-FFF2-40B4-BE49-F238E27FC236}">
              <a16:creationId xmlns:a16="http://schemas.microsoft.com/office/drawing/2014/main" id="{D71DC188-5B47-4421-BE4F-064F6C467D27}"/>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14</xdr:row>
      <xdr:rowOff>0</xdr:rowOff>
    </xdr:from>
    <xdr:to>
      <xdr:col>12</xdr:col>
      <xdr:colOff>19050</xdr:colOff>
      <xdr:row>16</xdr:row>
      <xdr:rowOff>0</xdr:rowOff>
    </xdr:to>
    <xdr:sp macro="" textlink="">
      <xdr:nvSpPr>
        <xdr:cNvPr id="10256" name="Group Box 16" hidden="1">
          <a:extLst>
            <a:ext uri="{63B3BB69-23CF-44E3-9099-C40C66FF867C}">
              <a14:compatExt xmlns:a14="http://schemas.microsoft.com/office/drawing/2010/main" spid="_x0000_s10256"/>
            </a:ext>
            <a:ext uri="{FF2B5EF4-FFF2-40B4-BE49-F238E27FC236}">
              <a16:creationId xmlns:a16="http://schemas.microsoft.com/office/drawing/2014/main" id="{7C9A492A-5F19-41C7-986A-A632A6DA65AC}"/>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14</xdr:row>
      <xdr:rowOff>0</xdr:rowOff>
    </xdr:from>
    <xdr:to>
      <xdr:col>8</xdr:col>
      <xdr:colOff>2609850</xdr:colOff>
      <xdr:row>15</xdr:row>
      <xdr:rowOff>19050</xdr:rowOff>
    </xdr:to>
    <xdr:sp macro="" textlink="">
      <xdr:nvSpPr>
        <xdr:cNvPr id="10257" name="Option Button 17" hidden="1">
          <a:extLst>
            <a:ext uri="{63B3BB69-23CF-44E3-9099-C40C66FF867C}">
              <a14:compatExt xmlns:a14="http://schemas.microsoft.com/office/drawing/2010/main" spid="_x0000_s10257"/>
            </a:ext>
            <a:ext uri="{FF2B5EF4-FFF2-40B4-BE49-F238E27FC236}">
              <a16:creationId xmlns:a16="http://schemas.microsoft.com/office/drawing/2014/main" id="{6FC81041-632B-4D44-A691-22310AA9EBB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14</xdr:row>
      <xdr:rowOff>0</xdr:rowOff>
    </xdr:from>
    <xdr:to>
      <xdr:col>9</xdr:col>
      <xdr:colOff>2667000</xdr:colOff>
      <xdr:row>15</xdr:row>
      <xdr:rowOff>19050</xdr:rowOff>
    </xdr:to>
    <xdr:sp macro="" textlink="">
      <xdr:nvSpPr>
        <xdr:cNvPr id="10258" name="Option Button 18" hidden="1">
          <a:extLst>
            <a:ext uri="{63B3BB69-23CF-44E3-9099-C40C66FF867C}">
              <a14:compatExt xmlns:a14="http://schemas.microsoft.com/office/drawing/2010/main" spid="_x0000_s10258"/>
            </a:ext>
            <a:ext uri="{FF2B5EF4-FFF2-40B4-BE49-F238E27FC236}">
              <a16:creationId xmlns:a16="http://schemas.microsoft.com/office/drawing/2014/main" id="{DEAF7F15-6457-4D04-BD7D-27478B14538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14</xdr:row>
      <xdr:rowOff>0</xdr:rowOff>
    </xdr:from>
    <xdr:to>
      <xdr:col>10</xdr:col>
      <xdr:colOff>2609850</xdr:colOff>
      <xdr:row>15</xdr:row>
      <xdr:rowOff>19050</xdr:rowOff>
    </xdr:to>
    <xdr:sp macro="" textlink="">
      <xdr:nvSpPr>
        <xdr:cNvPr id="10259" name="Option Button 19" hidden="1">
          <a:extLst>
            <a:ext uri="{63B3BB69-23CF-44E3-9099-C40C66FF867C}">
              <a14:compatExt xmlns:a14="http://schemas.microsoft.com/office/drawing/2010/main" spid="_x0000_s10259"/>
            </a:ext>
            <a:ext uri="{FF2B5EF4-FFF2-40B4-BE49-F238E27FC236}">
              <a16:creationId xmlns:a16="http://schemas.microsoft.com/office/drawing/2014/main" id="{70195AAD-9A37-4DC3-BF70-8EDB4926FDB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14</xdr:row>
      <xdr:rowOff>0</xdr:rowOff>
    </xdr:from>
    <xdr:to>
      <xdr:col>11</xdr:col>
      <xdr:colOff>2686050</xdr:colOff>
      <xdr:row>15</xdr:row>
      <xdr:rowOff>19050</xdr:rowOff>
    </xdr:to>
    <xdr:sp macro="" textlink="">
      <xdr:nvSpPr>
        <xdr:cNvPr id="10260" name="Option Button 20" hidden="1">
          <a:extLst>
            <a:ext uri="{63B3BB69-23CF-44E3-9099-C40C66FF867C}">
              <a14:compatExt xmlns:a14="http://schemas.microsoft.com/office/drawing/2010/main" spid="_x0000_s10260"/>
            </a:ext>
            <a:ext uri="{FF2B5EF4-FFF2-40B4-BE49-F238E27FC236}">
              <a16:creationId xmlns:a16="http://schemas.microsoft.com/office/drawing/2014/main" id="{23E53A7D-9C6A-4ABA-99FF-0A3133457077}"/>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17</xdr:row>
      <xdr:rowOff>28575</xdr:rowOff>
    </xdr:from>
    <xdr:to>
      <xdr:col>12</xdr:col>
      <xdr:colOff>19050</xdr:colOff>
      <xdr:row>19</xdr:row>
      <xdr:rowOff>28575</xdr:rowOff>
    </xdr:to>
    <xdr:sp macro="" textlink="">
      <xdr:nvSpPr>
        <xdr:cNvPr id="10261" name="Group Box 21" hidden="1">
          <a:extLst>
            <a:ext uri="{63B3BB69-23CF-44E3-9099-C40C66FF867C}">
              <a14:compatExt xmlns:a14="http://schemas.microsoft.com/office/drawing/2010/main" spid="_x0000_s10261"/>
            </a:ext>
            <a:ext uri="{FF2B5EF4-FFF2-40B4-BE49-F238E27FC236}">
              <a16:creationId xmlns:a16="http://schemas.microsoft.com/office/drawing/2014/main" id="{EF44DA85-334A-4185-9A4F-64649E733629}"/>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17</xdr:row>
      <xdr:rowOff>104775</xdr:rowOff>
    </xdr:from>
    <xdr:to>
      <xdr:col>8</xdr:col>
      <xdr:colOff>2609850</xdr:colOff>
      <xdr:row>18</xdr:row>
      <xdr:rowOff>123825</xdr:rowOff>
    </xdr:to>
    <xdr:sp macro="" textlink="">
      <xdr:nvSpPr>
        <xdr:cNvPr id="10262" name="Option Button 22" hidden="1">
          <a:extLst>
            <a:ext uri="{63B3BB69-23CF-44E3-9099-C40C66FF867C}">
              <a14:compatExt xmlns:a14="http://schemas.microsoft.com/office/drawing/2010/main" spid="_x0000_s10262"/>
            </a:ext>
            <a:ext uri="{FF2B5EF4-FFF2-40B4-BE49-F238E27FC236}">
              <a16:creationId xmlns:a16="http://schemas.microsoft.com/office/drawing/2014/main" id="{B451F844-2113-4FE1-8DDF-F0699261F4D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17</xdr:row>
      <xdr:rowOff>104775</xdr:rowOff>
    </xdr:from>
    <xdr:to>
      <xdr:col>9</xdr:col>
      <xdr:colOff>2667000</xdr:colOff>
      <xdr:row>18</xdr:row>
      <xdr:rowOff>123825</xdr:rowOff>
    </xdr:to>
    <xdr:sp macro="" textlink="">
      <xdr:nvSpPr>
        <xdr:cNvPr id="10263" name="Option Button 23" hidden="1">
          <a:extLst>
            <a:ext uri="{63B3BB69-23CF-44E3-9099-C40C66FF867C}">
              <a14:compatExt xmlns:a14="http://schemas.microsoft.com/office/drawing/2010/main" spid="_x0000_s10263"/>
            </a:ext>
            <a:ext uri="{FF2B5EF4-FFF2-40B4-BE49-F238E27FC236}">
              <a16:creationId xmlns:a16="http://schemas.microsoft.com/office/drawing/2014/main" id="{12B0894B-E12E-41F6-BD91-E0DAB866234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17</xdr:row>
      <xdr:rowOff>104775</xdr:rowOff>
    </xdr:from>
    <xdr:to>
      <xdr:col>10</xdr:col>
      <xdr:colOff>2609850</xdr:colOff>
      <xdr:row>18</xdr:row>
      <xdr:rowOff>123825</xdr:rowOff>
    </xdr:to>
    <xdr:sp macro="" textlink="">
      <xdr:nvSpPr>
        <xdr:cNvPr id="10264" name="Option Button 24" hidden="1">
          <a:extLst>
            <a:ext uri="{63B3BB69-23CF-44E3-9099-C40C66FF867C}">
              <a14:compatExt xmlns:a14="http://schemas.microsoft.com/office/drawing/2010/main" spid="_x0000_s10264"/>
            </a:ext>
            <a:ext uri="{FF2B5EF4-FFF2-40B4-BE49-F238E27FC236}">
              <a16:creationId xmlns:a16="http://schemas.microsoft.com/office/drawing/2014/main" id="{5224CA33-73CC-46F6-B396-DBD8C5C19BA8}"/>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17</xdr:row>
      <xdr:rowOff>104775</xdr:rowOff>
    </xdr:from>
    <xdr:to>
      <xdr:col>11</xdr:col>
      <xdr:colOff>2686050</xdr:colOff>
      <xdr:row>18</xdr:row>
      <xdr:rowOff>123825</xdr:rowOff>
    </xdr:to>
    <xdr:sp macro="" textlink="">
      <xdr:nvSpPr>
        <xdr:cNvPr id="10265" name="Option Button 25" hidden="1">
          <a:extLst>
            <a:ext uri="{63B3BB69-23CF-44E3-9099-C40C66FF867C}">
              <a14:compatExt xmlns:a14="http://schemas.microsoft.com/office/drawing/2010/main" spid="_x0000_s10265"/>
            </a:ext>
            <a:ext uri="{FF2B5EF4-FFF2-40B4-BE49-F238E27FC236}">
              <a16:creationId xmlns:a16="http://schemas.microsoft.com/office/drawing/2014/main" id="{E8569144-511A-4166-826D-FD667B871D2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23</xdr:row>
      <xdr:rowOff>0</xdr:rowOff>
    </xdr:from>
    <xdr:to>
      <xdr:col>12</xdr:col>
      <xdr:colOff>19050</xdr:colOff>
      <xdr:row>25</xdr:row>
      <xdr:rowOff>47625</xdr:rowOff>
    </xdr:to>
    <xdr:sp macro="" textlink="">
      <xdr:nvSpPr>
        <xdr:cNvPr id="10266" name="Group Box 26" hidden="1">
          <a:extLst>
            <a:ext uri="{63B3BB69-23CF-44E3-9099-C40C66FF867C}">
              <a14:compatExt xmlns:a14="http://schemas.microsoft.com/office/drawing/2010/main" spid="_x0000_s10266"/>
            </a:ext>
            <a:ext uri="{FF2B5EF4-FFF2-40B4-BE49-F238E27FC236}">
              <a16:creationId xmlns:a16="http://schemas.microsoft.com/office/drawing/2014/main" id="{99896EAA-5F7B-4804-9F90-DEA5BD5E5B8B}"/>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23</xdr:row>
      <xdr:rowOff>0</xdr:rowOff>
    </xdr:from>
    <xdr:to>
      <xdr:col>8</xdr:col>
      <xdr:colOff>2609850</xdr:colOff>
      <xdr:row>24</xdr:row>
      <xdr:rowOff>19050</xdr:rowOff>
    </xdr:to>
    <xdr:sp macro="" textlink="">
      <xdr:nvSpPr>
        <xdr:cNvPr id="10267" name="Option Button 27" hidden="1">
          <a:extLst>
            <a:ext uri="{63B3BB69-23CF-44E3-9099-C40C66FF867C}">
              <a14:compatExt xmlns:a14="http://schemas.microsoft.com/office/drawing/2010/main" spid="_x0000_s10267"/>
            </a:ext>
            <a:ext uri="{FF2B5EF4-FFF2-40B4-BE49-F238E27FC236}">
              <a16:creationId xmlns:a16="http://schemas.microsoft.com/office/drawing/2014/main" id="{EDCB45C5-C6E4-4DEC-B2C3-14A5A89A3B2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23</xdr:row>
      <xdr:rowOff>0</xdr:rowOff>
    </xdr:from>
    <xdr:to>
      <xdr:col>9</xdr:col>
      <xdr:colOff>2667000</xdr:colOff>
      <xdr:row>24</xdr:row>
      <xdr:rowOff>19050</xdr:rowOff>
    </xdr:to>
    <xdr:sp macro="" textlink="">
      <xdr:nvSpPr>
        <xdr:cNvPr id="10268" name="Option Button 28" hidden="1">
          <a:extLst>
            <a:ext uri="{63B3BB69-23CF-44E3-9099-C40C66FF867C}">
              <a14:compatExt xmlns:a14="http://schemas.microsoft.com/office/drawing/2010/main" spid="_x0000_s10268"/>
            </a:ext>
            <a:ext uri="{FF2B5EF4-FFF2-40B4-BE49-F238E27FC236}">
              <a16:creationId xmlns:a16="http://schemas.microsoft.com/office/drawing/2014/main" id="{186D20D9-A4A7-4AB3-AA8D-F155F54D1C6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23</xdr:row>
      <xdr:rowOff>0</xdr:rowOff>
    </xdr:from>
    <xdr:to>
      <xdr:col>10</xdr:col>
      <xdr:colOff>2609850</xdr:colOff>
      <xdr:row>24</xdr:row>
      <xdr:rowOff>19050</xdr:rowOff>
    </xdr:to>
    <xdr:sp macro="" textlink="">
      <xdr:nvSpPr>
        <xdr:cNvPr id="10269" name="Option Button 29" hidden="1">
          <a:extLst>
            <a:ext uri="{63B3BB69-23CF-44E3-9099-C40C66FF867C}">
              <a14:compatExt xmlns:a14="http://schemas.microsoft.com/office/drawing/2010/main" spid="_x0000_s10269"/>
            </a:ext>
            <a:ext uri="{FF2B5EF4-FFF2-40B4-BE49-F238E27FC236}">
              <a16:creationId xmlns:a16="http://schemas.microsoft.com/office/drawing/2014/main" id="{88716E24-52DD-4956-B3D0-9537DE8609C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23</xdr:row>
      <xdr:rowOff>0</xdr:rowOff>
    </xdr:from>
    <xdr:to>
      <xdr:col>11</xdr:col>
      <xdr:colOff>2686050</xdr:colOff>
      <xdr:row>24</xdr:row>
      <xdr:rowOff>19050</xdr:rowOff>
    </xdr:to>
    <xdr:sp macro="" textlink="">
      <xdr:nvSpPr>
        <xdr:cNvPr id="10270" name="Option Button 30" hidden="1">
          <a:extLst>
            <a:ext uri="{63B3BB69-23CF-44E3-9099-C40C66FF867C}">
              <a14:compatExt xmlns:a14="http://schemas.microsoft.com/office/drawing/2010/main" spid="_x0000_s10270"/>
            </a:ext>
            <a:ext uri="{FF2B5EF4-FFF2-40B4-BE49-F238E27FC236}">
              <a16:creationId xmlns:a16="http://schemas.microsoft.com/office/drawing/2014/main" id="{8CDFE338-84C6-4A3C-9548-5082C440560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31</xdr:row>
      <xdr:rowOff>28575</xdr:rowOff>
    </xdr:from>
    <xdr:to>
      <xdr:col>12</xdr:col>
      <xdr:colOff>19050</xdr:colOff>
      <xdr:row>33</xdr:row>
      <xdr:rowOff>28575</xdr:rowOff>
    </xdr:to>
    <xdr:sp macro="" textlink="">
      <xdr:nvSpPr>
        <xdr:cNvPr id="10271" name="Group Box 31" hidden="1">
          <a:extLst>
            <a:ext uri="{63B3BB69-23CF-44E3-9099-C40C66FF867C}">
              <a14:compatExt xmlns:a14="http://schemas.microsoft.com/office/drawing/2010/main" spid="_x0000_s10271"/>
            </a:ext>
            <a:ext uri="{FF2B5EF4-FFF2-40B4-BE49-F238E27FC236}">
              <a16:creationId xmlns:a16="http://schemas.microsoft.com/office/drawing/2014/main" id="{A60237A0-C45C-4205-8685-1BF2321CA723}"/>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31</xdr:row>
      <xdr:rowOff>104775</xdr:rowOff>
    </xdr:from>
    <xdr:to>
      <xdr:col>8</xdr:col>
      <xdr:colOff>2609850</xdr:colOff>
      <xdr:row>32</xdr:row>
      <xdr:rowOff>123825</xdr:rowOff>
    </xdr:to>
    <xdr:sp macro="" textlink="">
      <xdr:nvSpPr>
        <xdr:cNvPr id="10272" name="Option Button 32" hidden="1">
          <a:extLst>
            <a:ext uri="{63B3BB69-23CF-44E3-9099-C40C66FF867C}">
              <a14:compatExt xmlns:a14="http://schemas.microsoft.com/office/drawing/2010/main" spid="_x0000_s10272"/>
            </a:ext>
            <a:ext uri="{FF2B5EF4-FFF2-40B4-BE49-F238E27FC236}">
              <a16:creationId xmlns:a16="http://schemas.microsoft.com/office/drawing/2014/main" id="{308A4E2A-B3CD-42D8-A771-96EC5CE9063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31</xdr:row>
      <xdr:rowOff>104775</xdr:rowOff>
    </xdr:from>
    <xdr:to>
      <xdr:col>9</xdr:col>
      <xdr:colOff>2667000</xdr:colOff>
      <xdr:row>32</xdr:row>
      <xdr:rowOff>123825</xdr:rowOff>
    </xdr:to>
    <xdr:sp macro="" textlink="">
      <xdr:nvSpPr>
        <xdr:cNvPr id="10273" name="Option Button 33" hidden="1">
          <a:extLst>
            <a:ext uri="{63B3BB69-23CF-44E3-9099-C40C66FF867C}">
              <a14:compatExt xmlns:a14="http://schemas.microsoft.com/office/drawing/2010/main" spid="_x0000_s10273"/>
            </a:ext>
            <a:ext uri="{FF2B5EF4-FFF2-40B4-BE49-F238E27FC236}">
              <a16:creationId xmlns:a16="http://schemas.microsoft.com/office/drawing/2014/main" id="{C7771018-26F8-424D-B529-A91E6C57CDF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31</xdr:row>
      <xdr:rowOff>104775</xdr:rowOff>
    </xdr:from>
    <xdr:to>
      <xdr:col>10</xdr:col>
      <xdr:colOff>2609850</xdr:colOff>
      <xdr:row>32</xdr:row>
      <xdr:rowOff>123825</xdr:rowOff>
    </xdr:to>
    <xdr:sp macro="" textlink="">
      <xdr:nvSpPr>
        <xdr:cNvPr id="10274" name="Option Button 34" hidden="1">
          <a:extLst>
            <a:ext uri="{63B3BB69-23CF-44E3-9099-C40C66FF867C}">
              <a14:compatExt xmlns:a14="http://schemas.microsoft.com/office/drawing/2010/main" spid="_x0000_s10274"/>
            </a:ext>
            <a:ext uri="{FF2B5EF4-FFF2-40B4-BE49-F238E27FC236}">
              <a16:creationId xmlns:a16="http://schemas.microsoft.com/office/drawing/2014/main" id="{EEF01310-582B-468D-A364-96D400B3A66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31</xdr:row>
      <xdr:rowOff>104775</xdr:rowOff>
    </xdr:from>
    <xdr:to>
      <xdr:col>11</xdr:col>
      <xdr:colOff>2686050</xdr:colOff>
      <xdr:row>32</xdr:row>
      <xdr:rowOff>123825</xdr:rowOff>
    </xdr:to>
    <xdr:sp macro="" textlink="">
      <xdr:nvSpPr>
        <xdr:cNvPr id="10275" name="Option Button 35" hidden="1">
          <a:extLst>
            <a:ext uri="{63B3BB69-23CF-44E3-9099-C40C66FF867C}">
              <a14:compatExt xmlns:a14="http://schemas.microsoft.com/office/drawing/2010/main" spid="_x0000_s10275"/>
            </a:ext>
            <a:ext uri="{FF2B5EF4-FFF2-40B4-BE49-F238E27FC236}">
              <a16:creationId xmlns:a16="http://schemas.microsoft.com/office/drawing/2014/main" id="{FD0F5156-478F-4086-ACC2-B9F61059256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37</xdr:row>
      <xdr:rowOff>28575</xdr:rowOff>
    </xdr:from>
    <xdr:to>
      <xdr:col>12</xdr:col>
      <xdr:colOff>19050</xdr:colOff>
      <xdr:row>39</xdr:row>
      <xdr:rowOff>28575</xdr:rowOff>
    </xdr:to>
    <xdr:sp macro="" textlink="">
      <xdr:nvSpPr>
        <xdr:cNvPr id="10276" name="Group Box 36" hidden="1">
          <a:extLst>
            <a:ext uri="{63B3BB69-23CF-44E3-9099-C40C66FF867C}">
              <a14:compatExt xmlns:a14="http://schemas.microsoft.com/office/drawing/2010/main" spid="_x0000_s10276"/>
            </a:ext>
            <a:ext uri="{FF2B5EF4-FFF2-40B4-BE49-F238E27FC236}">
              <a16:creationId xmlns:a16="http://schemas.microsoft.com/office/drawing/2014/main" id="{863FAFFE-6749-4EBD-9664-E242E379725F}"/>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37</xdr:row>
      <xdr:rowOff>104775</xdr:rowOff>
    </xdr:from>
    <xdr:to>
      <xdr:col>8</xdr:col>
      <xdr:colOff>2609850</xdr:colOff>
      <xdr:row>38</xdr:row>
      <xdr:rowOff>123825</xdr:rowOff>
    </xdr:to>
    <xdr:sp macro="" textlink="">
      <xdr:nvSpPr>
        <xdr:cNvPr id="10277" name="Option Button 37" hidden="1">
          <a:extLst>
            <a:ext uri="{63B3BB69-23CF-44E3-9099-C40C66FF867C}">
              <a14:compatExt xmlns:a14="http://schemas.microsoft.com/office/drawing/2010/main" spid="_x0000_s10277"/>
            </a:ext>
            <a:ext uri="{FF2B5EF4-FFF2-40B4-BE49-F238E27FC236}">
              <a16:creationId xmlns:a16="http://schemas.microsoft.com/office/drawing/2014/main" id="{8D59162D-90C2-44D8-A4D0-330E239CAFB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37</xdr:row>
      <xdr:rowOff>104775</xdr:rowOff>
    </xdr:from>
    <xdr:to>
      <xdr:col>9</xdr:col>
      <xdr:colOff>2667000</xdr:colOff>
      <xdr:row>38</xdr:row>
      <xdr:rowOff>123825</xdr:rowOff>
    </xdr:to>
    <xdr:sp macro="" textlink="">
      <xdr:nvSpPr>
        <xdr:cNvPr id="10278" name="Option Button 38" hidden="1">
          <a:extLst>
            <a:ext uri="{63B3BB69-23CF-44E3-9099-C40C66FF867C}">
              <a14:compatExt xmlns:a14="http://schemas.microsoft.com/office/drawing/2010/main" spid="_x0000_s10278"/>
            </a:ext>
            <a:ext uri="{FF2B5EF4-FFF2-40B4-BE49-F238E27FC236}">
              <a16:creationId xmlns:a16="http://schemas.microsoft.com/office/drawing/2014/main" id="{BB61EE88-F46A-469C-9C94-B86797B28427}"/>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37</xdr:row>
      <xdr:rowOff>104775</xdr:rowOff>
    </xdr:from>
    <xdr:to>
      <xdr:col>10</xdr:col>
      <xdr:colOff>2609850</xdr:colOff>
      <xdr:row>38</xdr:row>
      <xdr:rowOff>123825</xdr:rowOff>
    </xdr:to>
    <xdr:sp macro="" textlink="">
      <xdr:nvSpPr>
        <xdr:cNvPr id="10279" name="Option Button 39" hidden="1">
          <a:extLst>
            <a:ext uri="{63B3BB69-23CF-44E3-9099-C40C66FF867C}">
              <a14:compatExt xmlns:a14="http://schemas.microsoft.com/office/drawing/2010/main" spid="_x0000_s10279"/>
            </a:ext>
            <a:ext uri="{FF2B5EF4-FFF2-40B4-BE49-F238E27FC236}">
              <a16:creationId xmlns:a16="http://schemas.microsoft.com/office/drawing/2014/main" id="{45DD9B1F-B63E-438D-9B4D-450DB7D1EA2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37</xdr:row>
      <xdr:rowOff>104775</xdr:rowOff>
    </xdr:from>
    <xdr:to>
      <xdr:col>11</xdr:col>
      <xdr:colOff>2686050</xdr:colOff>
      <xdr:row>38</xdr:row>
      <xdr:rowOff>123825</xdr:rowOff>
    </xdr:to>
    <xdr:sp macro="" textlink="">
      <xdr:nvSpPr>
        <xdr:cNvPr id="10280" name="Option Button 40" hidden="1">
          <a:extLst>
            <a:ext uri="{63B3BB69-23CF-44E3-9099-C40C66FF867C}">
              <a14:compatExt xmlns:a14="http://schemas.microsoft.com/office/drawing/2010/main" spid="_x0000_s10280"/>
            </a:ext>
            <a:ext uri="{FF2B5EF4-FFF2-40B4-BE49-F238E27FC236}">
              <a16:creationId xmlns:a16="http://schemas.microsoft.com/office/drawing/2014/main" id="{4B5B68DE-CDAC-4CE2-9C95-E2774EE09E2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42</xdr:row>
      <xdr:rowOff>28575</xdr:rowOff>
    </xdr:from>
    <xdr:to>
      <xdr:col>12</xdr:col>
      <xdr:colOff>19050</xdr:colOff>
      <xdr:row>44</xdr:row>
      <xdr:rowOff>28575</xdr:rowOff>
    </xdr:to>
    <xdr:sp macro="" textlink="">
      <xdr:nvSpPr>
        <xdr:cNvPr id="10281" name="Group Box 41" hidden="1">
          <a:extLst>
            <a:ext uri="{63B3BB69-23CF-44E3-9099-C40C66FF867C}">
              <a14:compatExt xmlns:a14="http://schemas.microsoft.com/office/drawing/2010/main" spid="_x0000_s10281"/>
            </a:ext>
            <a:ext uri="{FF2B5EF4-FFF2-40B4-BE49-F238E27FC236}">
              <a16:creationId xmlns:a16="http://schemas.microsoft.com/office/drawing/2014/main" id="{2CCE49A7-105B-4B43-AA65-1324825D8464}"/>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42</xdr:row>
      <xdr:rowOff>104775</xdr:rowOff>
    </xdr:from>
    <xdr:to>
      <xdr:col>8</xdr:col>
      <xdr:colOff>2609850</xdr:colOff>
      <xdr:row>43</xdr:row>
      <xdr:rowOff>123825</xdr:rowOff>
    </xdr:to>
    <xdr:sp macro="" textlink="">
      <xdr:nvSpPr>
        <xdr:cNvPr id="10282" name="Option Button 42" hidden="1">
          <a:extLst>
            <a:ext uri="{63B3BB69-23CF-44E3-9099-C40C66FF867C}">
              <a14:compatExt xmlns:a14="http://schemas.microsoft.com/office/drawing/2010/main" spid="_x0000_s10282"/>
            </a:ext>
            <a:ext uri="{FF2B5EF4-FFF2-40B4-BE49-F238E27FC236}">
              <a16:creationId xmlns:a16="http://schemas.microsoft.com/office/drawing/2014/main" id="{692A9443-5063-493C-9B1C-547B7C59C2A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42</xdr:row>
      <xdr:rowOff>104775</xdr:rowOff>
    </xdr:from>
    <xdr:to>
      <xdr:col>9</xdr:col>
      <xdr:colOff>2667000</xdr:colOff>
      <xdr:row>43</xdr:row>
      <xdr:rowOff>123825</xdr:rowOff>
    </xdr:to>
    <xdr:sp macro="" textlink="">
      <xdr:nvSpPr>
        <xdr:cNvPr id="10283" name="Option Button 43" hidden="1">
          <a:extLst>
            <a:ext uri="{63B3BB69-23CF-44E3-9099-C40C66FF867C}">
              <a14:compatExt xmlns:a14="http://schemas.microsoft.com/office/drawing/2010/main" spid="_x0000_s10283"/>
            </a:ext>
            <a:ext uri="{FF2B5EF4-FFF2-40B4-BE49-F238E27FC236}">
              <a16:creationId xmlns:a16="http://schemas.microsoft.com/office/drawing/2014/main" id="{D3141B8A-6726-4BE1-83AA-904F58F3541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42</xdr:row>
      <xdr:rowOff>104775</xdr:rowOff>
    </xdr:from>
    <xdr:to>
      <xdr:col>10</xdr:col>
      <xdr:colOff>2609850</xdr:colOff>
      <xdr:row>43</xdr:row>
      <xdr:rowOff>123825</xdr:rowOff>
    </xdr:to>
    <xdr:sp macro="" textlink="">
      <xdr:nvSpPr>
        <xdr:cNvPr id="10284" name="Option Button 44" hidden="1">
          <a:extLst>
            <a:ext uri="{63B3BB69-23CF-44E3-9099-C40C66FF867C}">
              <a14:compatExt xmlns:a14="http://schemas.microsoft.com/office/drawing/2010/main" spid="_x0000_s10284"/>
            </a:ext>
            <a:ext uri="{FF2B5EF4-FFF2-40B4-BE49-F238E27FC236}">
              <a16:creationId xmlns:a16="http://schemas.microsoft.com/office/drawing/2014/main" id="{1121C33E-E2AC-4FC1-858D-07262E67B14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42</xdr:row>
      <xdr:rowOff>104775</xdr:rowOff>
    </xdr:from>
    <xdr:to>
      <xdr:col>11</xdr:col>
      <xdr:colOff>2686050</xdr:colOff>
      <xdr:row>43</xdr:row>
      <xdr:rowOff>123825</xdr:rowOff>
    </xdr:to>
    <xdr:sp macro="" textlink="">
      <xdr:nvSpPr>
        <xdr:cNvPr id="10285" name="Option Button 45" hidden="1">
          <a:extLst>
            <a:ext uri="{63B3BB69-23CF-44E3-9099-C40C66FF867C}">
              <a14:compatExt xmlns:a14="http://schemas.microsoft.com/office/drawing/2010/main" spid="_x0000_s10285"/>
            </a:ext>
            <a:ext uri="{FF2B5EF4-FFF2-40B4-BE49-F238E27FC236}">
              <a16:creationId xmlns:a16="http://schemas.microsoft.com/office/drawing/2014/main" id="{21DE81FA-A9D4-45F1-982F-44169EA6797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56</xdr:row>
      <xdr:rowOff>28575</xdr:rowOff>
    </xdr:from>
    <xdr:to>
      <xdr:col>12</xdr:col>
      <xdr:colOff>19050</xdr:colOff>
      <xdr:row>58</xdr:row>
      <xdr:rowOff>28575</xdr:rowOff>
    </xdr:to>
    <xdr:sp macro="" textlink="">
      <xdr:nvSpPr>
        <xdr:cNvPr id="10286" name="Group Box 46" hidden="1">
          <a:extLst>
            <a:ext uri="{63B3BB69-23CF-44E3-9099-C40C66FF867C}">
              <a14:compatExt xmlns:a14="http://schemas.microsoft.com/office/drawing/2010/main" spid="_x0000_s10286"/>
            </a:ext>
            <a:ext uri="{FF2B5EF4-FFF2-40B4-BE49-F238E27FC236}">
              <a16:creationId xmlns:a16="http://schemas.microsoft.com/office/drawing/2014/main" id="{C9016EEA-9B16-446F-AFB8-6F6FA24841AB}"/>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56</xdr:row>
      <xdr:rowOff>104775</xdr:rowOff>
    </xdr:from>
    <xdr:to>
      <xdr:col>8</xdr:col>
      <xdr:colOff>2609850</xdr:colOff>
      <xdr:row>57</xdr:row>
      <xdr:rowOff>123825</xdr:rowOff>
    </xdr:to>
    <xdr:sp macro="" textlink="">
      <xdr:nvSpPr>
        <xdr:cNvPr id="10287" name="Option Button 47" hidden="1">
          <a:extLst>
            <a:ext uri="{63B3BB69-23CF-44E3-9099-C40C66FF867C}">
              <a14:compatExt xmlns:a14="http://schemas.microsoft.com/office/drawing/2010/main" spid="_x0000_s10287"/>
            </a:ext>
            <a:ext uri="{FF2B5EF4-FFF2-40B4-BE49-F238E27FC236}">
              <a16:creationId xmlns:a16="http://schemas.microsoft.com/office/drawing/2014/main" id="{04F762D3-A83A-4D78-A5A7-C46B4529931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56</xdr:row>
      <xdr:rowOff>104775</xdr:rowOff>
    </xdr:from>
    <xdr:to>
      <xdr:col>9</xdr:col>
      <xdr:colOff>2667000</xdr:colOff>
      <xdr:row>57</xdr:row>
      <xdr:rowOff>123825</xdr:rowOff>
    </xdr:to>
    <xdr:sp macro="" textlink="">
      <xdr:nvSpPr>
        <xdr:cNvPr id="10288" name="Option Button 48" hidden="1">
          <a:extLst>
            <a:ext uri="{63B3BB69-23CF-44E3-9099-C40C66FF867C}">
              <a14:compatExt xmlns:a14="http://schemas.microsoft.com/office/drawing/2010/main" spid="_x0000_s10288"/>
            </a:ext>
            <a:ext uri="{FF2B5EF4-FFF2-40B4-BE49-F238E27FC236}">
              <a16:creationId xmlns:a16="http://schemas.microsoft.com/office/drawing/2014/main" id="{9120C08E-769C-477D-89A4-0361FA92AF6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56</xdr:row>
      <xdr:rowOff>104775</xdr:rowOff>
    </xdr:from>
    <xdr:to>
      <xdr:col>10</xdr:col>
      <xdr:colOff>2609850</xdr:colOff>
      <xdr:row>57</xdr:row>
      <xdr:rowOff>123825</xdr:rowOff>
    </xdr:to>
    <xdr:sp macro="" textlink="">
      <xdr:nvSpPr>
        <xdr:cNvPr id="10289" name="Option Button 49" hidden="1">
          <a:extLst>
            <a:ext uri="{63B3BB69-23CF-44E3-9099-C40C66FF867C}">
              <a14:compatExt xmlns:a14="http://schemas.microsoft.com/office/drawing/2010/main" spid="_x0000_s10289"/>
            </a:ext>
            <a:ext uri="{FF2B5EF4-FFF2-40B4-BE49-F238E27FC236}">
              <a16:creationId xmlns:a16="http://schemas.microsoft.com/office/drawing/2014/main" id="{ED6AE13C-D677-4713-BA07-FEA2DBD5F00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56</xdr:row>
      <xdr:rowOff>104775</xdr:rowOff>
    </xdr:from>
    <xdr:to>
      <xdr:col>11</xdr:col>
      <xdr:colOff>2686050</xdr:colOff>
      <xdr:row>57</xdr:row>
      <xdr:rowOff>123825</xdr:rowOff>
    </xdr:to>
    <xdr:sp macro="" textlink="">
      <xdr:nvSpPr>
        <xdr:cNvPr id="10290" name="Option Button 50" hidden="1">
          <a:extLst>
            <a:ext uri="{63B3BB69-23CF-44E3-9099-C40C66FF867C}">
              <a14:compatExt xmlns:a14="http://schemas.microsoft.com/office/drawing/2010/main" spid="_x0000_s10290"/>
            </a:ext>
            <a:ext uri="{FF2B5EF4-FFF2-40B4-BE49-F238E27FC236}">
              <a16:creationId xmlns:a16="http://schemas.microsoft.com/office/drawing/2014/main" id="{DA2785C3-A535-44CC-B16D-A829BD555074}"/>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60</xdr:row>
      <xdr:rowOff>28575</xdr:rowOff>
    </xdr:from>
    <xdr:to>
      <xdr:col>12</xdr:col>
      <xdr:colOff>19050</xdr:colOff>
      <xdr:row>62</xdr:row>
      <xdr:rowOff>28575</xdr:rowOff>
    </xdr:to>
    <xdr:sp macro="" textlink="">
      <xdr:nvSpPr>
        <xdr:cNvPr id="10291" name="Group Box 51" hidden="1">
          <a:extLst>
            <a:ext uri="{63B3BB69-23CF-44E3-9099-C40C66FF867C}">
              <a14:compatExt xmlns:a14="http://schemas.microsoft.com/office/drawing/2010/main" spid="_x0000_s10291"/>
            </a:ext>
            <a:ext uri="{FF2B5EF4-FFF2-40B4-BE49-F238E27FC236}">
              <a16:creationId xmlns:a16="http://schemas.microsoft.com/office/drawing/2014/main" id="{1FCC570E-D061-4093-94AA-0E3221AE9295}"/>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60</xdr:row>
      <xdr:rowOff>104775</xdr:rowOff>
    </xdr:from>
    <xdr:to>
      <xdr:col>8</xdr:col>
      <xdr:colOff>2609850</xdr:colOff>
      <xdr:row>61</xdr:row>
      <xdr:rowOff>123825</xdr:rowOff>
    </xdr:to>
    <xdr:sp macro="" textlink="">
      <xdr:nvSpPr>
        <xdr:cNvPr id="10292" name="Option Button 52" hidden="1">
          <a:extLst>
            <a:ext uri="{63B3BB69-23CF-44E3-9099-C40C66FF867C}">
              <a14:compatExt xmlns:a14="http://schemas.microsoft.com/office/drawing/2010/main" spid="_x0000_s10292"/>
            </a:ext>
            <a:ext uri="{FF2B5EF4-FFF2-40B4-BE49-F238E27FC236}">
              <a16:creationId xmlns:a16="http://schemas.microsoft.com/office/drawing/2014/main" id="{915FCACA-A9D7-4C84-8803-306B2D037E3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60</xdr:row>
      <xdr:rowOff>104775</xdr:rowOff>
    </xdr:from>
    <xdr:to>
      <xdr:col>9</xdr:col>
      <xdr:colOff>2667000</xdr:colOff>
      <xdr:row>61</xdr:row>
      <xdr:rowOff>123825</xdr:rowOff>
    </xdr:to>
    <xdr:sp macro="" textlink="">
      <xdr:nvSpPr>
        <xdr:cNvPr id="10293" name="Option Button 53" hidden="1">
          <a:extLst>
            <a:ext uri="{63B3BB69-23CF-44E3-9099-C40C66FF867C}">
              <a14:compatExt xmlns:a14="http://schemas.microsoft.com/office/drawing/2010/main" spid="_x0000_s10293"/>
            </a:ext>
            <a:ext uri="{FF2B5EF4-FFF2-40B4-BE49-F238E27FC236}">
              <a16:creationId xmlns:a16="http://schemas.microsoft.com/office/drawing/2014/main" id="{49B2B4C2-F13C-467F-BEDD-ECF0E09BB9DC}"/>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60</xdr:row>
      <xdr:rowOff>104775</xdr:rowOff>
    </xdr:from>
    <xdr:to>
      <xdr:col>10</xdr:col>
      <xdr:colOff>2609850</xdr:colOff>
      <xdr:row>61</xdr:row>
      <xdr:rowOff>123825</xdr:rowOff>
    </xdr:to>
    <xdr:sp macro="" textlink="">
      <xdr:nvSpPr>
        <xdr:cNvPr id="10294" name="Option Button 54" hidden="1">
          <a:extLst>
            <a:ext uri="{63B3BB69-23CF-44E3-9099-C40C66FF867C}">
              <a14:compatExt xmlns:a14="http://schemas.microsoft.com/office/drawing/2010/main" spid="_x0000_s10294"/>
            </a:ext>
            <a:ext uri="{FF2B5EF4-FFF2-40B4-BE49-F238E27FC236}">
              <a16:creationId xmlns:a16="http://schemas.microsoft.com/office/drawing/2014/main" id="{05A569C7-5252-4AAF-B103-F10F8B0C07A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60</xdr:row>
      <xdr:rowOff>104775</xdr:rowOff>
    </xdr:from>
    <xdr:to>
      <xdr:col>11</xdr:col>
      <xdr:colOff>2686050</xdr:colOff>
      <xdr:row>61</xdr:row>
      <xdr:rowOff>123825</xdr:rowOff>
    </xdr:to>
    <xdr:sp macro="" textlink="">
      <xdr:nvSpPr>
        <xdr:cNvPr id="10295" name="Option Button 55" hidden="1">
          <a:extLst>
            <a:ext uri="{63B3BB69-23CF-44E3-9099-C40C66FF867C}">
              <a14:compatExt xmlns:a14="http://schemas.microsoft.com/office/drawing/2010/main" spid="_x0000_s10295"/>
            </a:ext>
            <a:ext uri="{FF2B5EF4-FFF2-40B4-BE49-F238E27FC236}">
              <a16:creationId xmlns:a16="http://schemas.microsoft.com/office/drawing/2014/main" id="{7C5C0497-B666-44A0-915F-7CB02A4B4F68}"/>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63</xdr:row>
      <xdr:rowOff>28575</xdr:rowOff>
    </xdr:from>
    <xdr:to>
      <xdr:col>12</xdr:col>
      <xdr:colOff>19050</xdr:colOff>
      <xdr:row>65</xdr:row>
      <xdr:rowOff>38100</xdr:rowOff>
    </xdr:to>
    <xdr:sp macro="" textlink="">
      <xdr:nvSpPr>
        <xdr:cNvPr id="10296" name="Group Box 56" hidden="1">
          <a:extLst>
            <a:ext uri="{63B3BB69-23CF-44E3-9099-C40C66FF867C}">
              <a14:compatExt xmlns:a14="http://schemas.microsoft.com/office/drawing/2010/main" spid="_x0000_s10296"/>
            </a:ext>
            <a:ext uri="{FF2B5EF4-FFF2-40B4-BE49-F238E27FC236}">
              <a16:creationId xmlns:a16="http://schemas.microsoft.com/office/drawing/2014/main" id="{000CE7C3-DE43-4008-B91F-33410573B3F5}"/>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63</xdr:row>
      <xdr:rowOff>104775</xdr:rowOff>
    </xdr:from>
    <xdr:to>
      <xdr:col>8</xdr:col>
      <xdr:colOff>2609850</xdr:colOff>
      <xdr:row>64</xdr:row>
      <xdr:rowOff>123825</xdr:rowOff>
    </xdr:to>
    <xdr:sp macro="" textlink="">
      <xdr:nvSpPr>
        <xdr:cNvPr id="10297" name="Option Button 57" hidden="1">
          <a:extLst>
            <a:ext uri="{63B3BB69-23CF-44E3-9099-C40C66FF867C}">
              <a14:compatExt xmlns:a14="http://schemas.microsoft.com/office/drawing/2010/main" spid="_x0000_s10297"/>
            </a:ext>
            <a:ext uri="{FF2B5EF4-FFF2-40B4-BE49-F238E27FC236}">
              <a16:creationId xmlns:a16="http://schemas.microsoft.com/office/drawing/2014/main" id="{128B5E11-21E5-485F-92FD-11064CE4743F}"/>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63</xdr:row>
      <xdr:rowOff>104775</xdr:rowOff>
    </xdr:from>
    <xdr:to>
      <xdr:col>9</xdr:col>
      <xdr:colOff>2667000</xdr:colOff>
      <xdr:row>64</xdr:row>
      <xdr:rowOff>123825</xdr:rowOff>
    </xdr:to>
    <xdr:sp macro="" textlink="">
      <xdr:nvSpPr>
        <xdr:cNvPr id="10298" name="Option Button 58" hidden="1">
          <a:extLst>
            <a:ext uri="{63B3BB69-23CF-44E3-9099-C40C66FF867C}">
              <a14:compatExt xmlns:a14="http://schemas.microsoft.com/office/drawing/2010/main" spid="_x0000_s10298"/>
            </a:ext>
            <a:ext uri="{FF2B5EF4-FFF2-40B4-BE49-F238E27FC236}">
              <a16:creationId xmlns:a16="http://schemas.microsoft.com/office/drawing/2014/main" id="{08A95273-8FF7-4AB4-A00A-CE0ABAAD46A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63</xdr:row>
      <xdr:rowOff>104775</xdr:rowOff>
    </xdr:from>
    <xdr:to>
      <xdr:col>10</xdr:col>
      <xdr:colOff>2609850</xdr:colOff>
      <xdr:row>64</xdr:row>
      <xdr:rowOff>123825</xdr:rowOff>
    </xdr:to>
    <xdr:sp macro="" textlink="">
      <xdr:nvSpPr>
        <xdr:cNvPr id="10299" name="Option Button 59" hidden="1">
          <a:extLst>
            <a:ext uri="{63B3BB69-23CF-44E3-9099-C40C66FF867C}">
              <a14:compatExt xmlns:a14="http://schemas.microsoft.com/office/drawing/2010/main" spid="_x0000_s10299"/>
            </a:ext>
            <a:ext uri="{FF2B5EF4-FFF2-40B4-BE49-F238E27FC236}">
              <a16:creationId xmlns:a16="http://schemas.microsoft.com/office/drawing/2014/main" id="{B79EE8D5-4664-4D80-83AE-FED5BCA1BB1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63</xdr:row>
      <xdr:rowOff>104775</xdr:rowOff>
    </xdr:from>
    <xdr:to>
      <xdr:col>11</xdr:col>
      <xdr:colOff>2686050</xdr:colOff>
      <xdr:row>64</xdr:row>
      <xdr:rowOff>123825</xdr:rowOff>
    </xdr:to>
    <xdr:sp macro="" textlink="">
      <xdr:nvSpPr>
        <xdr:cNvPr id="10300" name="Option Button 60" hidden="1">
          <a:extLst>
            <a:ext uri="{63B3BB69-23CF-44E3-9099-C40C66FF867C}">
              <a14:compatExt xmlns:a14="http://schemas.microsoft.com/office/drawing/2010/main" spid="_x0000_s10300"/>
            </a:ext>
            <a:ext uri="{FF2B5EF4-FFF2-40B4-BE49-F238E27FC236}">
              <a16:creationId xmlns:a16="http://schemas.microsoft.com/office/drawing/2014/main" id="{21DFA540-0CD3-4088-BF9E-CBBDF63FE82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15</xdr:row>
      <xdr:rowOff>28575</xdr:rowOff>
    </xdr:from>
    <xdr:to>
      <xdr:col>12</xdr:col>
      <xdr:colOff>19050</xdr:colOff>
      <xdr:row>17</xdr:row>
      <xdr:rowOff>38100</xdr:rowOff>
    </xdr:to>
    <xdr:sp macro="" textlink="">
      <xdr:nvSpPr>
        <xdr:cNvPr id="10301" name="Group Box 61" hidden="1">
          <a:extLst>
            <a:ext uri="{63B3BB69-23CF-44E3-9099-C40C66FF867C}">
              <a14:compatExt xmlns:a14="http://schemas.microsoft.com/office/drawing/2010/main" spid="_x0000_s10301"/>
            </a:ext>
            <a:ext uri="{FF2B5EF4-FFF2-40B4-BE49-F238E27FC236}">
              <a16:creationId xmlns:a16="http://schemas.microsoft.com/office/drawing/2014/main" id="{8A1358AF-39F1-46FD-A660-9664B5A7F5DD}"/>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15</xdr:row>
      <xdr:rowOff>104775</xdr:rowOff>
    </xdr:from>
    <xdr:to>
      <xdr:col>8</xdr:col>
      <xdr:colOff>2609850</xdr:colOff>
      <xdr:row>16</xdr:row>
      <xdr:rowOff>123825</xdr:rowOff>
    </xdr:to>
    <xdr:sp macro="" textlink="">
      <xdr:nvSpPr>
        <xdr:cNvPr id="10302" name="Option Button 62" hidden="1">
          <a:extLst>
            <a:ext uri="{63B3BB69-23CF-44E3-9099-C40C66FF867C}">
              <a14:compatExt xmlns:a14="http://schemas.microsoft.com/office/drawing/2010/main" spid="_x0000_s10302"/>
            </a:ext>
            <a:ext uri="{FF2B5EF4-FFF2-40B4-BE49-F238E27FC236}">
              <a16:creationId xmlns:a16="http://schemas.microsoft.com/office/drawing/2014/main" id="{087DED41-80BB-4F50-B231-E4FD750F60B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15</xdr:row>
      <xdr:rowOff>104775</xdr:rowOff>
    </xdr:from>
    <xdr:to>
      <xdr:col>9</xdr:col>
      <xdr:colOff>2667000</xdr:colOff>
      <xdr:row>16</xdr:row>
      <xdr:rowOff>123825</xdr:rowOff>
    </xdr:to>
    <xdr:sp macro="" textlink="">
      <xdr:nvSpPr>
        <xdr:cNvPr id="10303" name="Option Button 63" hidden="1">
          <a:extLst>
            <a:ext uri="{63B3BB69-23CF-44E3-9099-C40C66FF867C}">
              <a14:compatExt xmlns:a14="http://schemas.microsoft.com/office/drawing/2010/main" spid="_x0000_s10303"/>
            </a:ext>
            <a:ext uri="{FF2B5EF4-FFF2-40B4-BE49-F238E27FC236}">
              <a16:creationId xmlns:a16="http://schemas.microsoft.com/office/drawing/2014/main" id="{27141253-24B8-41A1-9C44-B8BF8ADE103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15</xdr:row>
      <xdr:rowOff>104775</xdr:rowOff>
    </xdr:from>
    <xdr:to>
      <xdr:col>10</xdr:col>
      <xdr:colOff>2609850</xdr:colOff>
      <xdr:row>16</xdr:row>
      <xdr:rowOff>123825</xdr:rowOff>
    </xdr:to>
    <xdr:sp macro="" textlink="">
      <xdr:nvSpPr>
        <xdr:cNvPr id="10304" name="Option Button 64" hidden="1">
          <a:extLst>
            <a:ext uri="{63B3BB69-23CF-44E3-9099-C40C66FF867C}">
              <a14:compatExt xmlns:a14="http://schemas.microsoft.com/office/drawing/2010/main" spid="_x0000_s10304"/>
            </a:ext>
            <a:ext uri="{FF2B5EF4-FFF2-40B4-BE49-F238E27FC236}">
              <a16:creationId xmlns:a16="http://schemas.microsoft.com/office/drawing/2014/main" id="{01BBA67C-721C-4FD4-A31A-A0BAD837755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15</xdr:row>
      <xdr:rowOff>104775</xdr:rowOff>
    </xdr:from>
    <xdr:to>
      <xdr:col>11</xdr:col>
      <xdr:colOff>2686050</xdr:colOff>
      <xdr:row>16</xdr:row>
      <xdr:rowOff>123825</xdr:rowOff>
    </xdr:to>
    <xdr:sp macro="" textlink="">
      <xdr:nvSpPr>
        <xdr:cNvPr id="10305" name="Option Button 65" hidden="1">
          <a:extLst>
            <a:ext uri="{63B3BB69-23CF-44E3-9099-C40C66FF867C}">
              <a14:compatExt xmlns:a14="http://schemas.microsoft.com/office/drawing/2010/main" spid="_x0000_s10305"/>
            </a:ext>
            <a:ext uri="{FF2B5EF4-FFF2-40B4-BE49-F238E27FC236}">
              <a16:creationId xmlns:a16="http://schemas.microsoft.com/office/drawing/2014/main" id="{3FB3CC98-E027-4178-B855-37EA58FC212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8</xdr:col>
      <xdr:colOff>57150</xdr:colOff>
      <xdr:row>44</xdr:row>
      <xdr:rowOff>28575</xdr:rowOff>
    </xdr:from>
    <xdr:ext cx="13420725" cy="381000"/>
    <xdr:sp macro="" textlink="">
      <xdr:nvSpPr>
        <xdr:cNvPr id="10306" name="Group Box 66" hidden="1">
          <a:extLst>
            <a:ext uri="{63B3BB69-23CF-44E3-9099-C40C66FF867C}">
              <a14:compatExt xmlns:a14="http://schemas.microsoft.com/office/drawing/2010/main" spid="_x0000_s10306"/>
            </a:ext>
            <a:ext uri="{FF2B5EF4-FFF2-40B4-BE49-F238E27FC236}">
              <a16:creationId xmlns:a16="http://schemas.microsoft.com/office/drawing/2014/main" id="{931BA8D5-BE32-4D21-BB37-4702F8B390C4}"/>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8</xdr:col>
      <xdr:colOff>1562100</xdr:colOff>
      <xdr:row>44</xdr:row>
      <xdr:rowOff>104775</xdr:rowOff>
    </xdr:from>
    <xdr:ext cx="1047750" cy="209550"/>
    <xdr:sp macro="" textlink="">
      <xdr:nvSpPr>
        <xdr:cNvPr id="10307" name="Option Button 67" hidden="1">
          <a:extLst>
            <a:ext uri="{63B3BB69-23CF-44E3-9099-C40C66FF867C}">
              <a14:compatExt xmlns:a14="http://schemas.microsoft.com/office/drawing/2010/main" spid="_x0000_s10307"/>
            </a:ext>
            <a:ext uri="{FF2B5EF4-FFF2-40B4-BE49-F238E27FC236}">
              <a16:creationId xmlns:a16="http://schemas.microsoft.com/office/drawing/2014/main" id="{10730A81-A136-488B-B8C9-076B8BB6AF9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9</xdr:col>
      <xdr:colOff>1619250</xdr:colOff>
      <xdr:row>44</xdr:row>
      <xdr:rowOff>104775</xdr:rowOff>
    </xdr:from>
    <xdr:ext cx="1047750" cy="209550"/>
    <xdr:sp macro="" textlink="">
      <xdr:nvSpPr>
        <xdr:cNvPr id="10308" name="Option Button 68" hidden="1">
          <a:extLst>
            <a:ext uri="{63B3BB69-23CF-44E3-9099-C40C66FF867C}">
              <a14:compatExt xmlns:a14="http://schemas.microsoft.com/office/drawing/2010/main" spid="_x0000_s10308"/>
            </a:ext>
            <a:ext uri="{FF2B5EF4-FFF2-40B4-BE49-F238E27FC236}">
              <a16:creationId xmlns:a16="http://schemas.microsoft.com/office/drawing/2014/main" id="{B743537B-CD79-478D-BFC9-B8D94D36990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1562100</xdr:colOff>
      <xdr:row>44</xdr:row>
      <xdr:rowOff>104775</xdr:rowOff>
    </xdr:from>
    <xdr:ext cx="1047750" cy="209550"/>
    <xdr:sp macro="" textlink="">
      <xdr:nvSpPr>
        <xdr:cNvPr id="10309" name="Option Button 69" hidden="1">
          <a:extLst>
            <a:ext uri="{63B3BB69-23CF-44E3-9099-C40C66FF867C}">
              <a14:compatExt xmlns:a14="http://schemas.microsoft.com/office/drawing/2010/main" spid="_x0000_s10309"/>
            </a:ext>
            <a:ext uri="{FF2B5EF4-FFF2-40B4-BE49-F238E27FC236}">
              <a16:creationId xmlns:a16="http://schemas.microsoft.com/office/drawing/2014/main" id="{7FABD81D-8401-4DD6-BC35-5C26C7CF0F8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11</xdr:col>
      <xdr:colOff>1638300</xdr:colOff>
      <xdr:row>44</xdr:row>
      <xdr:rowOff>104775</xdr:rowOff>
    </xdr:from>
    <xdr:ext cx="1047750" cy="209550"/>
    <xdr:sp macro="" textlink="">
      <xdr:nvSpPr>
        <xdr:cNvPr id="10310" name="Option Button 70" hidden="1">
          <a:extLst>
            <a:ext uri="{63B3BB69-23CF-44E3-9099-C40C66FF867C}">
              <a14:compatExt xmlns:a14="http://schemas.microsoft.com/office/drawing/2010/main" spid="_x0000_s10310"/>
            </a:ext>
            <a:ext uri="{FF2B5EF4-FFF2-40B4-BE49-F238E27FC236}">
              <a16:creationId xmlns:a16="http://schemas.microsoft.com/office/drawing/2014/main" id="{9AD7AB13-0CEE-40B3-A2D2-BE5429E82B44}"/>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9</xdr:row>
      <xdr:rowOff>0</xdr:rowOff>
    </xdr:from>
    <xdr:to>
      <xdr:col>32</xdr:col>
      <xdr:colOff>6350</xdr:colOff>
      <xdr:row>9</xdr:row>
      <xdr:rowOff>381000</xdr:rowOff>
    </xdr:to>
    <xdr:sp macro="" textlink="">
      <xdr:nvSpPr>
        <xdr:cNvPr id="2068" name="Group Box 20" hidden="1">
          <a:extLst>
            <a:ext uri="{63B3BB69-23CF-44E3-9099-C40C66FF867C}">
              <a14:compatExt xmlns:a14="http://schemas.microsoft.com/office/drawing/2010/main"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78" name="Option Button 30" hidden="1">
          <a:extLst>
            <a:ext uri="{63B3BB69-23CF-44E3-9099-C40C66FF867C}">
              <a14:compatExt xmlns:a14="http://schemas.microsoft.com/office/drawing/2010/main" spid="_x0000_s2078"/>
            </a:ext>
            <a:ext uri="{FF2B5EF4-FFF2-40B4-BE49-F238E27FC236}">
              <a16:creationId xmlns:a16="http://schemas.microsoft.com/office/drawing/2014/main" id="{00000000-0008-0000-0200-00001E080000}"/>
            </a:ext>
            <a:ext uri="{147F2762-F138-4A5C-976F-8EAC2B608ADB}">
              <a16:predDERef xmlns:a16="http://schemas.microsoft.com/office/drawing/2014/main" pred="{00000000-0008-0000-0200-00001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0" name="Option Button 32" hidden="1">
          <a:extLst>
            <a:ext uri="{63B3BB69-23CF-44E3-9099-C40C66FF867C}">
              <a14:compatExt xmlns:a14="http://schemas.microsoft.com/office/drawing/2010/main" spid="_x0000_s2080"/>
            </a:ext>
            <a:ext uri="{FF2B5EF4-FFF2-40B4-BE49-F238E27FC236}">
              <a16:creationId xmlns:a16="http://schemas.microsoft.com/office/drawing/2014/main" id="{00000000-0008-0000-0200-000020080000}"/>
            </a:ext>
            <a:ext uri="{147F2762-F138-4A5C-976F-8EAC2B608ADB}">
              <a16:predDERef xmlns:a16="http://schemas.microsoft.com/office/drawing/2014/main" pred="{00000000-0008-0000-0200-00001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2" name="Option Button 34" hidden="1">
          <a:extLst>
            <a:ext uri="{63B3BB69-23CF-44E3-9099-C40C66FF867C}">
              <a14:compatExt xmlns:a14="http://schemas.microsoft.com/office/drawing/2010/main" spid="_x0000_s2082"/>
            </a:ext>
            <a:ext uri="{FF2B5EF4-FFF2-40B4-BE49-F238E27FC236}">
              <a16:creationId xmlns:a16="http://schemas.microsoft.com/office/drawing/2014/main" id="{00000000-0008-0000-0200-000022080000}"/>
            </a:ext>
            <a:ext uri="{147F2762-F138-4A5C-976F-8EAC2B608ADB}">
              <a16:predDERef xmlns:a16="http://schemas.microsoft.com/office/drawing/2014/main" pred="{00000000-0008-0000-0200-00002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4" name="Option Button 36" hidden="1">
          <a:extLst>
            <a:ext uri="{63B3BB69-23CF-44E3-9099-C40C66FF867C}">
              <a14:compatExt xmlns:a14="http://schemas.microsoft.com/office/drawing/2010/main" spid="_x0000_s2084"/>
            </a:ext>
            <a:ext uri="{FF2B5EF4-FFF2-40B4-BE49-F238E27FC236}">
              <a16:creationId xmlns:a16="http://schemas.microsoft.com/office/drawing/2014/main" id="{00000000-0008-0000-0200-000024080000}"/>
            </a:ext>
            <a:ext uri="{147F2762-F138-4A5C-976F-8EAC2B608ADB}">
              <a16:predDERef xmlns:a16="http://schemas.microsoft.com/office/drawing/2014/main" pred="{00000000-0008-0000-0200-000022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32</xdr:col>
      <xdr:colOff>6350</xdr:colOff>
      <xdr:row>24</xdr:row>
      <xdr:rowOff>63500</xdr:rowOff>
    </xdr:to>
    <xdr:sp macro="" textlink="">
      <xdr:nvSpPr>
        <xdr:cNvPr id="2085" name="Group Box 37" hidden="1">
          <a:extLst>
            <a:ext uri="{63B3BB69-23CF-44E3-9099-C40C66FF867C}">
              <a14:compatExt xmlns:a14="http://schemas.microsoft.com/office/drawing/2010/main" spid="_x0000_s2085"/>
            </a:ext>
            <a:ext uri="{FF2B5EF4-FFF2-40B4-BE49-F238E27FC236}">
              <a16:creationId xmlns:a16="http://schemas.microsoft.com/office/drawing/2014/main" id="{00000000-0008-0000-0200-000025080000}"/>
            </a:ext>
            <a:ext uri="{147F2762-F138-4A5C-976F-8EAC2B608ADB}">
              <a16:predDERef xmlns:a16="http://schemas.microsoft.com/office/drawing/2014/main" pred="{00000000-0008-0000-0200-000024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23</xdr:row>
      <xdr:rowOff>0</xdr:rowOff>
    </xdr:from>
    <xdr:to>
      <xdr:col>32</xdr:col>
      <xdr:colOff>6350</xdr:colOff>
      <xdr:row>24</xdr:row>
      <xdr:rowOff>63500</xdr:rowOff>
    </xdr:to>
    <xdr:sp macro="" textlink="">
      <xdr:nvSpPr>
        <xdr:cNvPr id="2090" name="Group Box 42" hidden="1">
          <a:extLst>
            <a:ext uri="{63B3BB69-23CF-44E3-9099-C40C66FF867C}">
              <a14:compatExt xmlns:a14="http://schemas.microsoft.com/office/drawing/2010/main" spid="_x0000_s2090"/>
            </a:ext>
            <a:ext uri="{FF2B5EF4-FFF2-40B4-BE49-F238E27FC236}">
              <a16:creationId xmlns:a16="http://schemas.microsoft.com/office/drawing/2014/main" id="{00000000-0008-0000-0200-00002A080000}"/>
            </a:ext>
            <a:ext uri="{147F2762-F138-4A5C-976F-8EAC2B608ADB}">
              <a16:predDERef xmlns:a16="http://schemas.microsoft.com/office/drawing/2014/main" pred="{00000000-0008-0000-0200-000025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099" name="Option Button 51" hidden="1">
          <a:extLst>
            <a:ext uri="{63B3BB69-23CF-44E3-9099-C40C66FF867C}">
              <a14:compatExt xmlns:a14="http://schemas.microsoft.com/office/drawing/2010/main" spid="_x0000_s2099"/>
            </a:ext>
            <a:ext uri="{FF2B5EF4-FFF2-40B4-BE49-F238E27FC236}">
              <a16:creationId xmlns:a16="http://schemas.microsoft.com/office/drawing/2014/main" id="{00000000-0008-0000-0200-000033080000}"/>
            </a:ext>
            <a:ext uri="{147F2762-F138-4A5C-976F-8EAC2B608ADB}">
              <a16:predDERef xmlns:a16="http://schemas.microsoft.com/office/drawing/2014/main" pred="{00000000-0008-0000-0200-00002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0" name="Option Button 52" hidden="1">
          <a:extLst>
            <a:ext uri="{63B3BB69-23CF-44E3-9099-C40C66FF867C}">
              <a14:compatExt xmlns:a14="http://schemas.microsoft.com/office/drawing/2010/main" spid="_x0000_s2100"/>
            </a:ext>
            <a:ext uri="{FF2B5EF4-FFF2-40B4-BE49-F238E27FC236}">
              <a16:creationId xmlns:a16="http://schemas.microsoft.com/office/drawing/2014/main" id="{00000000-0008-0000-0200-000034080000}"/>
            </a:ext>
            <a:ext uri="{147F2762-F138-4A5C-976F-8EAC2B608ADB}">
              <a16:predDERef xmlns:a16="http://schemas.microsoft.com/office/drawing/2014/main" pred="{00000000-0008-0000-0200-00003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1" name="Option Button 53" hidden="1">
          <a:extLst>
            <a:ext uri="{63B3BB69-23CF-44E3-9099-C40C66FF867C}">
              <a14:compatExt xmlns:a14="http://schemas.microsoft.com/office/drawing/2010/main" spid="_x0000_s2101"/>
            </a:ext>
            <a:ext uri="{FF2B5EF4-FFF2-40B4-BE49-F238E27FC236}">
              <a16:creationId xmlns:a16="http://schemas.microsoft.com/office/drawing/2014/main" id="{00000000-0008-0000-0200-000035080000}"/>
            </a:ext>
            <a:ext uri="{147F2762-F138-4A5C-976F-8EAC2B608ADB}">
              <a16:predDERef xmlns:a16="http://schemas.microsoft.com/office/drawing/2014/main" pred="{00000000-0008-0000-0200-00003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2" name="Option Button 54" hidden="1">
          <a:extLst>
            <a:ext uri="{63B3BB69-23CF-44E3-9099-C40C66FF867C}">
              <a14:compatExt xmlns:a14="http://schemas.microsoft.com/office/drawing/2010/main" spid="_x0000_s2102"/>
            </a:ext>
            <a:ext uri="{FF2B5EF4-FFF2-40B4-BE49-F238E27FC236}">
              <a16:creationId xmlns:a16="http://schemas.microsoft.com/office/drawing/2014/main" id="{00000000-0008-0000-0200-000036080000}"/>
            </a:ext>
            <a:ext uri="{147F2762-F138-4A5C-976F-8EAC2B608ADB}">
              <a16:predDERef xmlns:a16="http://schemas.microsoft.com/office/drawing/2014/main" pred="{00000000-0008-0000-0200-00003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7" name="Option Button 59" hidden="1">
          <a:extLst>
            <a:ext uri="{63B3BB69-23CF-44E3-9099-C40C66FF867C}">
              <a14:compatExt xmlns:a14="http://schemas.microsoft.com/office/drawing/2010/main" spid="_x0000_s2107"/>
            </a:ext>
            <a:ext uri="{FF2B5EF4-FFF2-40B4-BE49-F238E27FC236}">
              <a16:creationId xmlns:a16="http://schemas.microsoft.com/office/drawing/2014/main" id="{00000000-0008-0000-0200-00003B080000}"/>
            </a:ext>
            <a:ext uri="{147F2762-F138-4A5C-976F-8EAC2B608ADB}">
              <a16:predDERef xmlns:a16="http://schemas.microsoft.com/office/drawing/2014/main" pred="{00000000-0008-0000-0200-000036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8" name="Option Button 60" hidden="1">
          <a:extLst>
            <a:ext uri="{63B3BB69-23CF-44E3-9099-C40C66FF867C}">
              <a14:compatExt xmlns:a14="http://schemas.microsoft.com/office/drawing/2010/main" spid="_x0000_s2108"/>
            </a:ext>
            <a:ext uri="{FF2B5EF4-FFF2-40B4-BE49-F238E27FC236}">
              <a16:creationId xmlns:a16="http://schemas.microsoft.com/office/drawing/2014/main" id="{00000000-0008-0000-0200-00003C080000}"/>
            </a:ext>
            <a:ext uri="{147F2762-F138-4A5C-976F-8EAC2B608ADB}">
              <a16:predDERef xmlns:a16="http://schemas.microsoft.com/office/drawing/2014/main" pred="{00000000-0008-0000-0200-00003B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9" name="Option Button 61" hidden="1">
          <a:extLst>
            <a:ext uri="{63B3BB69-23CF-44E3-9099-C40C66FF867C}">
              <a14:compatExt xmlns:a14="http://schemas.microsoft.com/office/drawing/2010/main" spid="_x0000_s2109"/>
            </a:ext>
            <a:ext uri="{FF2B5EF4-FFF2-40B4-BE49-F238E27FC236}">
              <a16:creationId xmlns:a16="http://schemas.microsoft.com/office/drawing/2014/main" id="{00000000-0008-0000-0200-00003D080000}"/>
            </a:ext>
            <a:ext uri="{147F2762-F138-4A5C-976F-8EAC2B608ADB}">
              <a16:predDERef xmlns:a16="http://schemas.microsoft.com/office/drawing/2014/main" pred="{00000000-0008-0000-0200-00003C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10" name="Option Button 62" hidden="1">
          <a:extLst>
            <a:ext uri="{63B3BB69-23CF-44E3-9099-C40C66FF867C}">
              <a14:compatExt xmlns:a14="http://schemas.microsoft.com/office/drawing/2010/main" spid="_x0000_s2110"/>
            </a:ext>
            <a:ext uri="{FF2B5EF4-FFF2-40B4-BE49-F238E27FC236}">
              <a16:creationId xmlns:a16="http://schemas.microsoft.com/office/drawing/2014/main" id="{00000000-0008-0000-0200-00003E080000}"/>
            </a:ext>
            <a:ext uri="{147F2762-F138-4A5C-976F-8EAC2B608ADB}">
              <a16:predDERef xmlns:a16="http://schemas.microsoft.com/office/drawing/2014/main" pred="{00000000-0008-0000-0200-00003D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32</xdr:col>
      <xdr:colOff>6350</xdr:colOff>
      <xdr:row>28</xdr:row>
      <xdr:rowOff>381000</xdr:rowOff>
    </xdr:to>
    <xdr:sp macro="" textlink="">
      <xdr:nvSpPr>
        <xdr:cNvPr id="2111" name="Group Box 63" hidden="1">
          <a:extLst>
            <a:ext uri="{63B3BB69-23CF-44E3-9099-C40C66FF867C}">
              <a14:compatExt xmlns:a14="http://schemas.microsoft.com/office/drawing/2010/main" spid="_x0000_s2111"/>
            </a:ext>
            <a:ext uri="{FF2B5EF4-FFF2-40B4-BE49-F238E27FC236}">
              <a16:creationId xmlns:a16="http://schemas.microsoft.com/office/drawing/2014/main" id="{00000000-0008-0000-0200-00003F080000}"/>
            </a:ext>
            <a:ext uri="{147F2762-F138-4A5C-976F-8EAC2B608ADB}">
              <a16:predDERef xmlns:a16="http://schemas.microsoft.com/office/drawing/2014/main" pred="{00000000-0008-0000-0200-00003E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2" name="Option Button 64" hidden="1">
          <a:extLst>
            <a:ext uri="{63B3BB69-23CF-44E3-9099-C40C66FF867C}">
              <a14:compatExt xmlns:a14="http://schemas.microsoft.com/office/drawing/2010/main" spid="_x0000_s2112"/>
            </a:ext>
            <a:ext uri="{FF2B5EF4-FFF2-40B4-BE49-F238E27FC236}">
              <a16:creationId xmlns:a16="http://schemas.microsoft.com/office/drawing/2014/main" id="{00000000-0008-0000-0200-000040080000}"/>
            </a:ext>
            <a:ext uri="{147F2762-F138-4A5C-976F-8EAC2B608ADB}">
              <a16:predDERef xmlns:a16="http://schemas.microsoft.com/office/drawing/2014/main" pred="{00000000-0008-0000-0200-00003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3" name="Option Button 65" hidden="1">
          <a:extLst>
            <a:ext uri="{63B3BB69-23CF-44E3-9099-C40C66FF867C}">
              <a14:compatExt xmlns:a14="http://schemas.microsoft.com/office/drawing/2010/main" spid="_x0000_s2113"/>
            </a:ext>
            <a:ext uri="{FF2B5EF4-FFF2-40B4-BE49-F238E27FC236}">
              <a16:creationId xmlns:a16="http://schemas.microsoft.com/office/drawing/2014/main" id="{00000000-0008-0000-0200-000041080000}"/>
            </a:ext>
            <a:ext uri="{147F2762-F138-4A5C-976F-8EAC2B608ADB}">
              <a16:predDERef xmlns:a16="http://schemas.microsoft.com/office/drawing/2014/main" pred="{00000000-0008-0000-0200-00004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4" name="Option Button 66" hidden="1">
          <a:extLst>
            <a:ext uri="{63B3BB69-23CF-44E3-9099-C40C66FF867C}">
              <a14:compatExt xmlns:a14="http://schemas.microsoft.com/office/drawing/2010/main" spid="_x0000_s2114"/>
            </a:ext>
            <a:ext uri="{FF2B5EF4-FFF2-40B4-BE49-F238E27FC236}">
              <a16:creationId xmlns:a16="http://schemas.microsoft.com/office/drawing/2014/main" id="{00000000-0008-0000-0200-000042080000}"/>
            </a:ext>
            <a:ext uri="{147F2762-F138-4A5C-976F-8EAC2B608ADB}">
              <a16:predDERef xmlns:a16="http://schemas.microsoft.com/office/drawing/2014/main" pred="{00000000-0008-0000-0200-000041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5" name="Option Button 67" hidden="1">
          <a:extLst>
            <a:ext uri="{63B3BB69-23CF-44E3-9099-C40C66FF867C}">
              <a14:compatExt xmlns:a14="http://schemas.microsoft.com/office/drawing/2010/main" spid="_x0000_s2115"/>
            </a:ext>
            <a:ext uri="{FF2B5EF4-FFF2-40B4-BE49-F238E27FC236}">
              <a16:creationId xmlns:a16="http://schemas.microsoft.com/office/drawing/2014/main" id="{00000000-0008-0000-0200-000043080000}"/>
            </a:ext>
            <a:ext uri="{147F2762-F138-4A5C-976F-8EAC2B608ADB}">
              <a16:predDERef xmlns:a16="http://schemas.microsoft.com/office/drawing/2014/main" pred="{00000000-0008-0000-0200-000042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32</xdr:col>
      <xdr:colOff>6350</xdr:colOff>
      <xdr:row>45</xdr:row>
      <xdr:rowOff>64861</xdr:rowOff>
    </xdr:to>
    <xdr:sp macro="" textlink="">
      <xdr:nvSpPr>
        <xdr:cNvPr id="2116" name="Group Box 68" hidden="1">
          <a:extLst>
            <a:ext uri="{63B3BB69-23CF-44E3-9099-C40C66FF867C}">
              <a14:compatExt xmlns:a14="http://schemas.microsoft.com/office/drawing/2010/main" spid="_x0000_s2116"/>
            </a:ext>
            <a:ext uri="{FF2B5EF4-FFF2-40B4-BE49-F238E27FC236}">
              <a16:creationId xmlns:a16="http://schemas.microsoft.com/office/drawing/2014/main" id="{00000000-0008-0000-0200-000044080000}"/>
            </a:ext>
            <a:ext uri="{147F2762-F138-4A5C-976F-8EAC2B608ADB}">
              <a16:predDERef xmlns:a16="http://schemas.microsoft.com/office/drawing/2014/main" pred="{00000000-0008-0000-0200-000043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7" name="Option Button 69" hidden="1">
          <a:extLst>
            <a:ext uri="{63B3BB69-23CF-44E3-9099-C40C66FF867C}">
              <a14:compatExt xmlns:a14="http://schemas.microsoft.com/office/drawing/2010/main" spid="_x0000_s2117"/>
            </a:ext>
            <a:ext uri="{FF2B5EF4-FFF2-40B4-BE49-F238E27FC236}">
              <a16:creationId xmlns:a16="http://schemas.microsoft.com/office/drawing/2014/main" id="{00000000-0008-0000-0200-000045080000}"/>
            </a:ext>
            <a:ext uri="{147F2762-F138-4A5C-976F-8EAC2B608ADB}">
              <a16:predDERef xmlns:a16="http://schemas.microsoft.com/office/drawing/2014/main" pred="{00000000-0008-0000-0200-00004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8" name="Option Button 70" hidden="1">
          <a:extLst>
            <a:ext uri="{63B3BB69-23CF-44E3-9099-C40C66FF867C}">
              <a14:compatExt xmlns:a14="http://schemas.microsoft.com/office/drawing/2010/main" spid="_x0000_s2118"/>
            </a:ext>
            <a:ext uri="{FF2B5EF4-FFF2-40B4-BE49-F238E27FC236}">
              <a16:creationId xmlns:a16="http://schemas.microsoft.com/office/drawing/2014/main" id="{00000000-0008-0000-0200-000046080000}"/>
            </a:ext>
            <a:ext uri="{147F2762-F138-4A5C-976F-8EAC2B608ADB}">
              <a16:predDERef xmlns:a16="http://schemas.microsoft.com/office/drawing/2014/main" pred="{00000000-0008-0000-0200-00004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9" name="Option Button 71" hidden="1">
          <a:extLst>
            <a:ext uri="{63B3BB69-23CF-44E3-9099-C40C66FF867C}">
              <a14:compatExt xmlns:a14="http://schemas.microsoft.com/office/drawing/2010/main" spid="_x0000_s2119"/>
            </a:ext>
            <a:ext uri="{FF2B5EF4-FFF2-40B4-BE49-F238E27FC236}">
              <a16:creationId xmlns:a16="http://schemas.microsoft.com/office/drawing/2014/main" id="{00000000-0008-0000-0200-000047080000}"/>
            </a:ext>
            <a:ext uri="{147F2762-F138-4A5C-976F-8EAC2B608ADB}">
              <a16:predDERef xmlns:a16="http://schemas.microsoft.com/office/drawing/2014/main" pred="{00000000-0008-0000-0200-000046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20" name="Option Button 72" hidden="1">
          <a:extLst>
            <a:ext uri="{63B3BB69-23CF-44E3-9099-C40C66FF867C}">
              <a14:compatExt xmlns:a14="http://schemas.microsoft.com/office/drawing/2010/main" spid="_x0000_s2120"/>
            </a:ext>
            <a:ext uri="{FF2B5EF4-FFF2-40B4-BE49-F238E27FC236}">
              <a16:creationId xmlns:a16="http://schemas.microsoft.com/office/drawing/2014/main" id="{00000000-0008-0000-0200-000048080000}"/>
            </a:ext>
            <a:ext uri="{147F2762-F138-4A5C-976F-8EAC2B608ADB}">
              <a16:predDERef xmlns:a16="http://schemas.microsoft.com/office/drawing/2014/main" pred="{00000000-0008-0000-0200-000047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32</xdr:col>
      <xdr:colOff>6350</xdr:colOff>
      <xdr:row>52</xdr:row>
      <xdr:rowOff>425450</xdr:rowOff>
    </xdr:to>
    <xdr:sp macro="" textlink="">
      <xdr:nvSpPr>
        <xdr:cNvPr id="31" name="Group Box 73" hidden="1">
          <a:extLst>
            <a:ext uri="{63B3BB69-23CF-44E3-9099-C40C66FF867C}">
              <a14:compatExt xmlns:a14="http://schemas.microsoft.com/office/drawing/2010/main" spid="_x0000_s2121"/>
            </a:ext>
            <a:ext uri="{FF2B5EF4-FFF2-40B4-BE49-F238E27FC236}">
              <a16:creationId xmlns:a16="http://schemas.microsoft.com/office/drawing/2014/main" id="{00000000-0008-0000-0200-000049080000}"/>
            </a:ext>
            <a:ext uri="{147F2762-F138-4A5C-976F-8EAC2B608ADB}">
              <a16:predDERef xmlns:a16="http://schemas.microsoft.com/office/drawing/2014/main" pred="{00000000-0008-0000-0200-000048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30" name="Option Button 74" hidden="1">
          <a:extLst>
            <a:ext uri="{63B3BB69-23CF-44E3-9099-C40C66FF867C}">
              <a14:compatExt xmlns:a14="http://schemas.microsoft.com/office/drawing/2010/main" spid="_x0000_s2122"/>
            </a:ext>
            <a:ext uri="{FF2B5EF4-FFF2-40B4-BE49-F238E27FC236}">
              <a16:creationId xmlns:a16="http://schemas.microsoft.com/office/drawing/2014/main" id="{00000000-0008-0000-0200-00004A080000}"/>
            </a:ext>
            <a:ext uri="{147F2762-F138-4A5C-976F-8EAC2B608ADB}">
              <a16:predDERef xmlns:a16="http://schemas.microsoft.com/office/drawing/2014/main" pred="{00000000-0008-0000-0200-000049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9" name="Option Button 75" hidden="1">
          <a:extLst>
            <a:ext uri="{63B3BB69-23CF-44E3-9099-C40C66FF867C}">
              <a14:compatExt xmlns:a14="http://schemas.microsoft.com/office/drawing/2010/main" spid="_x0000_s2123"/>
            </a:ext>
            <a:ext uri="{FF2B5EF4-FFF2-40B4-BE49-F238E27FC236}">
              <a16:creationId xmlns:a16="http://schemas.microsoft.com/office/drawing/2014/main" id="{00000000-0008-0000-0200-00004B080000}"/>
            </a:ext>
            <a:ext uri="{147F2762-F138-4A5C-976F-8EAC2B608ADB}">
              <a16:predDERef xmlns:a16="http://schemas.microsoft.com/office/drawing/2014/main" pred="{00000000-0008-0000-0200-00004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8" name="Option Button 76" hidden="1">
          <a:extLst>
            <a:ext uri="{63B3BB69-23CF-44E3-9099-C40C66FF867C}">
              <a14:compatExt xmlns:a14="http://schemas.microsoft.com/office/drawing/2010/main" spid="_x0000_s2124"/>
            </a:ext>
            <a:ext uri="{FF2B5EF4-FFF2-40B4-BE49-F238E27FC236}">
              <a16:creationId xmlns:a16="http://schemas.microsoft.com/office/drawing/2014/main" id="{00000000-0008-0000-0200-00004C080000}"/>
            </a:ext>
            <a:ext uri="{147F2762-F138-4A5C-976F-8EAC2B608ADB}">
              <a16:predDERef xmlns:a16="http://schemas.microsoft.com/office/drawing/2014/main" pred="{00000000-0008-0000-0200-00004B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7" name="Option Button 77" hidden="1">
          <a:extLst>
            <a:ext uri="{63B3BB69-23CF-44E3-9099-C40C66FF867C}">
              <a14:compatExt xmlns:a14="http://schemas.microsoft.com/office/drawing/2010/main" spid="_x0000_s2125"/>
            </a:ext>
            <a:ext uri="{FF2B5EF4-FFF2-40B4-BE49-F238E27FC236}">
              <a16:creationId xmlns:a16="http://schemas.microsoft.com/office/drawing/2014/main" id="{00000000-0008-0000-0200-00004D080000}"/>
            </a:ext>
            <a:ext uri="{147F2762-F138-4A5C-976F-8EAC2B608ADB}">
              <a16:predDERef xmlns:a16="http://schemas.microsoft.com/office/drawing/2014/main" pred="{00000000-0008-0000-0200-00004C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32</xdr:col>
      <xdr:colOff>6350</xdr:colOff>
      <xdr:row>53</xdr:row>
      <xdr:rowOff>377825</xdr:rowOff>
    </xdr:to>
    <xdr:sp macro="" textlink="">
      <xdr:nvSpPr>
        <xdr:cNvPr id="26" name="Group Box 78" hidden="1">
          <a:extLst>
            <a:ext uri="{63B3BB69-23CF-44E3-9099-C40C66FF867C}">
              <a14:compatExt xmlns:a14="http://schemas.microsoft.com/office/drawing/2010/main" spid="_x0000_s2126"/>
            </a:ext>
            <a:ext uri="{FF2B5EF4-FFF2-40B4-BE49-F238E27FC236}">
              <a16:creationId xmlns:a16="http://schemas.microsoft.com/office/drawing/2014/main" id="{00000000-0008-0000-0200-00004E080000}"/>
            </a:ext>
            <a:ext uri="{147F2762-F138-4A5C-976F-8EAC2B608ADB}">
              <a16:predDERef xmlns:a16="http://schemas.microsoft.com/office/drawing/2014/main" pred="{00000000-0008-0000-0200-00004D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5" name="Option Button 79" hidden="1">
          <a:extLst>
            <a:ext uri="{63B3BB69-23CF-44E3-9099-C40C66FF867C}">
              <a14:compatExt xmlns:a14="http://schemas.microsoft.com/office/drawing/2010/main" spid="_x0000_s2127"/>
            </a:ext>
            <a:ext uri="{FF2B5EF4-FFF2-40B4-BE49-F238E27FC236}">
              <a16:creationId xmlns:a16="http://schemas.microsoft.com/office/drawing/2014/main" id="{00000000-0008-0000-0200-00004F080000}"/>
            </a:ext>
            <a:ext uri="{147F2762-F138-4A5C-976F-8EAC2B608ADB}">
              <a16:predDERef xmlns:a16="http://schemas.microsoft.com/office/drawing/2014/main" pred="{00000000-0008-0000-0200-00004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4" name="Option Button 80" hidden="1">
          <a:extLst>
            <a:ext uri="{63B3BB69-23CF-44E3-9099-C40C66FF867C}">
              <a14:compatExt xmlns:a14="http://schemas.microsoft.com/office/drawing/2010/main" spid="_x0000_s2128"/>
            </a:ext>
            <a:ext uri="{FF2B5EF4-FFF2-40B4-BE49-F238E27FC236}">
              <a16:creationId xmlns:a16="http://schemas.microsoft.com/office/drawing/2014/main" id="{00000000-0008-0000-0200-000050080000}"/>
            </a:ext>
            <a:ext uri="{147F2762-F138-4A5C-976F-8EAC2B608ADB}">
              <a16:predDERef xmlns:a16="http://schemas.microsoft.com/office/drawing/2014/main" pred="{00000000-0008-0000-0200-00004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3" name="Option Button 81" hidden="1">
          <a:extLst>
            <a:ext uri="{63B3BB69-23CF-44E3-9099-C40C66FF867C}">
              <a14:compatExt xmlns:a14="http://schemas.microsoft.com/office/drawing/2010/main" spid="_x0000_s2129"/>
            </a:ext>
            <a:ext uri="{FF2B5EF4-FFF2-40B4-BE49-F238E27FC236}">
              <a16:creationId xmlns:a16="http://schemas.microsoft.com/office/drawing/2014/main" id="{00000000-0008-0000-0200-000051080000}"/>
            </a:ext>
            <a:ext uri="{147F2762-F138-4A5C-976F-8EAC2B608ADB}">
              <a16:predDERef xmlns:a16="http://schemas.microsoft.com/office/drawing/2014/main" pred="{00000000-0008-0000-0200-00005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2" name="Option Button 82" hidden="1">
          <a:extLst>
            <a:ext uri="{63B3BB69-23CF-44E3-9099-C40C66FF867C}">
              <a14:compatExt xmlns:a14="http://schemas.microsoft.com/office/drawing/2010/main" spid="_x0000_s2130"/>
            </a:ext>
            <a:ext uri="{FF2B5EF4-FFF2-40B4-BE49-F238E27FC236}">
              <a16:creationId xmlns:a16="http://schemas.microsoft.com/office/drawing/2014/main" id="{00000000-0008-0000-0200-000052080000}"/>
            </a:ext>
            <a:ext uri="{147F2762-F138-4A5C-976F-8EAC2B608ADB}">
              <a16:predDERef xmlns:a16="http://schemas.microsoft.com/office/drawing/2014/main" pred="{00000000-0008-0000-0200-000051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28575</xdr:rowOff>
    </xdr:from>
    <xdr:to>
      <xdr:col>32</xdr:col>
      <xdr:colOff>6350</xdr:colOff>
      <xdr:row>54</xdr:row>
      <xdr:rowOff>406400</xdr:rowOff>
    </xdr:to>
    <xdr:sp macro="" textlink="">
      <xdr:nvSpPr>
        <xdr:cNvPr id="21" name="Group Box 83" hidden="1">
          <a:extLst>
            <a:ext uri="{63B3BB69-23CF-44E3-9099-C40C66FF867C}">
              <a14:compatExt xmlns:a14="http://schemas.microsoft.com/office/drawing/2010/main" spid="_x0000_s2131"/>
            </a:ext>
            <a:ext uri="{FF2B5EF4-FFF2-40B4-BE49-F238E27FC236}">
              <a16:creationId xmlns:a16="http://schemas.microsoft.com/office/drawing/2014/main" id="{00000000-0008-0000-0200-000053080000}"/>
            </a:ext>
            <a:ext uri="{147F2762-F138-4A5C-976F-8EAC2B608ADB}">
              <a16:predDERef xmlns:a16="http://schemas.microsoft.com/office/drawing/2014/main" pred="{00000000-0008-0000-0200-000052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20" name="Option Button 84" hidden="1">
          <a:extLst>
            <a:ext uri="{63B3BB69-23CF-44E3-9099-C40C66FF867C}">
              <a14:compatExt xmlns:a14="http://schemas.microsoft.com/office/drawing/2010/main" spid="_x0000_s2132"/>
            </a:ext>
            <a:ext uri="{FF2B5EF4-FFF2-40B4-BE49-F238E27FC236}">
              <a16:creationId xmlns:a16="http://schemas.microsoft.com/office/drawing/2014/main" id="{00000000-0008-0000-0200-000054080000}"/>
            </a:ext>
            <a:ext uri="{147F2762-F138-4A5C-976F-8EAC2B608ADB}">
              <a16:predDERef xmlns:a16="http://schemas.microsoft.com/office/drawing/2014/main" pred="{00000000-0008-0000-0200-00005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9" name="Option Button 85" hidden="1">
          <a:extLst>
            <a:ext uri="{63B3BB69-23CF-44E3-9099-C40C66FF867C}">
              <a14:compatExt xmlns:a14="http://schemas.microsoft.com/office/drawing/2010/main" spid="_x0000_s2133"/>
            </a:ext>
            <a:ext uri="{FF2B5EF4-FFF2-40B4-BE49-F238E27FC236}">
              <a16:creationId xmlns:a16="http://schemas.microsoft.com/office/drawing/2014/main" id="{00000000-0008-0000-0200-000055080000}"/>
            </a:ext>
            <a:ext uri="{147F2762-F138-4A5C-976F-8EAC2B608ADB}">
              <a16:predDERef xmlns:a16="http://schemas.microsoft.com/office/drawing/2014/main" pred="{00000000-0008-0000-0200-00005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8" name="Option Button 86" hidden="1">
          <a:extLst>
            <a:ext uri="{63B3BB69-23CF-44E3-9099-C40C66FF867C}">
              <a14:compatExt xmlns:a14="http://schemas.microsoft.com/office/drawing/2010/main" spid="_x0000_s2134"/>
            </a:ext>
            <a:ext uri="{FF2B5EF4-FFF2-40B4-BE49-F238E27FC236}">
              <a16:creationId xmlns:a16="http://schemas.microsoft.com/office/drawing/2014/main" id="{00000000-0008-0000-0200-000056080000}"/>
            </a:ext>
            <a:ext uri="{147F2762-F138-4A5C-976F-8EAC2B608ADB}">
              <a16:predDERef xmlns:a16="http://schemas.microsoft.com/office/drawing/2014/main" pred="{00000000-0008-0000-0200-00005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7" name="Option Button 87" hidden="1">
          <a:extLst>
            <a:ext uri="{63B3BB69-23CF-44E3-9099-C40C66FF867C}">
              <a14:compatExt xmlns:a14="http://schemas.microsoft.com/office/drawing/2010/main" spid="_x0000_s2135"/>
            </a:ext>
            <a:ext uri="{FF2B5EF4-FFF2-40B4-BE49-F238E27FC236}">
              <a16:creationId xmlns:a16="http://schemas.microsoft.com/office/drawing/2014/main" id="{00000000-0008-0000-0200-000057080000}"/>
            </a:ext>
            <a:ext uri="{147F2762-F138-4A5C-976F-8EAC2B608ADB}">
              <a16:predDERef xmlns:a16="http://schemas.microsoft.com/office/drawing/2014/main" pred="{00000000-0008-0000-0200-000056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28575</xdr:rowOff>
    </xdr:from>
    <xdr:to>
      <xdr:col>32</xdr:col>
      <xdr:colOff>6350</xdr:colOff>
      <xdr:row>59</xdr:row>
      <xdr:rowOff>406400</xdr:rowOff>
    </xdr:to>
    <xdr:sp macro="" textlink="">
      <xdr:nvSpPr>
        <xdr:cNvPr id="16" name="Group Box 88" hidden="1">
          <a:extLst>
            <a:ext uri="{63B3BB69-23CF-44E3-9099-C40C66FF867C}">
              <a14:compatExt xmlns:a14="http://schemas.microsoft.com/office/drawing/2010/main" spid="_x0000_s2136"/>
            </a:ext>
            <a:ext uri="{FF2B5EF4-FFF2-40B4-BE49-F238E27FC236}">
              <a16:creationId xmlns:a16="http://schemas.microsoft.com/office/drawing/2014/main" id="{00000000-0008-0000-0200-000058080000}"/>
            </a:ext>
            <a:ext uri="{147F2762-F138-4A5C-976F-8EAC2B608ADB}">
              <a16:predDERef xmlns:a16="http://schemas.microsoft.com/office/drawing/2014/main" pred="{00000000-0008-0000-0200-000057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5" name="Option Button 89" hidden="1">
          <a:extLst>
            <a:ext uri="{63B3BB69-23CF-44E3-9099-C40C66FF867C}">
              <a14:compatExt xmlns:a14="http://schemas.microsoft.com/office/drawing/2010/main" spid="_x0000_s2137"/>
            </a:ext>
            <a:ext uri="{FF2B5EF4-FFF2-40B4-BE49-F238E27FC236}">
              <a16:creationId xmlns:a16="http://schemas.microsoft.com/office/drawing/2014/main" id="{00000000-0008-0000-0200-000059080000}"/>
            </a:ext>
            <a:ext uri="{147F2762-F138-4A5C-976F-8EAC2B608ADB}">
              <a16:predDERef xmlns:a16="http://schemas.microsoft.com/office/drawing/2014/main" pred="{00000000-0008-0000-0200-000058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4" name="Option Button 90" hidden="1">
          <a:extLst>
            <a:ext uri="{63B3BB69-23CF-44E3-9099-C40C66FF867C}">
              <a14:compatExt xmlns:a14="http://schemas.microsoft.com/office/drawing/2010/main" spid="_x0000_s2138"/>
            </a:ext>
            <a:ext uri="{FF2B5EF4-FFF2-40B4-BE49-F238E27FC236}">
              <a16:creationId xmlns:a16="http://schemas.microsoft.com/office/drawing/2014/main" id="{00000000-0008-0000-0200-00005A080000}"/>
            </a:ext>
            <a:ext uri="{147F2762-F138-4A5C-976F-8EAC2B608ADB}">
              <a16:predDERef xmlns:a16="http://schemas.microsoft.com/office/drawing/2014/main" pred="{00000000-0008-0000-0200-000059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3" name="Option Button 91" hidden="1">
          <a:extLst>
            <a:ext uri="{63B3BB69-23CF-44E3-9099-C40C66FF867C}">
              <a14:compatExt xmlns:a14="http://schemas.microsoft.com/office/drawing/2010/main" spid="_x0000_s2139"/>
            </a:ext>
            <a:ext uri="{FF2B5EF4-FFF2-40B4-BE49-F238E27FC236}">
              <a16:creationId xmlns:a16="http://schemas.microsoft.com/office/drawing/2014/main" id="{00000000-0008-0000-0200-00005B080000}"/>
            </a:ext>
            <a:ext uri="{147F2762-F138-4A5C-976F-8EAC2B608ADB}">
              <a16:predDERef xmlns:a16="http://schemas.microsoft.com/office/drawing/2014/main" pred="{00000000-0008-0000-0200-00005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2" name="Option Button 92" hidden="1">
          <a:extLst>
            <a:ext uri="{63B3BB69-23CF-44E3-9099-C40C66FF867C}">
              <a14:compatExt xmlns:a14="http://schemas.microsoft.com/office/drawing/2010/main" spid="_x0000_s2140"/>
            </a:ext>
            <a:ext uri="{FF2B5EF4-FFF2-40B4-BE49-F238E27FC236}">
              <a16:creationId xmlns:a16="http://schemas.microsoft.com/office/drawing/2014/main" id="{00000000-0008-0000-0200-00005C080000}"/>
            </a:ext>
            <a:ext uri="{147F2762-F138-4A5C-976F-8EAC2B608ADB}">
              <a16:predDERef xmlns:a16="http://schemas.microsoft.com/office/drawing/2014/main" pred="{00000000-0008-0000-0200-00005B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32</xdr:col>
      <xdr:colOff>6350</xdr:colOff>
      <xdr:row>98</xdr:row>
      <xdr:rowOff>64860</xdr:rowOff>
    </xdr:to>
    <xdr:sp macro="" textlink="">
      <xdr:nvSpPr>
        <xdr:cNvPr id="36" name="Group Box 93" hidden="1">
          <a:extLst>
            <a:ext uri="{63B3BB69-23CF-44E3-9099-C40C66FF867C}">
              <a14:compatExt xmlns:a14="http://schemas.microsoft.com/office/drawing/2010/main" spid="_x0000_s2141"/>
            </a:ext>
            <a:ext uri="{FF2B5EF4-FFF2-40B4-BE49-F238E27FC236}">
              <a16:creationId xmlns:a16="http://schemas.microsoft.com/office/drawing/2014/main" id="{00000000-0008-0000-0200-00005D080000}"/>
            </a:ext>
            <a:ext uri="{147F2762-F138-4A5C-976F-8EAC2B608ADB}">
              <a16:predDERef xmlns:a16="http://schemas.microsoft.com/office/drawing/2014/main" pred="{00000000-0008-0000-0200-00005C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5" name="Option Button 94" hidden="1">
          <a:extLst>
            <a:ext uri="{63B3BB69-23CF-44E3-9099-C40C66FF867C}">
              <a14:compatExt xmlns:a14="http://schemas.microsoft.com/office/drawing/2010/main" spid="_x0000_s2142"/>
            </a:ext>
            <a:ext uri="{FF2B5EF4-FFF2-40B4-BE49-F238E27FC236}">
              <a16:creationId xmlns:a16="http://schemas.microsoft.com/office/drawing/2014/main" id="{00000000-0008-0000-0200-00005E080000}"/>
            </a:ext>
            <a:ext uri="{147F2762-F138-4A5C-976F-8EAC2B608ADB}">
              <a16:predDERef xmlns:a16="http://schemas.microsoft.com/office/drawing/2014/main" pred="{00000000-0008-0000-0200-00005D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4" name="Option Button 95" hidden="1">
          <a:extLst>
            <a:ext uri="{63B3BB69-23CF-44E3-9099-C40C66FF867C}">
              <a14:compatExt xmlns:a14="http://schemas.microsoft.com/office/drawing/2010/main" spid="_x0000_s2143"/>
            </a:ext>
            <a:ext uri="{FF2B5EF4-FFF2-40B4-BE49-F238E27FC236}">
              <a16:creationId xmlns:a16="http://schemas.microsoft.com/office/drawing/2014/main" id="{00000000-0008-0000-0200-00005F080000}"/>
            </a:ext>
            <a:ext uri="{147F2762-F138-4A5C-976F-8EAC2B608ADB}">
              <a16:predDERef xmlns:a16="http://schemas.microsoft.com/office/drawing/2014/main" pred="{00000000-0008-0000-0200-00005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3" name="Option Button 96" hidden="1">
          <a:extLst>
            <a:ext uri="{63B3BB69-23CF-44E3-9099-C40C66FF867C}">
              <a14:compatExt xmlns:a14="http://schemas.microsoft.com/office/drawing/2010/main" spid="_x0000_s2144"/>
            </a:ext>
            <a:ext uri="{FF2B5EF4-FFF2-40B4-BE49-F238E27FC236}">
              <a16:creationId xmlns:a16="http://schemas.microsoft.com/office/drawing/2014/main" id="{00000000-0008-0000-0200-000060080000}"/>
            </a:ext>
            <a:ext uri="{147F2762-F138-4A5C-976F-8EAC2B608ADB}">
              <a16:predDERef xmlns:a16="http://schemas.microsoft.com/office/drawing/2014/main" pred="{00000000-0008-0000-0200-00005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2" name="Option Button 97" hidden="1">
          <a:extLst>
            <a:ext uri="{63B3BB69-23CF-44E3-9099-C40C66FF867C}">
              <a14:compatExt xmlns:a14="http://schemas.microsoft.com/office/drawing/2010/main" spid="_x0000_s2145"/>
            </a:ext>
            <a:ext uri="{FF2B5EF4-FFF2-40B4-BE49-F238E27FC236}">
              <a16:creationId xmlns:a16="http://schemas.microsoft.com/office/drawing/2014/main" id="{00000000-0008-0000-0200-000061080000}"/>
            </a:ext>
            <a:ext uri="{147F2762-F138-4A5C-976F-8EAC2B608ADB}">
              <a16:predDERef xmlns:a16="http://schemas.microsoft.com/office/drawing/2014/main" pred="{00000000-0008-0000-0200-00006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28575</xdr:rowOff>
    </xdr:from>
    <xdr:to>
      <xdr:col>32</xdr:col>
      <xdr:colOff>6350</xdr:colOff>
      <xdr:row>100</xdr:row>
      <xdr:rowOff>406400</xdr:rowOff>
    </xdr:to>
    <xdr:sp macro="" textlink="">
      <xdr:nvSpPr>
        <xdr:cNvPr id="2146" name="Group Box 98" hidden="1">
          <a:extLst>
            <a:ext uri="{63B3BB69-23CF-44E3-9099-C40C66FF867C}">
              <a14:compatExt xmlns:a14="http://schemas.microsoft.com/office/drawing/2010/main" spid="_x0000_s2146"/>
            </a:ext>
            <a:ext uri="{FF2B5EF4-FFF2-40B4-BE49-F238E27FC236}">
              <a16:creationId xmlns:a16="http://schemas.microsoft.com/office/drawing/2014/main" id="{00000000-0008-0000-0200-000062080000}"/>
            </a:ext>
            <a:ext uri="{147F2762-F138-4A5C-976F-8EAC2B608ADB}">
              <a16:predDERef xmlns:a16="http://schemas.microsoft.com/office/drawing/2014/main" pred="{00000000-0008-0000-0200-000061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7" name="Option Button 99" hidden="1">
          <a:extLst>
            <a:ext uri="{63B3BB69-23CF-44E3-9099-C40C66FF867C}">
              <a14:compatExt xmlns:a14="http://schemas.microsoft.com/office/drawing/2010/main" spid="_x0000_s2147"/>
            </a:ext>
            <a:ext uri="{FF2B5EF4-FFF2-40B4-BE49-F238E27FC236}">
              <a16:creationId xmlns:a16="http://schemas.microsoft.com/office/drawing/2014/main" id="{00000000-0008-0000-0200-000063080000}"/>
            </a:ext>
            <a:ext uri="{147F2762-F138-4A5C-976F-8EAC2B608ADB}">
              <a16:predDERef xmlns:a16="http://schemas.microsoft.com/office/drawing/2014/main" pred="{00000000-0008-0000-0200-000062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8" name="Option Button 100" hidden="1">
          <a:extLst>
            <a:ext uri="{63B3BB69-23CF-44E3-9099-C40C66FF867C}">
              <a14:compatExt xmlns:a14="http://schemas.microsoft.com/office/drawing/2010/main" spid="_x0000_s2148"/>
            </a:ext>
            <a:ext uri="{FF2B5EF4-FFF2-40B4-BE49-F238E27FC236}">
              <a16:creationId xmlns:a16="http://schemas.microsoft.com/office/drawing/2014/main" id="{00000000-0008-0000-0200-000064080000}"/>
            </a:ext>
            <a:ext uri="{147F2762-F138-4A5C-976F-8EAC2B608ADB}">
              <a16:predDERef xmlns:a16="http://schemas.microsoft.com/office/drawing/2014/main" pred="{00000000-0008-0000-0200-00006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9" name="Option Button 101" hidden="1">
          <a:extLst>
            <a:ext uri="{63B3BB69-23CF-44E3-9099-C40C66FF867C}">
              <a14:compatExt xmlns:a14="http://schemas.microsoft.com/office/drawing/2010/main" spid="_x0000_s2149"/>
            </a:ext>
            <a:ext uri="{FF2B5EF4-FFF2-40B4-BE49-F238E27FC236}">
              <a16:creationId xmlns:a16="http://schemas.microsoft.com/office/drawing/2014/main" id="{00000000-0008-0000-0200-000065080000}"/>
            </a:ext>
            <a:ext uri="{147F2762-F138-4A5C-976F-8EAC2B608ADB}">
              <a16:predDERef xmlns:a16="http://schemas.microsoft.com/office/drawing/2014/main" pred="{00000000-0008-0000-0200-00006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50" name="Option Button 102" hidden="1">
          <a:extLst>
            <a:ext uri="{63B3BB69-23CF-44E3-9099-C40C66FF867C}">
              <a14:compatExt xmlns:a14="http://schemas.microsoft.com/office/drawing/2010/main" spid="_x0000_s2150"/>
            </a:ext>
            <a:ext uri="{FF2B5EF4-FFF2-40B4-BE49-F238E27FC236}">
              <a16:creationId xmlns:a16="http://schemas.microsoft.com/office/drawing/2014/main" id="{00000000-0008-0000-0200-000066080000}"/>
            </a:ext>
            <a:ext uri="{147F2762-F138-4A5C-976F-8EAC2B608ADB}">
              <a16:predDERef xmlns:a16="http://schemas.microsoft.com/office/drawing/2014/main" pred="{00000000-0008-0000-0200-00006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28575</xdr:rowOff>
    </xdr:from>
    <xdr:to>
      <xdr:col>32</xdr:col>
      <xdr:colOff>6350</xdr:colOff>
      <xdr:row>105</xdr:row>
      <xdr:rowOff>419100</xdr:rowOff>
    </xdr:to>
    <xdr:sp macro="" textlink="">
      <xdr:nvSpPr>
        <xdr:cNvPr id="2151" name="Group Box 103" hidden="1">
          <a:extLst>
            <a:ext uri="{63B3BB69-23CF-44E3-9099-C40C66FF867C}">
              <a14:compatExt xmlns:a14="http://schemas.microsoft.com/office/drawing/2010/main" spid="_x0000_s2151"/>
            </a:ext>
            <a:ext uri="{FF2B5EF4-FFF2-40B4-BE49-F238E27FC236}">
              <a16:creationId xmlns:a16="http://schemas.microsoft.com/office/drawing/2014/main" id="{00000000-0008-0000-0200-000067080000}"/>
            </a:ext>
            <a:ext uri="{147F2762-F138-4A5C-976F-8EAC2B608ADB}">
              <a16:predDERef xmlns:a16="http://schemas.microsoft.com/office/drawing/2014/main" pred="{00000000-0008-0000-0200-000066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2" name="Option Button 104" hidden="1">
          <a:extLst>
            <a:ext uri="{63B3BB69-23CF-44E3-9099-C40C66FF867C}">
              <a14:compatExt xmlns:a14="http://schemas.microsoft.com/office/drawing/2010/main" spid="_x0000_s2152"/>
            </a:ext>
            <a:ext uri="{FF2B5EF4-FFF2-40B4-BE49-F238E27FC236}">
              <a16:creationId xmlns:a16="http://schemas.microsoft.com/office/drawing/2014/main" id="{00000000-0008-0000-0200-000068080000}"/>
            </a:ext>
            <a:ext uri="{147F2762-F138-4A5C-976F-8EAC2B608ADB}">
              <a16:predDERef xmlns:a16="http://schemas.microsoft.com/office/drawing/2014/main" pred="{00000000-0008-0000-0200-000067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3" name="Option Button 105" hidden="1">
          <a:extLst>
            <a:ext uri="{63B3BB69-23CF-44E3-9099-C40C66FF867C}">
              <a14:compatExt xmlns:a14="http://schemas.microsoft.com/office/drawing/2010/main" spid="_x0000_s2153"/>
            </a:ext>
            <a:ext uri="{FF2B5EF4-FFF2-40B4-BE49-F238E27FC236}">
              <a16:creationId xmlns:a16="http://schemas.microsoft.com/office/drawing/2014/main" id="{00000000-0008-0000-0200-000069080000}"/>
            </a:ext>
            <a:ext uri="{147F2762-F138-4A5C-976F-8EAC2B608ADB}">
              <a16:predDERef xmlns:a16="http://schemas.microsoft.com/office/drawing/2014/main" pred="{00000000-0008-0000-0200-000068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4" name="Option Button 106" hidden="1">
          <a:extLst>
            <a:ext uri="{63B3BB69-23CF-44E3-9099-C40C66FF867C}">
              <a14:compatExt xmlns:a14="http://schemas.microsoft.com/office/drawing/2010/main" spid="_x0000_s2154"/>
            </a:ext>
            <a:ext uri="{FF2B5EF4-FFF2-40B4-BE49-F238E27FC236}">
              <a16:creationId xmlns:a16="http://schemas.microsoft.com/office/drawing/2014/main" id="{00000000-0008-0000-0200-00006A080000}"/>
            </a:ext>
            <a:ext uri="{147F2762-F138-4A5C-976F-8EAC2B608ADB}">
              <a16:predDERef xmlns:a16="http://schemas.microsoft.com/office/drawing/2014/main" pred="{00000000-0008-0000-0200-000069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5" name="Option Button 107" hidden="1">
          <a:extLst>
            <a:ext uri="{63B3BB69-23CF-44E3-9099-C40C66FF867C}">
              <a14:compatExt xmlns:a14="http://schemas.microsoft.com/office/drawing/2010/main" spid="_x0000_s2155"/>
            </a:ext>
            <a:ext uri="{FF2B5EF4-FFF2-40B4-BE49-F238E27FC236}">
              <a16:creationId xmlns:a16="http://schemas.microsoft.com/office/drawing/2014/main" id="{00000000-0008-0000-0200-00006B080000}"/>
            </a:ext>
            <a:ext uri="{147F2762-F138-4A5C-976F-8EAC2B608ADB}">
              <a16:predDERef xmlns:a16="http://schemas.microsoft.com/office/drawing/2014/main" pred="{00000000-0008-0000-0200-00006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28575</xdr:rowOff>
    </xdr:from>
    <xdr:to>
      <xdr:col>32</xdr:col>
      <xdr:colOff>6350</xdr:colOff>
      <xdr:row>28</xdr:row>
      <xdr:rowOff>419100</xdr:rowOff>
    </xdr:to>
    <xdr:sp macro="" textlink="">
      <xdr:nvSpPr>
        <xdr:cNvPr id="2156" name="Group Box 108" hidden="1">
          <a:extLst>
            <a:ext uri="{63B3BB69-23CF-44E3-9099-C40C66FF867C}">
              <a14:compatExt xmlns:a14="http://schemas.microsoft.com/office/drawing/2010/main" spid="_x0000_s2156"/>
            </a:ext>
            <a:ext uri="{FF2B5EF4-FFF2-40B4-BE49-F238E27FC236}">
              <a16:creationId xmlns:a16="http://schemas.microsoft.com/office/drawing/2014/main" id="{00000000-0008-0000-0200-00006C080000}"/>
            </a:ext>
            <a:ext uri="{147F2762-F138-4A5C-976F-8EAC2B608ADB}">
              <a16:predDERef xmlns:a16="http://schemas.microsoft.com/office/drawing/2014/main" pred="{00000000-0008-0000-0200-00006B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7" name="Option Button 109" hidden="1">
          <a:extLst>
            <a:ext uri="{63B3BB69-23CF-44E3-9099-C40C66FF867C}">
              <a14:compatExt xmlns:a14="http://schemas.microsoft.com/office/drawing/2010/main" spid="_x0000_s2157"/>
            </a:ext>
            <a:ext uri="{FF2B5EF4-FFF2-40B4-BE49-F238E27FC236}">
              <a16:creationId xmlns:a16="http://schemas.microsoft.com/office/drawing/2014/main" id="{00000000-0008-0000-0200-00006D080000}"/>
            </a:ext>
            <a:ext uri="{147F2762-F138-4A5C-976F-8EAC2B608ADB}">
              <a16:predDERef xmlns:a16="http://schemas.microsoft.com/office/drawing/2014/main" pred="{00000000-0008-0000-0200-00006C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8" name="Option Button 110" hidden="1">
          <a:extLst>
            <a:ext uri="{63B3BB69-23CF-44E3-9099-C40C66FF867C}">
              <a14:compatExt xmlns:a14="http://schemas.microsoft.com/office/drawing/2010/main" spid="_x0000_s2158"/>
            </a:ext>
            <a:ext uri="{FF2B5EF4-FFF2-40B4-BE49-F238E27FC236}">
              <a16:creationId xmlns:a16="http://schemas.microsoft.com/office/drawing/2014/main" id="{00000000-0008-0000-0200-00006E080000}"/>
            </a:ext>
            <a:ext uri="{147F2762-F138-4A5C-976F-8EAC2B608ADB}">
              <a16:predDERef xmlns:a16="http://schemas.microsoft.com/office/drawing/2014/main" pred="{00000000-0008-0000-0200-00006D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9" name="Option Button 111" hidden="1">
          <a:extLst>
            <a:ext uri="{63B3BB69-23CF-44E3-9099-C40C66FF867C}">
              <a14:compatExt xmlns:a14="http://schemas.microsoft.com/office/drawing/2010/main" spid="_x0000_s2159"/>
            </a:ext>
            <a:ext uri="{FF2B5EF4-FFF2-40B4-BE49-F238E27FC236}">
              <a16:creationId xmlns:a16="http://schemas.microsoft.com/office/drawing/2014/main" id="{00000000-0008-0000-0200-00006F080000}"/>
            </a:ext>
            <a:ext uri="{147F2762-F138-4A5C-976F-8EAC2B608ADB}">
              <a16:predDERef xmlns:a16="http://schemas.microsoft.com/office/drawing/2014/main" pred="{00000000-0008-0000-0200-00006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60" name="Option Button 112" hidden="1">
          <a:extLst>
            <a:ext uri="{63B3BB69-23CF-44E3-9099-C40C66FF867C}">
              <a14:compatExt xmlns:a14="http://schemas.microsoft.com/office/drawing/2010/main" spid="_x0000_s2160"/>
            </a:ext>
            <a:ext uri="{FF2B5EF4-FFF2-40B4-BE49-F238E27FC236}">
              <a16:creationId xmlns:a16="http://schemas.microsoft.com/office/drawing/2014/main" id="{00000000-0008-0000-0200-000070080000}"/>
            </a:ext>
            <a:ext uri="{147F2762-F138-4A5C-976F-8EAC2B608ADB}">
              <a16:predDERef xmlns:a16="http://schemas.microsoft.com/office/drawing/2014/main" pred="{00000000-0008-0000-0200-00006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66</xdr:row>
      <xdr:rowOff>28575</xdr:rowOff>
    </xdr:from>
    <xdr:ext cx="13420725" cy="381000"/>
    <xdr:sp macro="" textlink="">
      <xdr:nvSpPr>
        <xdr:cNvPr id="6" name="Group Box 113" hidden="1">
          <a:extLst>
            <a:ext uri="{63B3BB69-23CF-44E3-9099-C40C66FF867C}">
              <a14:compatExt xmlns:a14="http://schemas.microsoft.com/office/drawing/2010/main" spid="_x0000_s2161"/>
            </a:ext>
            <a:ext uri="{FF2B5EF4-FFF2-40B4-BE49-F238E27FC236}">
              <a16:creationId xmlns:a16="http://schemas.microsoft.com/office/drawing/2014/main" id="{0EC04E8C-0742-45DF-AEE8-B9CFFA650B6E}"/>
            </a:ext>
            <a:ext uri="{147F2762-F138-4A5C-976F-8EAC2B608ADB}">
              <a16:predDERef xmlns:a16="http://schemas.microsoft.com/office/drawing/2014/main" pred="{00000000-0008-0000-0200-000070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66</xdr:row>
      <xdr:rowOff>104775</xdr:rowOff>
    </xdr:from>
    <xdr:ext cx="1047750" cy="209550"/>
    <xdr:sp macro="" textlink="">
      <xdr:nvSpPr>
        <xdr:cNvPr id="5" name="Option Button 114" hidden="1">
          <a:extLst>
            <a:ext uri="{63B3BB69-23CF-44E3-9099-C40C66FF867C}">
              <a14:compatExt xmlns:a14="http://schemas.microsoft.com/office/drawing/2010/main" spid="_x0000_s2162"/>
            </a:ext>
            <a:ext uri="{FF2B5EF4-FFF2-40B4-BE49-F238E27FC236}">
              <a16:creationId xmlns:a16="http://schemas.microsoft.com/office/drawing/2014/main" id="{6BEEA6EE-EE17-49DE-B00B-4140082A04F2}"/>
            </a:ext>
            <a:ext uri="{147F2762-F138-4A5C-976F-8EAC2B608ADB}">
              <a16:predDERef xmlns:a16="http://schemas.microsoft.com/office/drawing/2014/main" pred="{0EC04E8C-0742-45DF-AEE8-B9CFFA650B6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4" name="Option Button 115" hidden="1">
          <a:extLst>
            <a:ext uri="{63B3BB69-23CF-44E3-9099-C40C66FF867C}">
              <a14:compatExt xmlns:a14="http://schemas.microsoft.com/office/drawing/2010/main" spid="_x0000_s2163"/>
            </a:ext>
            <a:ext uri="{FF2B5EF4-FFF2-40B4-BE49-F238E27FC236}">
              <a16:creationId xmlns:a16="http://schemas.microsoft.com/office/drawing/2014/main" id="{DB4AF23A-8998-434E-8A98-9CB60D43BE55}"/>
            </a:ext>
            <a:ext uri="{147F2762-F138-4A5C-976F-8EAC2B608ADB}">
              <a16:predDERef xmlns:a16="http://schemas.microsoft.com/office/drawing/2014/main" pred="{6BEEA6EE-EE17-49DE-B00B-4140082A04F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3" name="Option Button 116" hidden="1">
          <a:extLst>
            <a:ext uri="{63B3BB69-23CF-44E3-9099-C40C66FF867C}">
              <a14:compatExt xmlns:a14="http://schemas.microsoft.com/office/drawing/2010/main" spid="_x0000_s2164"/>
            </a:ext>
            <a:ext uri="{FF2B5EF4-FFF2-40B4-BE49-F238E27FC236}">
              <a16:creationId xmlns:a16="http://schemas.microsoft.com/office/drawing/2014/main" id="{9F0E6BF7-5720-46A7-85DC-68AC8A503455}"/>
            </a:ext>
            <a:ext uri="{147F2762-F138-4A5C-976F-8EAC2B608ADB}">
              <a16:predDERef xmlns:a16="http://schemas.microsoft.com/office/drawing/2014/main" pred="{DB4AF23A-8998-434E-8A98-9CB60D43BE5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2" name="Option Button 117" hidden="1">
          <a:extLst>
            <a:ext uri="{63B3BB69-23CF-44E3-9099-C40C66FF867C}">
              <a14:compatExt xmlns:a14="http://schemas.microsoft.com/office/drawing/2010/main" spid="_x0000_s2165"/>
            </a:ext>
            <a:ext uri="{FF2B5EF4-FFF2-40B4-BE49-F238E27FC236}">
              <a16:creationId xmlns:a16="http://schemas.microsoft.com/office/drawing/2014/main" id="{55FC68DD-EA04-4969-AAF8-5B107CB98014}"/>
            </a:ext>
            <a:ext uri="{147F2762-F138-4A5C-976F-8EAC2B608ADB}">
              <a16:predDERef xmlns:a16="http://schemas.microsoft.com/office/drawing/2014/main" pred="{9F0E6BF7-5720-46A7-85DC-68AC8A50345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9525</xdr:colOff>
      <xdr:row>2</xdr:row>
      <xdr:rowOff>11431</xdr:rowOff>
    </xdr:from>
    <xdr:to>
      <xdr:col>10</xdr:col>
      <xdr:colOff>600075</xdr:colOff>
      <xdr:row>20</xdr:row>
      <xdr:rowOff>180975</xdr:rowOff>
    </xdr:to>
    <xdr:sp macro="" textlink="">
      <xdr:nvSpPr>
        <xdr:cNvPr id="2" name="TextBox 1">
          <a:extLst>
            <a:ext uri="{FF2B5EF4-FFF2-40B4-BE49-F238E27FC236}">
              <a16:creationId xmlns:a16="http://schemas.microsoft.com/office/drawing/2014/main" id="{955E138E-CF97-4938-8E75-EAEA67BDF62B}"/>
            </a:ext>
            <a:ext uri="{147F2762-F138-4A5C-976F-8EAC2B608ADB}">
              <a16:predDERef xmlns:a16="http://schemas.microsoft.com/office/drawing/2014/main" pred="{6BB5F9AA-D8EC-41B8-93B4-3BD4289AE987}"/>
            </a:ext>
          </a:extLst>
        </xdr:cNvPr>
        <xdr:cNvSpPr txBox="1"/>
      </xdr:nvSpPr>
      <xdr:spPr>
        <a:xfrm>
          <a:off x="9525" y="392431"/>
          <a:ext cx="6686550" cy="3598544"/>
        </a:xfrm>
        <a:prstGeom prst="rect">
          <a:avLst/>
        </a:prstGeom>
        <a:solidFill>
          <a:schemeClr val="accent4">
            <a:lumMod val="20000"/>
            <a:lumOff val="80000"/>
          </a:schemeClr>
        </a:solidFill>
        <a:ln w="9525" cmpd="sng">
          <a:solidFill>
            <a:srgbClr val="F5B2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fr-FR" sz="1100" b="1" i="0">
              <a:solidFill>
                <a:sysClr val="windowText" lastClr="000000"/>
              </a:solidFill>
              <a:latin typeface="+mn-lt"/>
              <a:ea typeface="+mn-ea"/>
              <a:cs typeface="+mn-cs"/>
            </a:rPr>
            <a:t>Comment fonctionne l’outil d’évaluation des risques pour les </a:t>
          </a:r>
          <a:r>
            <a:rPr lang="fr-FR" sz="1100" b="1" i="0" baseline="0">
              <a:solidFill>
                <a:sysClr val="windowText" lastClr="000000"/>
              </a:solidFill>
              <a:latin typeface="+mn-lt"/>
              <a:ea typeface="+mn-ea"/>
              <a:cs typeface="+mn-cs"/>
            </a:rPr>
            <a:t>titulaires de certificats de la chaîne d’approvisionnement</a:t>
          </a:r>
          <a:r>
            <a:rPr lang="fr-FR" sz="1100" b="1" i="0">
              <a:solidFill>
                <a:sysClr val="windowText" lastClr="000000"/>
              </a:solidFill>
              <a:latin typeface="+mn-lt"/>
              <a:ea typeface="+mn-ea"/>
              <a:cs typeface="+mn-cs"/>
            </a:rPr>
            <a:t> ?</a:t>
          </a:r>
        </a:p>
        <a:p>
          <a:pPr fontAlgn="base"/>
          <a:r>
            <a:rPr lang="fr-FR" sz="1100" b="0" i="0">
              <a:solidFill>
                <a:sysClr val="windowText" lastClr="000000"/>
              </a:solidFill>
              <a:latin typeface="+mn-lt"/>
              <a:ea typeface="+mn-ea"/>
              <a:cs typeface="+mn-cs"/>
            </a:rPr>
            <a:t>L’outil d’évaluation des risques s’applique aux titulaires de certificats de la chaîne d’approvisionnement dont le</a:t>
          </a:r>
          <a:r>
            <a:rPr lang="fr-FR" sz="1100" b="0" i="0" baseline="0">
              <a:solidFill>
                <a:sysClr val="windowText" lastClr="000000"/>
              </a:solidFill>
              <a:latin typeface="+mn-lt"/>
              <a:ea typeface="+mn-ea"/>
              <a:cs typeface="+mn-cs"/>
            </a:rPr>
            <a:t> champ d’application </a:t>
          </a:r>
          <a:r>
            <a:rPr lang="fr-FR" sz="1100" b="0" i="0">
              <a:solidFill>
                <a:sysClr val="windowText" lastClr="000000"/>
              </a:solidFill>
              <a:latin typeface="+mn-lt"/>
              <a:ea typeface="+mn-ea"/>
              <a:cs typeface="+mn-cs"/>
            </a:rPr>
            <a:t>comprend des sujets sociaux.</a:t>
          </a:r>
          <a:r>
            <a:rPr lang="fr-FR" sz="1100" b="0" i="0" baseline="0">
              <a:solidFill>
                <a:sysClr val="windowText" lastClr="000000"/>
              </a:solidFill>
              <a:latin typeface="+mn-lt"/>
              <a:ea typeface="+mn-ea"/>
              <a:cs typeface="+mn-cs"/>
            </a:rPr>
            <a:t> </a:t>
          </a:r>
        </a:p>
        <a:p>
          <a:pPr fontAlgn="base"/>
          <a:endParaRPr/>
        </a:p>
        <a:p>
          <a:pPr fontAlgn="base"/>
          <a:r>
            <a:rPr lang="fr-FR" sz="1100" b="0" i="0" baseline="0">
              <a:solidFill>
                <a:sysClr val="windowText" lastClr="000000"/>
              </a:solidFill>
              <a:latin typeface="+mn-lt"/>
              <a:ea typeface="+mn-ea"/>
              <a:cs typeface="+mn-cs"/>
            </a:rPr>
            <a:t>L’outil</a:t>
          </a:r>
          <a:r>
            <a:rPr lang="fr-FR" sz="1100" b="0" i="0">
              <a:solidFill>
                <a:sysClr val="windowText" lastClr="000000"/>
              </a:solidFill>
              <a:latin typeface="+mn-lt"/>
              <a:ea typeface="+mn-ea"/>
              <a:cs typeface="+mn-cs"/>
            </a:rPr>
            <a:t> se présente sous la forme d’un </a:t>
          </a:r>
          <a:r>
            <a:rPr lang="fr-FR" sz="1100" b="0" i="0">
              <a:solidFill>
                <a:schemeClr val="dk1"/>
              </a:solidFill>
              <a:latin typeface="+mn-lt"/>
              <a:ea typeface="+mn-ea"/>
              <a:cs typeface="+mn-cs"/>
            </a:rPr>
            <a:t>questionnaire</a:t>
          </a:r>
          <a:r>
            <a:rPr lang="fr-FR" sz="1100" b="0" i="0" baseline="0">
              <a:solidFill>
                <a:schemeClr val="dk1"/>
              </a:solidFill>
              <a:latin typeface="+mn-lt"/>
              <a:ea typeface="+mn-ea"/>
              <a:cs typeface="+mn-cs"/>
            </a:rPr>
            <a:t> centré sur les exigences applicables. Il </a:t>
          </a:r>
          <a:r>
            <a:rPr lang="fr-FR" sz="1100" b="0" i="0">
              <a:solidFill>
                <a:sysClr val="windowText" lastClr="000000"/>
              </a:solidFill>
              <a:latin typeface="+mn-lt"/>
              <a:ea typeface="+mn-ea"/>
              <a:cs typeface="+mn-cs"/>
            </a:rPr>
            <a:t>contient un ensemble de questions qui aident les titulaires de certificats à définir les risques</a:t>
          </a:r>
          <a:r>
            <a:rPr lang="fr-FR" sz="1100" b="0" i="0" baseline="0">
              <a:solidFill>
                <a:sysClr val="windowText" lastClr="000000"/>
              </a:solidFill>
              <a:latin typeface="+mn-lt"/>
              <a:ea typeface="+mn-ea"/>
              <a:cs typeface="+mn-cs"/>
            </a:rPr>
            <a:t> </a:t>
          </a:r>
          <a:r>
            <a:rPr lang="fr-FR" sz="1100" b="0" i="0">
              <a:solidFill>
                <a:sysClr val="windowText" lastClr="000000"/>
              </a:solidFill>
              <a:latin typeface="+mn-lt"/>
              <a:ea typeface="+mn-ea"/>
              <a:cs typeface="+mn-cs"/>
            </a:rPr>
            <a:t>sociaux et les mesures</a:t>
          </a:r>
          <a:r>
            <a:rPr lang="fr-FR" sz="1100" b="0" i="0" baseline="0">
              <a:solidFill>
                <a:sysClr val="windowText" lastClr="000000"/>
              </a:solidFill>
              <a:latin typeface="+mn-lt"/>
              <a:ea typeface="+mn-ea"/>
              <a:cs typeface="+mn-cs"/>
            </a:rPr>
            <a:t> qu’ils peuvent prendre pour y faire face.</a:t>
          </a:r>
          <a:r>
            <a:rPr lang="fr-FR" sz="1100" b="0" i="0">
              <a:solidFill>
                <a:sysClr val="windowText" lastClr="000000"/>
              </a:solidFill>
              <a:latin typeface="+mn-lt"/>
              <a:ea typeface="+mn-ea"/>
              <a:cs typeface="+mn-cs"/>
            </a:rPr>
            <a:t> </a:t>
          </a:r>
        </a:p>
        <a:p>
          <a:pPr fontAlgn="base"/>
          <a:r>
            <a:rPr lang="fr-FR" sz="1100" b="0" i="0">
              <a:solidFill>
                <a:sysClr val="windowText" lastClr="000000"/>
              </a:solidFill>
              <a:latin typeface="+mn-lt"/>
              <a:ea typeface="+mn-ea"/>
              <a:cs typeface="+mn-cs"/>
            </a:rPr>
            <a:t> </a:t>
          </a:r>
        </a:p>
        <a:p>
          <a:pPr fontAlgn="base"/>
          <a:r>
            <a:rPr lang="fr-FR" sz="1100" b="0" i="0">
              <a:solidFill>
                <a:sysClr val="windowText" lastClr="000000"/>
              </a:solidFill>
              <a:latin typeface="+mn-lt"/>
              <a:ea typeface="+mn-ea"/>
              <a:cs typeface="+mn-cs"/>
            </a:rPr>
            <a:t>Le titulaire du certificat peut répondre à toutes les questions en une seule fois ou enregistrer le questionnaire à n’importe quelle étape et le terminer plus tard. Une fois qu’il a répondu à l’ensemble des questions,</a:t>
          </a:r>
          <a:r>
            <a:rPr lang="fr-FR" sz="1100" b="0" i="0" baseline="0">
              <a:solidFill>
                <a:sysClr val="windowText" lastClr="000000"/>
              </a:solidFill>
              <a:latin typeface="+mn-lt"/>
              <a:ea typeface="+mn-ea"/>
              <a:cs typeface="+mn-cs"/>
            </a:rPr>
            <a:t> le titulaire </a:t>
          </a:r>
          <a:r>
            <a:rPr lang="fr-FR" sz="1100" b="0" i="0">
              <a:solidFill>
                <a:sysClr val="windowText" lastClr="000000"/>
              </a:solidFill>
              <a:latin typeface="+mn-lt"/>
              <a:ea typeface="+mn-ea"/>
              <a:cs typeface="+mn-cs"/>
            </a:rPr>
            <a:t>du certificat dispose d’une vue d’ensemble des mesures d’atténuation recommandées par Rainforest Alliance pour chacun des risques identifiés. Le titulaire du certificat</a:t>
          </a:r>
          <a:r>
            <a:rPr lang="fr-FR" sz="1100" b="0" i="0" baseline="0">
              <a:solidFill>
                <a:sysClr val="windowText" lastClr="000000"/>
              </a:solidFill>
              <a:latin typeface="+mn-lt"/>
              <a:ea typeface="+mn-ea"/>
              <a:cs typeface="+mn-cs"/>
            </a:rPr>
            <a:t> </a:t>
          </a:r>
          <a:r>
            <a:rPr lang="fr-FR" sz="1100" b="0" i="0">
              <a:solidFill>
                <a:sysClr val="windowText" lastClr="000000"/>
              </a:solidFill>
              <a:latin typeface="+mn-lt"/>
              <a:ea typeface="+mn-ea"/>
              <a:cs typeface="+mn-cs"/>
            </a:rPr>
            <a:t>peut également mettre en œuvre ses propres mesures d’atténuation s'il les considère plus appropriées</a:t>
          </a:r>
          <a:r>
            <a:rPr lang="fr-FR" sz="1100" b="0" i="0" baseline="0">
              <a:solidFill>
                <a:sysClr val="windowText" lastClr="000000"/>
              </a:solidFill>
              <a:latin typeface="+mn-lt"/>
              <a:ea typeface="+mn-ea"/>
              <a:cs typeface="+mn-cs"/>
            </a:rPr>
            <a:t> au contexte. Il convient d’inscrire ces mesures dans la colonne ‘G’ : « Mesures personnelles d’atténuation des détenteurs de certificats ».</a:t>
          </a:r>
          <a:r>
            <a:rPr lang="fr-FR" sz="1100" b="0" i="0">
              <a:solidFill>
                <a:sysClr val="windowText" lastClr="000000"/>
              </a:solidFill>
              <a:latin typeface="+mn-lt"/>
              <a:ea typeface="+mn-ea"/>
              <a:cs typeface="+mn-cs"/>
            </a:rPr>
            <a:t> </a:t>
          </a:r>
        </a:p>
        <a:p>
          <a:pPr fontAlgn="base"/>
          <a:endParaRPr/>
        </a:p>
        <a:p>
          <a:pPr fontAlgn="base"/>
          <a:r>
            <a:rPr lang="fr-FR" sz="1100" b="0" i="0">
              <a:solidFill>
                <a:sysClr val="windowText" lastClr="000000"/>
              </a:solidFill>
              <a:latin typeface="+mn-lt"/>
              <a:ea typeface="+mn-ea"/>
              <a:cs typeface="+mn-cs"/>
            </a:rPr>
            <a:t>Il faut </a:t>
          </a:r>
          <a:r>
            <a:rPr lang="fr-FR" sz="1100" b="0" i="0" baseline="0">
              <a:solidFill>
                <a:sysClr val="windowText" lastClr="000000"/>
              </a:solidFill>
              <a:latin typeface="+mn-lt"/>
              <a:ea typeface="+mn-ea"/>
              <a:cs typeface="+mn-cs"/>
            </a:rPr>
            <a:t> intégrer les mesures d’atténuation dans le plan de gestion et assurer le suivi de leur mise en œuvre.</a:t>
          </a:r>
        </a:p>
        <a:p>
          <a:pPr fontAlgn="base"/>
          <a:endParaRPr/>
        </a:p>
        <a:p>
          <a:pPr fontAlgn="base"/>
          <a:r>
            <a:rPr lang="fr-FR" i="1" baseline="0">
              <a:solidFill>
                <a:sysClr val="windowText" lastClr="000000"/>
              </a:solidFill>
            </a:rPr>
            <a:t>L’intégration de l’Outil d’évaluation des risques dans la plateforme de certification numérique est planifiée à une étape ultérieure.</a:t>
          </a:r>
        </a:p>
        <a:p>
          <a:pPr fontAlgn="base"/>
          <a:endParaRPr/>
        </a:p>
        <a:p>
          <a:pPr fontAlgn="base"/>
          <a:endParaRPr/>
        </a:p>
      </xdr:txBody>
    </xdr:sp>
    <xdr:clientData/>
  </xdr:twoCellAnchor>
  <xdr:oneCellAnchor>
    <xdr:from>
      <xdr:col>0</xdr:col>
      <xdr:colOff>66675</xdr:colOff>
      <xdr:row>21</xdr:row>
      <xdr:rowOff>125730</xdr:rowOff>
    </xdr:from>
    <xdr:ext cx="6705599" cy="1712595"/>
    <xdr:sp macro="" textlink="">
      <xdr:nvSpPr>
        <xdr:cNvPr id="3" name="TextBox 2">
          <a:extLst>
            <a:ext uri="{FF2B5EF4-FFF2-40B4-BE49-F238E27FC236}">
              <a16:creationId xmlns:a16="http://schemas.microsoft.com/office/drawing/2014/main" id="{3924827B-6566-4B70-AB68-9BDD1827976A}"/>
            </a:ext>
          </a:extLst>
        </xdr:cNvPr>
        <xdr:cNvSpPr txBox="1"/>
      </xdr:nvSpPr>
      <xdr:spPr>
        <a:xfrm>
          <a:off x="66675" y="4126230"/>
          <a:ext cx="6705599" cy="1712595"/>
        </a:xfrm>
        <a:prstGeom prst="rect">
          <a:avLst/>
        </a:prstGeom>
        <a:solidFill>
          <a:schemeClr val="accent1">
            <a:lumMod val="20000"/>
            <a:lumOff val="80000"/>
          </a:schemeClr>
        </a:solidFill>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fr-FR" sz="1100" b="1">
              <a:solidFill>
                <a:sysClr val="windowText" lastClr="000000"/>
              </a:solidFill>
              <a:latin typeface="+mn-lt"/>
              <a:ea typeface="+mn-ea"/>
              <a:cs typeface="+mn-cs"/>
            </a:rPr>
            <a:t>Outil d’évaluation des risques dans le cadre des exigences de la chaîne d’approvisionnement</a:t>
          </a:r>
        </a:p>
        <a:p>
          <a:r>
            <a:rPr lang="fr-FR" sz="1100">
              <a:solidFill>
                <a:sysClr val="windowText" lastClr="000000"/>
              </a:solidFill>
              <a:latin typeface="+mn-lt"/>
              <a:ea typeface="+mn-ea"/>
              <a:cs typeface="+mn-cs"/>
            </a:rPr>
            <a:t>  </a:t>
          </a:r>
        </a:p>
        <a:p>
          <a:r>
            <a:rPr lang="fr-FR" sz="1100" u="sng">
              <a:solidFill>
                <a:sysClr val="windowText" lastClr="000000"/>
              </a:solidFill>
              <a:latin typeface="+mn-lt"/>
              <a:ea typeface="+mn-ea"/>
              <a:cs typeface="+mn-cs"/>
            </a:rPr>
            <a:t>Évaluation basique des risques :</a:t>
          </a:r>
        </a:p>
        <a:p>
          <a:r>
            <a:rPr lang="fr-FR" sz="1100" b="1">
              <a:solidFill>
                <a:sysClr val="windowText" lastClr="000000"/>
              </a:solidFill>
              <a:latin typeface="+mn-lt"/>
              <a:ea typeface="+mn-ea"/>
              <a:cs typeface="+mn-cs"/>
            </a:rPr>
            <a:t>Exigence 1.6.2 :</a:t>
          </a:r>
          <a:r>
            <a:rPr lang="fr-FR" sz="1100">
              <a:solidFill>
                <a:sysClr val="windowText" lastClr="000000"/>
              </a:solidFill>
              <a:latin typeface="+mn-lt"/>
              <a:ea typeface="+mn-ea"/>
              <a:cs typeface="+mn-cs"/>
            </a:rPr>
            <a:t> </a:t>
          </a:r>
          <a:r>
            <a:rPr lang="fr-FR" sz="1100" b="0" i="0" u="none" strike="noStrike" baseline="0">
              <a:solidFill>
                <a:schemeClr val="tx1"/>
              </a:solidFill>
              <a:latin typeface="+mn-lt"/>
              <a:ea typeface="+mn-ea"/>
              <a:cs typeface="+mn-cs"/>
            </a:rPr>
            <a:t>La personne/comité responsable réalise les activités suivantes : </a:t>
          </a:r>
        </a:p>
        <a:p>
          <a:r>
            <a:rPr lang="fr-FR" sz="1100" b="0" i="0" u="none" strike="noStrike" baseline="0">
              <a:solidFill>
                <a:schemeClr val="tx1"/>
              </a:solidFill>
              <a:latin typeface="+mn-lt"/>
              <a:ea typeface="+mn-ea"/>
              <a:cs typeface="+mn-cs"/>
            </a:rPr>
            <a:t>Mise en œuvre des mesures d’atténuation concernant l’égalité des genres selon l’évaluation de base des risques et intégration de ces mesures dans le plan de gestion.	</a:t>
          </a:r>
        </a:p>
        <a:p>
          <a:r>
            <a:rPr lang="fr-FR" sz="1100" b="1">
              <a:solidFill>
                <a:sysClr val="windowText" lastClr="000000"/>
              </a:solidFill>
              <a:latin typeface="+mn-lt"/>
              <a:ea typeface="+mn-ea"/>
              <a:cs typeface="+mn-cs"/>
            </a:rPr>
            <a:t>Exigence 5.1.2</a:t>
          </a:r>
          <a:r>
            <a:rPr lang="fr-FR" sz="1100">
              <a:solidFill>
                <a:sysClr val="windowText" lastClr="000000"/>
              </a:solidFill>
              <a:latin typeface="+mn-lt"/>
              <a:ea typeface="+mn-ea"/>
              <a:cs typeface="+mn-cs"/>
            </a:rPr>
            <a:t> : </a:t>
          </a:r>
          <a:r>
            <a:rPr lang="fr-FR" sz="1100" b="0" i="0" u="none" strike="noStrike" baseline="0">
              <a:solidFill>
                <a:schemeClr val="tx1"/>
              </a:solidFill>
              <a:latin typeface="+mn-lt"/>
              <a:ea typeface="+mn-ea"/>
              <a:cs typeface="+mn-cs"/>
            </a:rPr>
            <a:t>Le comité de direction ou son représentant intègre les mesures d’atténuation dans le plan de gestion telles qu’identifiées dans l’évaluation de base des risques et met en œuvre les mesures correspondantes. </a:t>
          </a:r>
        </a:p>
        <a:p>
          <a:r>
            <a:rPr lang="fr-FR" sz="1100" b="0" i="0" u="none" strike="noStrike" baseline="0">
              <a:solidFill>
                <a:schemeClr val="tx1"/>
              </a:solidFill>
              <a:latin typeface="+mn-lt"/>
              <a:ea typeface="+mn-ea"/>
              <a:cs typeface="+mn-cs"/>
            </a:rPr>
            <a:t>L’Évaluation de base des risques se déroule au moins tous les trois ans. 	</a:t>
          </a:r>
        </a:p>
      </xdr:txBody>
    </xdr:sp>
    <xdr:clientData/>
  </xdr:oneCellAnchor>
  <xdr:oneCellAnchor>
    <xdr:from>
      <xdr:col>11</xdr:col>
      <xdr:colOff>226695</xdr:colOff>
      <xdr:row>1</xdr:row>
      <xdr:rowOff>180975</xdr:rowOff>
    </xdr:from>
    <xdr:ext cx="6696074" cy="5791200"/>
    <xdr:sp macro="" textlink="">
      <xdr:nvSpPr>
        <xdr:cNvPr id="4" name="TextBox 3">
          <a:extLst>
            <a:ext uri="{FF2B5EF4-FFF2-40B4-BE49-F238E27FC236}">
              <a16:creationId xmlns:a16="http://schemas.microsoft.com/office/drawing/2014/main" id="{88DC8AE4-44FF-40B0-8C81-F881673B75C3}"/>
            </a:ext>
          </a:extLst>
        </xdr:cNvPr>
        <xdr:cNvSpPr txBox="1"/>
      </xdr:nvSpPr>
      <xdr:spPr>
        <a:xfrm>
          <a:off x="6932295" y="371475"/>
          <a:ext cx="6696074" cy="5791200"/>
        </a:xfrm>
        <a:prstGeom prst="rect">
          <a:avLst/>
        </a:prstGeom>
        <a:solidFill>
          <a:schemeClr val="accent6">
            <a:lumMod val="20000"/>
            <a:lumOff val="80000"/>
          </a:schemeClr>
        </a:solidFill>
        <a:ln>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eaLnBrk="1" fontAlgn="auto" latinLnBrk="0" hangingPunct="1"/>
          <a:r>
            <a:rPr lang="fr-FR" sz="1100" b="1" i="0" baseline="0">
              <a:solidFill>
                <a:sysClr val="windowText" lastClr="000000"/>
              </a:solidFill>
              <a:latin typeface="+mn-lt"/>
              <a:ea typeface="+mn-ea"/>
              <a:cs typeface="+mn-cs"/>
            </a:rPr>
            <a:t>Pourquoi créer un outil d’évaluation des risques pour les titulaires de certificats de la chaîne d’approvisionnement</a:t>
          </a:r>
          <a:r>
            <a:rPr lang="fr-FR" sz="1100" b="0" i="0" baseline="0">
              <a:solidFill>
                <a:sysClr val="windowText" lastClr="000000"/>
              </a:solidFill>
              <a:latin typeface="+mn-lt"/>
              <a:ea typeface="+mn-ea"/>
              <a:cs typeface="+mn-cs"/>
            </a:rPr>
            <a:t> ?</a:t>
          </a:r>
        </a:p>
        <a:p>
          <a:pPr eaLnBrk="1" fontAlgn="auto" latinLnBrk="0" hangingPunct="1"/>
          <a:r>
            <a:rPr lang="fr-FR" sz="1100" b="0" i="0" baseline="0">
              <a:solidFill>
                <a:sysClr val="windowText" lastClr="000000"/>
              </a:solidFill>
              <a:latin typeface="+mn-lt"/>
              <a:ea typeface="+mn-ea"/>
              <a:cs typeface="+mn-cs"/>
            </a:rPr>
            <a:t>Le but est d’aider les titulaires de certificats à définir ce qui est nécessaire pour atteindre les objectifs de la norme, parce que :</a:t>
          </a:r>
        </a:p>
        <a:p>
          <a:pPr eaLnBrk="1" fontAlgn="auto" latinLnBrk="0" hangingPunct="1"/>
          <a:r>
            <a:rPr lang="fr-FR" sz="1100" b="0" i="0" baseline="0">
              <a:solidFill>
                <a:sysClr val="windowText" lastClr="000000"/>
              </a:solidFill>
              <a:latin typeface="+mn-lt"/>
              <a:ea typeface="+mn-ea"/>
              <a:cs typeface="+mn-cs"/>
            </a:rPr>
            <a:t>- </a:t>
          </a:r>
          <a:r>
            <a:rPr lang="fr-FR" sz="1100" b="1" i="0" baseline="0">
              <a:solidFill>
                <a:sysClr val="windowText" lastClr="000000"/>
              </a:solidFill>
              <a:latin typeface="+mn-lt"/>
              <a:ea typeface="+mn-ea"/>
              <a:cs typeface="+mn-cs"/>
            </a:rPr>
            <a:t>la norme ne peut pas prévoir toutes les situations spécifiques </a:t>
          </a:r>
          <a:r>
            <a:rPr lang="fr-FR" sz="1100" b="0" i="0" baseline="0">
              <a:solidFill>
                <a:sysClr val="windowText" lastClr="000000"/>
              </a:solidFill>
              <a:latin typeface="+mn-lt"/>
              <a:ea typeface="+mn-ea"/>
              <a:cs typeface="+mn-cs"/>
            </a:rPr>
            <a:t>susceptibles d'apparaître dans un contexte spécifique. </a:t>
          </a:r>
        </a:p>
        <a:p>
          <a:pPr eaLnBrk="1" fontAlgn="auto" latinLnBrk="0" hangingPunct="1"/>
          <a:r>
            <a:rPr lang="fr-FR" sz="1100" b="0" i="0" baseline="0">
              <a:solidFill>
                <a:sysClr val="windowText" lastClr="000000"/>
              </a:solidFill>
              <a:latin typeface="+mn-lt"/>
              <a:ea typeface="+mn-ea"/>
              <a:cs typeface="+mn-cs"/>
            </a:rPr>
            <a:t>- la norme </a:t>
          </a:r>
          <a:r>
            <a:rPr lang="fr-FR" sz="1100" b="1" i="0" baseline="0">
              <a:solidFill>
                <a:sysClr val="windowText" lastClr="000000"/>
              </a:solidFill>
              <a:latin typeface="+mn-lt"/>
              <a:ea typeface="+mn-ea"/>
              <a:cs typeface="+mn-cs"/>
            </a:rPr>
            <a:t>ne peut pas prescrire </a:t>
          </a:r>
          <a:r>
            <a:rPr lang="fr-FR" sz="1100" i="0" baseline="0">
              <a:solidFill>
                <a:sysClr val="windowText" lastClr="000000"/>
              </a:solidFill>
              <a:latin typeface="+mn-lt"/>
              <a:ea typeface="+mn-ea"/>
              <a:cs typeface="+mn-cs"/>
            </a:rPr>
            <a:t>les meilleures pratiques ou </a:t>
          </a:r>
          <a:r>
            <a:rPr lang="fr-FR" sz="1100" b="1" i="0" baseline="0">
              <a:solidFill>
                <a:sysClr val="windowText" lastClr="000000"/>
              </a:solidFill>
              <a:latin typeface="+mn-lt"/>
              <a:ea typeface="+mn-ea"/>
              <a:cs typeface="+mn-cs"/>
            </a:rPr>
            <a:t>les mesures les plus efficaces</a:t>
          </a:r>
          <a:r>
            <a:rPr lang="fr-FR" sz="1100" b="0" i="0" baseline="0">
              <a:solidFill>
                <a:sysClr val="windowText" lastClr="000000"/>
              </a:solidFill>
              <a:latin typeface="+mn-lt"/>
              <a:ea typeface="+mn-ea"/>
              <a:cs typeface="+mn-cs"/>
            </a:rPr>
            <a:t> face à toutes les circonstances. </a:t>
          </a:r>
        </a:p>
        <a:p>
          <a:pPr eaLnBrk="1" fontAlgn="auto" latinLnBrk="0" hangingPunct="1"/>
          <a:endParaRPr/>
        </a:p>
        <a:p>
          <a:pPr eaLnBrk="1" fontAlgn="auto" latinLnBrk="0" hangingPunct="1"/>
          <a:r>
            <a:rPr lang="fr-FR" sz="1100" b="0" i="0" baseline="0">
              <a:solidFill>
                <a:sysClr val="windowText" lastClr="000000"/>
              </a:solidFill>
              <a:latin typeface="+mn-lt"/>
              <a:ea typeface="+mn-ea"/>
              <a:cs typeface="+mn-cs"/>
            </a:rPr>
            <a:t>L’outil est un </a:t>
          </a:r>
          <a:r>
            <a:rPr lang="fr-FR" sz="1100" b="1" i="0" baseline="0">
              <a:solidFill>
                <a:sysClr val="windowText" lastClr="000000"/>
              </a:solidFill>
              <a:latin typeface="+mn-lt"/>
              <a:ea typeface="+mn-ea"/>
              <a:cs typeface="+mn-cs"/>
            </a:rPr>
            <a:t>guide</a:t>
          </a:r>
          <a:r>
            <a:rPr lang="fr-FR" sz="1100" b="0" i="0" baseline="0">
              <a:solidFill>
                <a:sysClr val="windowText" lastClr="000000"/>
              </a:solidFill>
              <a:latin typeface="+mn-lt"/>
              <a:ea typeface="+mn-ea"/>
              <a:cs typeface="+mn-cs"/>
            </a:rPr>
            <a:t> qui doit permettre aux titulaires de certificats d’identifier la meilleure manière de réduire les risques et d'atteindre les objectifs de durabilité en répondant à une série prédéfinie de questions. </a:t>
          </a:r>
        </a:p>
        <a:p>
          <a:pPr eaLnBrk="1" fontAlgn="auto" latinLnBrk="0" hangingPunct="1"/>
          <a:r>
            <a:rPr lang="fr-FR" sz="1100" b="0" i="0" baseline="0">
              <a:solidFill>
                <a:sysClr val="windowText" lastClr="000000"/>
              </a:solidFill>
              <a:latin typeface="+mn-lt"/>
              <a:ea typeface="+mn-ea"/>
              <a:cs typeface="+mn-cs"/>
            </a:rPr>
            <a:t>L’outil </a:t>
          </a:r>
          <a:r>
            <a:rPr lang="fr-FR" sz="1100" b="1" i="0" baseline="0">
              <a:solidFill>
                <a:sysClr val="windowText" lastClr="000000"/>
              </a:solidFill>
              <a:latin typeface="+mn-lt"/>
              <a:ea typeface="+mn-ea"/>
              <a:cs typeface="+mn-cs"/>
            </a:rPr>
            <a:t>n’est pas</a:t>
          </a:r>
          <a:r>
            <a:rPr lang="fr-FR" sz="1100" b="0" i="0" baseline="0">
              <a:solidFill>
                <a:sysClr val="windowText" lastClr="000000"/>
              </a:solidFill>
              <a:latin typeface="+mn-lt"/>
              <a:ea typeface="+mn-ea"/>
              <a:cs typeface="+mn-cs"/>
            </a:rPr>
            <a:t> utilisé pour </a:t>
          </a:r>
          <a:r>
            <a:rPr lang="fr-FR" sz="1100" b="1" i="0" baseline="0">
              <a:solidFill>
                <a:sysClr val="windowText" lastClr="000000"/>
              </a:solidFill>
              <a:latin typeface="+mn-lt"/>
              <a:ea typeface="+mn-ea"/>
              <a:cs typeface="+mn-cs"/>
            </a:rPr>
            <a:t>évaluer</a:t>
          </a:r>
          <a:r>
            <a:rPr lang="fr-FR" sz="1100" b="0" i="0" baseline="0">
              <a:solidFill>
                <a:sysClr val="windowText" lastClr="000000"/>
              </a:solidFill>
              <a:latin typeface="+mn-lt"/>
              <a:ea typeface="+mn-ea"/>
              <a:cs typeface="+mn-cs"/>
            </a:rPr>
            <a:t> </a:t>
          </a:r>
          <a:r>
            <a:rPr lang="fr-FR" sz="1100" b="1" i="0" baseline="0">
              <a:solidFill>
                <a:sysClr val="windowText" lastClr="000000"/>
              </a:solidFill>
              <a:latin typeface="+mn-lt"/>
              <a:ea typeface="+mn-ea"/>
              <a:cs typeface="+mn-cs"/>
            </a:rPr>
            <a:t>le niveau de risque </a:t>
          </a:r>
          <a:r>
            <a:rPr lang="fr-FR" sz="1100" b="0" i="0" baseline="0">
              <a:solidFill>
                <a:sysClr val="windowText" lastClr="000000"/>
              </a:solidFill>
              <a:latin typeface="+mn-lt"/>
              <a:ea typeface="+mn-ea"/>
              <a:cs typeface="+mn-cs"/>
            </a:rPr>
            <a:t>des titulaires de certificats. </a:t>
          </a:r>
        </a:p>
        <a:p>
          <a:pPr fontAlgn="base"/>
          <a:endParaRPr/>
        </a:p>
        <a:p>
          <a:pPr eaLnBrk="1" fontAlgn="auto" latinLnBrk="0" hangingPunct="1"/>
          <a:r>
            <a:rPr lang="fr-FR" sz="1100" b="0" i="0" baseline="0">
              <a:solidFill>
                <a:sysClr val="windowText" lastClr="000000"/>
              </a:solidFill>
              <a:latin typeface="+mn-lt"/>
              <a:ea typeface="+mn-ea"/>
              <a:cs typeface="+mn-cs"/>
            </a:rPr>
            <a:t>À chaque sujet correspond un nombre limité de </a:t>
          </a:r>
          <a:r>
            <a:rPr lang="fr-FR" sz="1100" b="1" i="0" baseline="0">
              <a:solidFill>
                <a:sysClr val="windowText" lastClr="000000"/>
              </a:solidFill>
              <a:latin typeface="+mn-lt"/>
              <a:ea typeface="+mn-ea"/>
              <a:cs typeface="+mn-cs"/>
            </a:rPr>
            <a:t>questions</a:t>
          </a:r>
          <a:r>
            <a:rPr lang="fr-FR" sz="1100" b="0" i="0" baseline="0">
              <a:solidFill>
                <a:sysClr val="windowText" lastClr="000000"/>
              </a:solidFill>
              <a:latin typeface="+mn-lt"/>
              <a:ea typeface="+mn-ea"/>
              <a:cs typeface="+mn-cs"/>
            </a:rPr>
            <a:t> auxquelles il faut répondre par </a:t>
          </a:r>
          <a:r>
            <a:rPr lang="fr-FR" sz="1100" b="1" i="0" baseline="0">
              <a:solidFill>
                <a:sysClr val="windowText" lastClr="000000"/>
              </a:solidFill>
              <a:latin typeface="+mn-lt"/>
              <a:ea typeface="+mn-ea"/>
              <a:cs typeface="+mn-cs"/>
            </a:rPr>
            <a:t>oui</a:t>
          </a:r>
          <a:r>
            <a:rPr lang="fr-FR" sz="1100" b="0" i="0" baseline="0">
              <a:solidFill>
                <a:sysClr val="windowText" lastClr="000000"/>
              </a:solidFill>
              <a:latin typeface="+mn-lt"/>
              <a:ea typeface="+mn-ea"/>
              <a:cs typeface="+mn-cs"/>
            </a:rPr>
            <a:t> ou par </a:t>
          </a:r>
          <a:r>
            <a:rPr lang="fr-FR" sz="1100" b="1" i="0" baseline="0">
              <a:solidFill>
                <a:sysClr val="windowText" lastClr="000000"/>
              </a:solidFill>
              <a:latin typeface="+mn-lt"/>
              <a:ea typeface="+mn-ea"/>
              <a:cs typeface="+mn-cs"/>
            </a:rPr>
            <a:t>non</a:t>
          </a:r>
          <a:r>
            <a:rPr lang="fr-FR" sz="1100" i="0" baseline="0">
              <a:solidFill>
                <a:sysClr val="windowText" lastClr="000000"/>
              </a:solidFill>
              <a:latin typeface="+mn-lt"/>
              <a:ea typeface="+mn-ea"/>
              <a:cs typeface="+mn-cs"/>
            </a:rPr>
            <a:t>.</a:t>
          </a:r>
          <a:r>
            <a:rPr lang="fr-FR" sz="1100" b="0" i="0" baseline="0">
              <a:solidFill>
                <a:sysClr val="windowText" lastClr="000000"/>
              </a:solidFill>
              <a:latin typeface="+mn-lt"/>
              <a:ea typeface="+mn-ea"/>
              <a:cs typeface="+mn-cs"/>
            </a:rPr>
            <a:t>Les </a:t>
          </a:r>
          <a:r>
            <a:rPr lang="fr-FR" sz="1100" b="1" i="0" baseline="0">
              <a:solidFill>
                <a:sysClr val="windowText" lastClr="000000"/>
              </a:solidFill>
              <a:latin typeface="+mn-lt"/>
              <a:ea typeface="+mn-ea"/>
              <a:cs typeface="+mn-cs"/>
            </a:rPr>
            <a:t>mesures d’atténuation</a:t>
          </a:r>
          <a:r>
            <a:rPr lang="fr-FR" sz="1100" b="0" i="0" baseline="0">
              <a:solidFill>
                <a:sysClr val="windowText" lastClr="000000"/>
              </a:solidFill>
              <a:latin typeface="+mn-lt"/>
              <a:ea typeface="+mn-ea"/>
              <a:cs typeface="+mn-cs"/>
            </a:rPr>
            <a:t> </a:t>
          </a:r>
          <a:r>
            <a:rPr lang="fr-FR" sz="1100" b="1" i="0" baseline="0">
              <a:solidFill>
                <a:sysClr val="windowText" lastClr="000000"/>
              </a:solidFill>
              <a:latin typeface="+mn-lt"/>
              <a:ea typeface="+mn-ea"/>
              <a:cs typeface="+mn-cs"/>
            </a:rPr>
            <a:t>recommandées</a:t>
          </a:r>
          <a:r>
            <a:rPr lang="fr-FR" sz="1100" b="0" i="0" baseline="0">
              <a:solidFill>
                <a:sysClr val="windowText" lastClr="000000"/>
              </a:solidFill>
              <a:latin typeface="+mn-lt"/>
              <a:ea typeface="+mn-ea"/>
              <a:cs typeface="+mn-cs"/>
            </a:rPr>
            <a:t> apparaissent en fonction de la réponse à la question posée. </a:t>
          </a:r>
        </a:p>
        <a:p>
          <a:pPr eaLnBrk="1" fontAlgn="auto" latinLnBrk="0" hangingPunct="1"/>
          <a:endParaRPr/>
        </a:p>
        <a:p>
          <a:pPr eaLnBrk="1" fontAlgn="auto" latinLnBrk="0" hangingPunct="1"/>
          <a:r>
            <a:rPr lang="fr-FR" sz="1100" b="1" i="0" baseline="0">
              <a:solidFill>
                <a:sysClr val="windowText" lastClr="000000"/>
              </a:solidFill>
              <a:latin typeface="+mn-lt"/>
              <a:ea typeface="+mn-ea"/>
              <a:cs typeface="+mn-cs"/>
            </a:rPr>
            <a:t>Utilisation de l’outil d’évaluation des risques</a:t>
          </a:r>
        </a:p>
        <a:p>
          <a:pPr eaLnBrk="1" fontAlgn="auto" latinLnBrk="0" hangingPunct="1"/>
          <a:r>
            <a:rPr lang="fr-FR" sz="1100" b="0" i="0" baseline="0">
              <a:solidFill>
                <a:sysClr val="windowText" lastClr="000000"/>
              </a:solidFill>
              <a:latin typeface="+mn-lt"/>
              <a:ea typeface="+mn-ea"/>
              <a:cs typeface="+mn-cs"/>
            </a:rPr>
            <a:t>La direction utilise l’outil d’évaluation des risques pour identifier </a:t>
          </a:r>
          <a:r>
            <a:rPr lang="fr-FR" sz="1100" b="1" i="0" baseline="0">
              <a:solidFill>
                <a:sysClr val="windowText" lastClr="000000"/>
              </a:solidFill>
              <a:latin typeface="+mn-lt"/>
              <a:ea typeface="+mn-ea"/>
              <a:cs typeface="+mn-cs"/>
            </a:rPr>
            <a:t>les mesures à prendre pour atténuer les risques identifiés</a:t>
          </a:r>
          <a:r>
            <a:rPr lang="fr-FR" sz="1100" b="0" i="0" baseline="0">
              <a:solidFill>
                <a:sysClr val="windowText" lastClr="000000"/>
              </a:solidFill>
              <a:latin typeface="+mn-lt"/>
              <a:ea typeface="+mn-ea"/>
              <a:cs typeface="+mn-cs"/>
            </a:rPr>
            <a:t>. Le résultat de l’évaluation des risques est une liste de mesures à inclure dans le</a:t>
          </a:r>
          <a:r>
            <a:rPr lang="fr-FR" sz="1100" i="0" baseline="0">
              <a:solidFill>
                <a:sysClr val="windowText" lastClr="000000"/>
              </a:solidFill>
              <a:latin typeface="+mn-lt"/>
              <a:ea typeface="+mn-ea"/>
              <a:cs typeface="+mn-cs"/>
            </a:rPr>
            <a:t> </a:t>
          </a:r>
          <a:r>
            <a:rPr lang="fr-FR" sz="1100" b="1" i="0" baseline="0">
              <a:solidFill>
                <a:sysClr val="windowText" lastClr="000000"/>
              </a:solidFill>
              <a:latin typeface="+mn-lt"/>
              <a:ea typeface="+mn-ea"/>
              <a:cs typeface="+mn-cs"/>
            </a:rPr>
            <a:t>plan de gestion.</a:t>
          </a:r>
        </a:p>
        <a:p>
          <a:pPr eaLnBrk="1" fontAlgn="auto" latinLnBrk="0" hangingPunct="1"/>
          <a:r>
            <a:rPr lang="fr-FR" sz="1100" b="0" i="0" baseline="0">
              <a:solidFill>
                <a:sysClr val="windowText" lastClr="000000"/>
              </a:solidFill>
              <a:latin typeface="+mn-lt"/>
              <a:ea typeface="+mn-ea"/>
              <a:cs typeface="+mn-cs"/>
            </a:rPr>
            <a:t>Il est </a:t>
          </a:r>
          <a:r>
            <a:rPr lang="fr-FR" sz="1100" b="1" i="0" baseline="0">
              <a:solidFill>
                <a:sysClr val="windowText" lastClr="000000"/>
              </a:solidFill>
              <a:latin typeface="+mn-lt"/>
              <a:ea typeface="+mn-ea"/>
              <a:cs typeface="+mn-cs"/>
            </a:rPr>
            <a:t>impératif</a:t>
          </a:r>
          <a:r>
            <a:rPr lang="fr-FR" sz="1100" b="0" i="0" baseline="0">
              <a:solidFill>
                <a:sysClr val="windowText" lastClr="000000"/>
              </a:solidFill>
              <a:latin typeface="+mn-lt"/>
              <a:ea typeface="+mn-ea"/>
              <a:cs typeface="+mn-cs"/>
            </a:rPr>
            <a:t> de prendre des mesures d’atténuation pour chaque risque identifié. Rainforest Alliance recommande fortement les mesures d’atténuation proposées, mais autorise le recours à d’autres mesures considérées comme plus efficaces dans le contexte spécifique du titulaire du certificat. Si le titulaire du certificat décide de prendre des mesures différentes, il doit justifier ce choix et les intégrer également dans le plan de gestion.</a:t>
          </a:r>
        </a:p>
        <a:p>
          <a:pPr eaLnBrk="1" fontAlgn="auto" latinLnBrk="0" hangingPunct="1"/>
          <a:endParaRPr/>
        </a:p>
        <a:p>
          <a:pPr eaLnBrk="1" fontAlgn="auto" latinLnBrk="0" hangingPunct="1"/>
          <a:r>
            <a:rPr lang="fr-FR" sz="1100" b="0" i="0" baseline="0">
              <a:solidFill>
                <a:sysClr val="windowText" lastClr="000000"/>
              </a:solidFill>
              <a:latin typeface="+mn-lt"/>
              <a:ea typeface="+mn-ea"/>
              <a:cs typeface="+mn-cs"/>
            </a:rPr>
            <a:t>Les </a:t>
          </a:r>
          <a:r>
            <a:rPr lang="fr-FR" sz="1100" b="1" i="0" baseline="0">
              <a:solidFill>
                <a:sysClr val="windowText" lastClr="000000"/>
              </a:solidFill>
              <a:latin typeface="+mn-lt"/>
              <a:ea typeface="+mn-ea"/>
              <a:cs typeface="+mn-cs"/>
            </a:rPr>
            <a:t>auditeurs</a:t>
          </a:r>
          <a:r>
            <a:rPr lang="fr-FR" sz="1100" b="0" i="0" baseline="0">
              <a:solidFill>
                <a:sysClr val="windowText" lastClr="000000"/>
              </a:solidFill>
              <a:latin typeface="+mn-lt"/>
              <a:ea typeface="+mn-ea"/>
              <a:cs typeface="+mn-cs"/>
            </a:rPr>
            <a:t> vérifient par la suite que l’évaluation des risques a été réalisée, ils vérifient la qualité de l’évaluation ainsi que l’intégration des mesures dans le Plan de gestion et leur mise en œuvre. </a:t>
          </a:r>
        </a:p>
        <a:p>
          <a:pPr eaLnBrk="1" fontAlgn="auto" latinLnBrk="0" hangingPunct="1"/>
          <a:endParaRPr/>
        </a:p>
        <a:p>
          <a:pPr eaLnBrk="1" fontAlgn="auto" latinLnBrk="0" hangingPunct="1"/>
          <a:r>
            <a:rPr lang="fr-FR" sz="1100" b="0" i="0" baseline="0">
              <a:solidFill>
                <a:sysClr val="windowText" lastClr="000000"/>
              </a:solidFill>
              <a:latin typeface="+mn-lt"/>
              <a:ea typeface="+mn-ea"/>
              <a:cs typeface="+mn-cs"/>
            </a:rPr>
            <a:t>Les </a:t>
          </a:r>
          <a:r>
            <a:rPr lang="fr-FR" sz="1100" b="1" i="0" baseline="0">
              <a:solidFill>
                <a:sysClr val="windowText" lastClr="000000"/>
              </a:solidFill>
              <a:latin typeface="+mn-lt"/>
              <a:ea typeface="+mn-ea"/>
              <a:cs typeface="+mn-cs"/>
            </a:rPr>
            <a:t>données</a:t>
          </a:r>
          <a:r>
            <a:rPr lang="fr-FR" sz="1100" b="0" i="0" baseline="0">
              <a:solidFill>
                <a:sysClr val="windowText" lastClr="000000"/>
              </a:solidFill>
              <a:latin typeface="+mn-lt"/>
              <a:ea typeface="+mn-ea"/>
              <a:cs typeface="+mn-cs"/>
            </a:rPr>
            <a:t> d’évaluation des risques seront partagées par Rainforest Alliance avec des tiers, uniquement pour des raisons d’audit à l’exclusion de tout autre usage externe. Rainforest Alliance peut utiliser les données de l’outil d’évaluation des risques à des fins d’apprentissage, d’adaptation et d’amélioration de l’outil, par exemple  pour ajouter des recommandations de mesures.</a:t>
          </a:r>
        </a:p>
        <a:p>
          <a:pPr fontAlgn="base"/>
          <a:endParaRPr/>
        </a:p>
        <a:p>
          <a:pPr fontAlgn="base"/>
          <a:endParaRPr/>
        </a:p>
        <a:p>
          <a:pPr fontAlgn="base"/>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Henriette Walz" id="{66B29046-409F-4C98-8CDF-7249A55BDB22}" userId="S::hwalz@ra.org::8b4f88d3-5841-4a00-8970-4df567d980f6" providerId="AD"/>
  <person displayName="Maggie Chin" id="{783882C5-1F5B-4499-870B-FAAD0F47027A}" userId="S::mchin@ra.org::9d891907-8c88-452f-be0b-5716a313ad6e" providerId="AD"/>
  <person displayName="Kunera Moore" id="{18A24C2E-2584-43CD-B719-4841DF78E602}" userId="S::KMoore@ra.org::83dad768-c949-43d2-a23f-86d40e449d0e" providerId="AD"/>
  <person displayName="Rens Rutten" id="{D70C7BD0-8688-4390-B031-28CEEC54110D}" userId="S::rrutten@ra.org::8c5740b9-fb75-405c-b053-5b74d6783a17" providerId="AD"/>
  <person displayName="Martin Noponen" id="{26CE0772-FC01-4A4D-9C5A-7D020A48EEF3}" userId="S::mnoponen@ra.org::40d57d67-7e7e-46d6-a63b-d2a8af0cd633" providerId="AD"/>
  <person displayName="Meike Engelhard" id="{C8B2BD1E-4883-4CFE-9F0D-37F6F9D42830}" userId="S::mengelhard@ra.org::e2485ffe-5f14-40c0-a5ff-997b1ec734a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24" dT="2020-04-08T07:54:46.74" personId="{66B29046-409F-4C98-8CDF-7249A55BDB22}" id="{D77DCAB9-A0FF-4DCB-AA30-8E42EAEBFD83}">
    <text xml:space="preserve">I think we should ask this for everyone - because it is likely that there are areas of natural ecosystems / natural vegetation cover that are not connected; to me this is one of the priorities where a lot could be gained, also looking at the question of Anneke "What are the priorities for groups". So I would delete the "other variable" here
</text>
  </threadedComment>
  <threadedComment ref="F126" dT="2020-04-08T07:57:04.61" personId="{66B29046-409F-4C98-8CDF-7249A55BDB22}" id="{B1906721-8D61-4664-8B67-8D8FA813BAF1}">
    <text xml:space="preserve">To me this is part of the overall plan to comply with 4.2.3; i.e. those natural ecosystems/vegetation that doesn't contain local species should move towards those and can then be counted as "natural vegetation".
But I am wondering now, whether we shouldn't make this question then more broad, and leading to all management actions to reach 4.2.3; for example, we could ask "Do you expect to have percentages of natural vegetation that are close to 10/15%"; and then we coudl give examples like "identify areas that you could restore" etc. But it would be a bit double with the 4.2.4 - But I am now wondering whether this wouldn't be the cleaner option. Rens, happy to talk about this if you want!
</text>
  </threadedComment>
</ThreadedComments>
</file>

<file path=xl/threadedComments/threadedComment2.xml><?xml version="1.0" encoding="utf-8"?>
<ThreadedComments xmlns="http://schemas.microsoft.com/office/spreadsheetml/2018/threadedcomments" xmlns:x="http://schemas.openxmlformats.org/spreadsheetml/2006/main">
  <threadedComment ref="I108" dT="2020-01-08T13:37:47.48" personId="{26CE0772-FC01-4A4D-9C5A-7D020A48EEF3}" id="{20AD0091-992C-4E2A-9B8F-2790C5B54A87}">
    <text xml:space="preserve">All for now. But once the CC risk/impact screening has been automated and included only countries that fall into med or high risk categories need to fulfil these criteria
</text>
  </threadedComment>
</ThreadedComments>
</file>

<file path=xl/threadedComments/threadedComment3.xml><?xml version="1.0" encoding="utf-8"?>
<ThreadedComments xmlns="http://schemas.microsoft.com/office/spreadsheetml/2018/threadedcomments" xmlns:x="http://schemas.openxmlformats.org/spreadsheetml/2006/main">
  <threadedComment ref="F66" dT="2020-02-19T09:32:20.47" personId="{D70C7BD0-8688-4390-B031-28CEEC54110D}" id="{D86FAB50-634A-4CDC-8C53-5B6E1B17CEE8}">
    <text xml:space="preserve">Questions that need to be verified at the level of the group members should be included in the internal inspection tool, not in this risk assessment
</text>
  </threadedComment>
  <threadedComment ref="I69" dT="2020-01-09T13:45:09.73" personId="{C8B2BD1E-4883-4CFE-9F0D-37F6F9D42830}" id="{5EE8AF6A-808A-4DED-AD6A-D677A866E58F}">
    <text xml:space="preserve">Group management does not have the list of under 18 aged group member workers or uner 18 family of group member workers. This could be potentially done in year 1 with under 18 children of group members.
</text>
  </threadedComment>
  <threadedComment ref="I69" dT="2020-02-17T17:17:15.24" personId="{18A24C2E-2584-43CD-B719-4841DF78E602}" id="{BC2FCEC7-73F3-4DDC-95FD-2C2291DE59AD}" parentId="{5EE8AF6A-808A-4DED-AD6A-D677A866E58F}">
    <text>meike totally agree - have changed</text>
  </threadedComment>
  <threadedComment ref="F70" dT="2020-02-19T09:32:45.55" personId="{D70C7BD0-8688-4390-B031-28CEEC54110D}" id="{6E9FE9EA-A14B-4934-808B-1A9E3C98243A}">
    <text xml:space="preserve">question for internal inspection
</text>
  </threadedComment>
  <threadedComment ref="F92" dT="2020-02-19T09:33:51.97" personId="{D70C7BD0-8688-4390-B031-28CEEC54110D}" id="{DAB26FE6-4FDB-4EB8-B49D-D6C21318F750}">
    <text xml:space="preserve">do we need to specify what is 'significant'?
</text>
  </threadedComment>
  <threadedComment ref="H128" dT="2020-01-08T13:37:47.48" personId="{26CE0772-FC01-4A4D-9C5A-7D020A48EEF3}" id="{FD94C455-077A-4296-B815-6804B40ABE96}">
    <text xml:space="preserve">All for now. But once the CC risk/impact screening has been automated and included only countries that fall into med or high risk categories need to fulfil these criteria
</text>
  </threadedComment>
</ThreadedComments>
</file>

<file path=xl/threadedComments/threadedComment4.xml><?xml version="1.0" encoding="utf-8"?>
<ThreadedComments xmlns="http://schemas.microsoft.com/office/spreadsheetml/2018/threadedcomments" xmlns:x="http://schemas.openxmlformats.org/spreadsheetml/2006/main">
  <threadedComment ref="G5" dT="2021-03-10T12:09:41.48" personId="{783882C5-1F5B-4499-870B-FAAD0F47027A}" id="{731662C4-3BAE-4579-9757-A78E50AC4883}">
    <text>FYI, it's the same as "question" in Chinese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DAEE-1C7B-4F27-8637-CBDAF3D12D31}">
  <sheetPr codeName="Sheet2"/>
  <dimension ref="K1:R19"/>
  <sheetViews>
    <sheetView workbookViewId="0">
      <selection activeCell="K4" sqref="K4"/>
    </sheetView>
  </sheetViews>
  <sheetFormatPr defaultRowHeight="15" x14ac:dyDescent="0.25"/>
  <cols>
    <col min="16" max="17" width="9.140625" style="17"/>
  </cols>
  <sheetData>
    <row r="1" spans="11:18" x14ac:dyDescent="0.25">
      <c r="P1" s="97" t="s">
        <v>0</v>
      </c>
      <c r="Q1" s="97" t="s">
        <v>1</v>
      </c>
    </row>
    <row r="2" spans="11:18" x14ac:dyDescent="0.25">
      <c r="K2" s="33">
        <f>'Group risk assessment L0'!A2</f>
        <v>0</v>
      </c>
      <c r="L2" s="1"/>
      <c r="M2" s="1"/>
      <c r="N2" s="1"/>
      <c r="O2" s="1"/>
      <c r="P2" s="35" t="e">
        <f>'Group risk assessment L0'!#REF!</f>
        <v>#REF!</v>
      </c>
      <c r="Q2" s="97" t="e">
        <f t="shared" ref="Q2:Q12" si="0">IF(P2&gt;0.25, IF(P2&gt;0.5,IF(P2&gt;0.75,3,2),1),0)</f>
        <v>#REF!</v>
      </c>
      <c r="R2" s="40" t="e">
        <f>IF(Q2=1,L$17,IF(Q2=2,L$18,IF(Q2=3,L$19,L$16)))</f>
        <v>#REF!</v>
      </c>
    </row>
    <row r="3" spans="11:18" x14ac:dyDescent="0.25">
      <c r="K3" s="33" t="e">
        <f>#REF!</f>
        <v>#REF!</v>
      </c>
      <c r="L3" s="1"/>
      <c r="M3" s="1"/>
      <c r="N3" s="1"/>
      <c r="O3" s="1"/>
      <c r="P3" s="35" t="e">
        <f>#REF!</f>
        <v>#REF!</v>
      </c>
      <c r="Q3" s="97" t="e">
        <f t="shared" si="0"/>
        <v>#REF!</v>
      </c>
      <c r="R3" s="40" t="e">
        <f t="shared" ref="R3:R12" si="1">IF(Q3=1,L$17,IF(Q3=2,L$18,IF(Q3=3,L$19,L$16)))</f>
        <v>#REF!</v>
      </c>
    </row>
    <row r="4" spans="11:18" x14ac:dyDescent="0.25">
      <c r="K4" s="33" t="e">
        <f>#REF!</f>
        <v>#REF!</v>
      </c>
      <c r="L4" s="1"/>
      <c r="M4" s="1"/>
      <c r="N4" s="1"/>
      <c r="O4" s="1"/>
      <c r="P4" s="35" t="e">
        <f>#REF!</f>
        <v>#REF!</v>
      </c>
      <c r="Q4" s="97" t="e">
        <f t="shared" si="0"/>
        <v>#REF!</v>
      </c>
      <c r="R4" s="40" t="e">
        <f t="shared" si="1"/>
        <v>#REF!</v>
      </c>
    </row>
    <row r="5" spans="11:18" x14ac:dyDescent="0.25">
      <c r="K5" s="33" t="e">
        <f>#REF!</f>
        <v>#REF!</v>
      </c>
      <c r="L5" s="1"/>
      <c r="M5" s="1"/>
      <c r="N5" s="1"/>
      <c r="O5" s="1"/>
      <c r="P5" s="35" t="e">
        <f>#REF!</f>
        <v>#REF!</v>
      </c>
      <c r="Q5" s="97" t="e">
        <f t="shared" si="0"/>
        <v>#REF!</v>
      </c>
      <c r="R5" s="40" t="e">
        <f t="shared" si="1"/>
        <v>#REF!</v>
      </c>
    </row>
    <row r="6" spans="11:18" x14ac:dyDescent="0.25">
      <c r="K6" s="33" t="e">
        <f>#REF!</f>
        <v>#REF!</v>
      </c>
      <c r="L6" s="1"/>
      <c r="M6" s="1"/>
      <c r="N6" s="1"/>
      <c r="O6" s="1"/>
      <c r="P6" s="35" t="e">
        <f>#REF!</f>
        <v>#REF!</v>
      </c>
      <c r="Q6" s="97" t="e">
        <f t="shared" si="0"/>
        <v>#REF!</v>
      </c>
      <c r="R6" s="40" t="e">
        <f t="shared" si="1"/>
        <v>#REF!</v>
      </c>
    </row>
    <row r="7" spans="11:18" x14ac:dyDescent="0.25">
      <c r="K7" s="1" t="e">
        <f>#REF!</f>
        <v>#REF!</v>
      </c>
      <c r="L7" s="1"/>
      <c r="M7" s="1"/>
      <c r="N7" s="1"/>
      <c r="O7" s="1"/>
      <c r="P7" s="35" t="e">
        <f>#REF!</f>
        <v>#REF!</v>
      </c>
      <c r="Q7" s="97" t="e">
        <f t="shared" si="0"/>
        <v>#REF!</v>
      </c>
      <c r="R7" s="40" t="e">
        <f t="shared" si="1"/>
        <v>#REF!</v>
      </c>
    </row>
    <row r="8" spans="11:18" x14ac:dyDescent="0.25">
      <c r="K8" s="1" t="e">
        <f>#REF!</f>
        <v>#REF!</v>
      </c>
      <c r="L8" s="1"/>
      <c r="M8" s="1"/>
      <c r="N8" s="1"/>
      <c r="O8" s="1"/>
      <c r="P8" s="35" t="e">
        <f>#REF!</f>
        <v>#REF!</v>
      </c>
      <c r="Q8" s="97" t="e">
        <f t="shared" si="0"/>
        <v>#REF!</v>
      </c>
      <c r="R8" s="40" t="e">
        <f t="shared" si="1"/>
        <v>#REF!</v>
      </c>
    </row>
    <row r="9" spans="11:18" x14ac:dyDescent="0.25">
      <c r="K9" s="1" t="e">
        <f>#REF!</f>
        <v>#REF!</v>
      </c>
      <c r="L9" s="1"/>
      <c r="M9" s="1"/>
      <c r="N9" s="1"/>
      <c r="O9" s="1"/>
      <c r="P9" s="35" t="e">
        <f>#REF!</f>
        <v>#REF!</v>
      </c>
      <c r="Q9" s="97" t="e">
        <f t="shared" si="0"/>
        <v>#REF!</v>
      </c>
      <c r="R9" s="40" t="e">
        <f t="shared" si="1"/>
        <v>#REF!</v>
      </c>
    </row>
    <row r="10" spans="11:18" x14ac:dyDescent="0.25">
      <c r="K10" s="1" t="e">
        <f>#REF!</f>
        <v>#REF!</v>
      </c>
      <c r="L10" s="1"/>
      <c r="M10" s="1"/>
      <c r="N10" s="1"/>
      <c r="O10" s="1"/>
      <c r="P10" s="35" t="e">
        <f>#REF!</f>
        <v>#REF!</v>
      </c>
      <c r="Q10" s="97" t="e">
        <f t="shared" si="0"/>
        <v>#REF!</v>
      </c>
      <c r="R10" s="40" t="e">
        <f t="shared" si="1"/>
        <v>#REF!</v>
      </c>
    </row>
    <row r="11" spans="11:18" x14ac:dyDescent="0.25">
      <c r="K11" s="1" t="e">
        <f>#REF!</f>
        <v>#REF!</v>
      </c>
      <c r="L11" s="1"/>
      <c r="M11" s="1"/>
      <c r="N11" s="1"/>
      <c r="O11" s="1"/>
      <c r="P11" s="38" t="e">
        <f>#REF!</f>
        <v>#REF!</v>
      </c>
      <c r="Q11" s="39" t="e">
        <f t="shared" si="0"/>
        <v>#REF!</v>
      </c>
      <c r="R11" s="43" t="e">
        <f t="shared" si="1"/>
        <v>#REF!</v>
      </c>
    </row>
    <row r="12" spans="11:18" x14ac:dyDescent="0.25">
      <c r="P12" s="35" t="e">
        <f>AVERAGE(P2:P11)</f>
        <v>#REF!</v>
      </c>
      <c r="Q12" s="97" t="e">
        <f t="shared" si="0"/>
        <v>#REF!</v>
      </c>
      <c r="R12" s="40" t="e">
        <f t="shared" si="1"/>
        <v>#REF!</v>
      </c>
    </row>
    <row r="15" spans="11:18" x14ac:dyDescent="0.25">
      <c r="K15" s="41" t="s">
        <v>1</v>
      </c>
      <c r="P15" s="97"/>
      <c r="Q15" s="97"/>
    </row>
    <row r="16" spans="11:18" x14ac:dyDescent="0.25">
      <c r="K16" s="41">
        <v>0</v>
      </c>
      <c r="L16" s="42">
        <v>0</v>
      </c>
      <c r="P16" s="97"/>
      <c r="Q16" s="97"/>
    </row>
    <row r="17" spans="11:12" x14ac:dyDescent="0.25">
      <c r="K17" s="41">
        <v>1</v>
      </c>
      <c r="L17" s="40" t="s">
        <v>2</v>
      </c>
    </row>
    <row r="18" spans="11:12" x14ac:dyDescent="0.25">
      <c r="K18" s="41">
        <v>2</v>
      </c>
      <c r="L18" s="40" t="s">
        <v>3</v>
      </c>
    </row>
    <row r="19" spans="11:12" x14ac:dyDescent="0.25">
      <c r="K19" s="41">
        <v>3</v>
      </c>
      <c r="L19" s="40" t="s">
        <v>4</v>
      </c>
    </row>
  </sheetData>
  <conditionalFormatting sqref="R2">
    <cfRule type="cellIs" dxfId="7" priority="5" operator="equal">
      <formula>$L$19</formula>
    </cfRule>
    <cfRule type="cellIs" dxfId="6" priority="9" operator="equal">
      <formula>$L$16</formula>
    </cfRule>
    <cfRule type="cellIs" dxfId="5" priority="12" operator="equal">
      <formula>$L$18</formula>
    </cfRule>
    <cfRule type="cellIs" dxfId="4" priority="13" operator="equal">
      <formula>$L$17</formula>
    </cfRule>
  </conditionalFormatting>
  <conditionalFormatting sqref="R3:R12">
    <cfRule type="cellIs" dxfId="3" priority="1" operator="equal">
      <formula>$L$19</formula>
    </cfRule>
    <cfRule type="cellIs" dxfId="2" priority="2" operator="equal">
      <formula>$L$16</formula>
    </cfRule>
    <cfRule type="cellIs" dxfId="1" priority="3" operator="equal">
      <formula>$L$18</formula>
    </cfRule>
    <cfRule type="cellIs" dxfId="0" priority="4" operator="equal">
      <formula>$L$17</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1CEC-EEE2-4EAF-B699-F943BE27E848}">
  <sheetPr codeName="Sheet3">
    <tabColor rgb="FFFFC000"/>
  </sheetPr>
  <dimension ref="A1:J366"/>
  <sheetViews>
    <sheetView zoomScale="80" zoomScaleNormal="80" workbookViewId="0">
      <pane xSplit="1" ySplit="2" topLeftCell="F6" activePane="bottomRight" state="frozen"/>
      <selection pane="topRight" activeCell="C1" sqref="C1"/>
      <selection pane="bottomLeft" activeCell="A8" sqref="A8"/>
      <selection pane="bottomRight" activeCell="I147" sqref="I147"/>
    </sheetView>
  </sheetViews>
  <sheetFormatPr defaultColWidth="9.140625" defaultRowHeight="12.75" x14ac:dyDescent="0.2"/>
  <cols>
    <col min="1" max="1" width="9.85546875" style="94" customWidth="1"/>
    <col min="2" max="2" width="19.140625" style="202" customWidth="1"/>
    <col min="3" max="3" width="18.42578125" style="217" customWidth="1"/>
    <col min="4" max="4" width="21.7109375" style="210" customWidth="1"/>
    <col min="5" max="5" width="15.42578125" style="102" customWidth="1"/>
    <col min="6" max="6" width="49" style="93" customWidth="1"/>
    <col min="7" max="7" width="11.5703125" style="94" customWidth="1"/>
    <col min="8" max="8" width="15.85546875" style="93" customWidth="1"/>
    <col min="9" max="9" width="129" style="94" customWidth="1"/>
    <col min="10" max="10" width="75.140625" style="94" customWidth="1"/>
    <col min="11" max="16384" width="9.140625" style="94"/>
  </cols>
  <sheetData>
    <row r="1" spans="1:10" ht="45.75" customHeight="1" x14ac:dyDescent="0.2">
      <c r="A1" s="294"/>
      <c r="C1" s="404"/>
      <c r="F1" s="293"/>
      <c r="G1" s="294"/>
      <c r="H1" s="293"/>
      <c r="I1" s="294"/>
      <c r="J1" s="294"/>
    </row>
    <row r="2" spans="1:10" ht="47.25" x14ac:dyDescent="0.2">
      <c r="A2" s="95" t="s">
        <v>5</v>
      </c>
      <c r="B2" s="219" t="s">
        <v>6</v>
      </c>
      <c r="C2" s="211" t="s">
        <v>7</v>
      </c>
      <c r="D2" s="203" t="s">
        <v>8</v>
      </c>
      <c r="E2" s="101" t="s">
        <v>9</v>
      </c>
      <c r="F2" s="267" t="s">
        <v>10</v>
      </c>
      <c r="G2" s="95" t="s">
        <v>11</v>
      </c>
      <c r="H2" s="271" t="s">
        <v>12</v>
      </c>
      <c r="I2" s="96" t="s">
        <v>13</v>
      </c>
      <c r="J2" s="218" t="s">
        <v>14</v>
      </c>
    </row>
    <row r="3" spans="1:10" s="76" customFormat="1" ht="20.25" customHeight="1" x14ac:dyDescent="0.25">
      <c r="A3" s="177"/>
      <c r="B3" s="201" t="s">
        <v>15</v>
      </c>
      <c r="C3" s="212"/>
      <c r="D3" s="204"/>
      <c r="E3" s="179"/>
      <c r="F3" s="268"/>
      <c r="G3" s="177"/>
      <c r="H3" s="268"/>
      <c r="I3" s="177"/>
      <c r="J3" s="80"/>
    </row>
    <row r="4" spans="1:10" s="75" customFormat="1" ht="34.5" customHeight="1" x14ac:dyDescent="0.25">
      <c r="A4" s="651">
        <v>1</v>
      </c>
      <c r="B4" s="449"/>
      <c r="C4" s="214" t="s">
        <v>16</v>
      </c>
      <c r="D4" s="208"/>
      <c r="E4" s="460" t="s">
        <v>17</v>
      </c>
      <c r="F4" s="670" t="s">
        <v>18</v>
      </c>
      <c r="G4" s="76" t="s">
        <v>19</v>
      </c>
      <c r="H4" s="466" t="s">
        <v>20</v>
      </c>
      <c r="I4" s="256" t="s">
        <v>21</v>
      </c>
      <c r="J4" s="76"/>
    </row>
    <row r="5" spans="1:10" ht="48" customHeight="1" x14ac:dyDescent="0.2">
      <c r="A5" s="652"/>
      <c r="B5" s="449"/>
      <c r="C5" s="214" t="s">
        <v>16</v>
      </c>
      <c r="D5" s="208"/>
      <c r="E5" s="460" t="s">
        <v>17</v>
      </c>
      <c r="F5" s="671"/>
      <c r="G5" s="77" t="s">
        <v>22</v>
      </c>
      <c r="H5" s="147" t="s">
        <v>23</v>
      </c>
      <c r="I5" s="77" t="s">
        <v>24</v>
      </c>
      <c r="J5" s="188" t="s">
        <v>25</v>
      </c>
    </row>
    <row r="6" spans="1:10" ht="33.75" customHeight="1" x14ac:dyDescent="0.2">
      <c r="A6" s="652"/>
      <c r="B6" s="449"/>
      <c r="C6" s="214" t="s">
        <v>26</v>
      </c>
      <c r="D6" s="208"/>
      <c r="E6" s="460" t="s">
        <v>17</v>
      </c>
      <c r="F6" s="670" t="s">
        <v>27</v>
      </c>
      <c r="G6" s="76" t="s">
        <v>19</v>
      </c>
      <c r="H6" s="466" t="s">
        <v>20</v>
      </c>
      <c r="I6" s="256" t="s">
        <v>21</v>
      </c>
      <c r="J6" s="188"/>
    </row>
    <row r="7" spans="1:10" ht="52.5" customHeight="1" x14ac:dyDescent="0.2">
      <c r="A7" s="653"/>
      <c r="B7" s="449"/>
      <c r="C7" s="214" t="s">
        <v>26</v>
      </c>
      <c r="D7" s="208"/>
      <c r="E7" s="460" t="s">
        <v>17</v>
      </c>
      <c r="F7" s="671"/>
      <c r="G7" s="77" t="s">
        <v>22</v>
      </c>
      <c r="H7" s="147" t="s">
        <v>23</v>
      </c>
      <c r="I7" s="77" t="s">
        <v>28</v>
      </c>
      <c r="J7" s="188" t="s">
        <v>29</v>
      </c>
    </row>
    <row r="8" spans="1:10" s="73" customFormat="1" ht="84.75" customHeight="1" x14ac:dyDescent="0.25">
      <c r="A8" s="656">
        <v>2</v>
      </c>
      <c r="B8" s="658" t="s">
        <v>30</v>
      </c>
      <c r="C8" s="53" t="s">
        <v>16</v>
      </c>
      <c r="D8" s="205"/>
      <c r="E8" s="464" t="s">
        <v>31</v>
      </c>
      <c r="F8" s="645" t="s">
        <v>32</v>
      </c>
      <c r="G8" s="464" t="s">
        <v>33</v>
      </c>
      <c r="H8" s="463" t="s">
        <v>20</v>
      </c>
      <c r="I8" s="181" t="s">
        <v>34</v>
      </c>
      <c r="J8" s="464"/>
    </row>
    <row r="9" spans="1:10" s="73" customFormat="1" ht="66.75" customHeight="1" x14ac:dyDescent="0.25">
      <c r="A9" s="680"/>
      <c r="B9" s="659"/>
      <c r="C9" s="53" t="s">
        <v>16</v>
      </c>
      <c r="D9" s="205"/>
      <c r="E9" s="464" t="s">
        <v>31</v>
      </c>
      <c r="F9" s="647"/>
      <c r="G9" s="464" t="s">
        <v>19</v>
      </c>
      <c r="H9" s="462" t="s">
        <v>20</v>
      </c>
      <c r="I9" s="228" t="s">
        <v>35</v>
      </c>
      <c r="J9" s="464"/>
    </row>
    <row r="10" spans="1:10" s="73" customFormat="1" ht="86.25" customHeight="1" x14ac:dyDescent="0.25">
      <c r="A10" s="680"/>
      <c r="B10" s="659"/>
      <c r="C10" s="53" t="s">
        <v>26</v>
      </c>
      <c r="D10" s="205"/>
      <c r="E10" s="464" t="s">
        <v>36</v>
      </c>
      <c r="F10" s="683" t="s">
        <v>37</v>
      </c>
      <c r="G10" s="464" t="s">
        <v>33</v>
      </c>
      <c r="H10" s="463" t="s">
        <v>23</v>
      </c>
      <c r="I10" s="228" t="s">
        <v>38</v>
      </c>
      <c r="J10" s="464"/>
    </row>
    <row r="11" spans="1:10" s="76" customFormat="1" ht="67.5" customHeight="1" x14ac:dyDescent="0.25">
      <c r="A11" s="657"/>
      <c r="B11" s="659"/>
      <c r="C11" s="62" t="s">
        <v>26</v>
      </c>
      <c r="D11" s="206"/>
      <c r="E11" s="465" t="s">
        <v>36</v>
      </c>
      <c r="F11" s="684"/>
      <c r="G11" s="450" t="s">
        <v>39</v>
      </c>
      <c r="H11" s="272" t="s">
        <v>23</v>
      </c>
      <c r="I11" s="228" t="s">
        <v>40</v>
      </c>
      <c r="J11" s="464"/>
    </row>
    <row r="12" spans="1:10" s="76" customFormat="1" ht="93.75" customHeight="1" x14ac:dyDescent="0.25">
      <c r="A12" s="656">
        <v>3</v>
      </c>
      <c r="B12" s="659"/>
      <c r="C12" s="53" t="s">
        <v>16</v>
      </c>
      <c r="D12" s="205"/>
      <c r="E12" s="464" t="s">
        <v>41</v>
      </c>
      <c r="F12" s="642" t="s">
        <v>42</v>
      </c>
      <c r="G12" s="464" t="s">
        <v>33</v>
      </c>
      <c r="H12" s="462" t="s">
        <v>20</v>
      </c>
      <c r="I12" s="284" t="s">
        <v>43</v>
      </c>
      <c r="J12" s="464" t="s">
        <v>44</v>
      </c>
    </row>
    <row r="13" spans="1:10" s="76" customFormat="1" ht="25.5" customHeight="1" x14ac:dyDescent="0.25">
      <c r="A13" s="657"/>
      <c r="B13" s="659"/>
      <c r="C13" s="53" t="s">
        <v>16</v>
      </c>
      <c r="D13" s="205"/>
      <c r="E13" s="464" t="s">
        <v>41</v>
      </c>
      <c r="F13" s="644"/>
      <c r="G13" s="464" t="s">
        <v>19</v>
      </c>
      <c r="H13" s="462" t="s">
        <v>20</v>
      </c>
      <c r="I13" s="181" t="s">
        <v>21</v>
      </c>
      <c r="J13" s="464"/>
    </row>
    <row r="14" spans="1:10" s="76" customFormat="1" ht="57" customHeight="1" x14ac:dyDescent="0.25">
      <c r="A14" s="656">
        <v>4</v>
      </c>
      <c r="B14" s="659"/>
      <c r="C14" s="53" t="s">
        <v>16</v>
      </c>
      <c r="D14" s="207"/>
      <c r="E14" s="464" t="s">
        <v>45</v>
      </c>
      <c r="F14" s="464" t="s">
        <v>46</v>
      </c>
      <c r="G14" s="465" t="s">
        <v>33</v>
      </c>
      <c r="H14" s="462" t="s">
        <v>20</v>
      </c>
      <c r="I14" s="464" t="s">
        <v>47</v>
      </c>
      <c r="J14" s="465"/>
    </row>
    <row r="15" spans="1:10" s="76" customFormat="1" ht="42" customHeight="1" x14ac:dyDescent="0.25">
      <c r="A15" s="657"/>
      <c r="B15" s="659"/>
      <c r="C15" s="53" t="s">
        <v>16</v>
      </c>
      <c r="D15" s="207"/>
      <c r="E15" s="464" t="s">
        <v>45</v>
      </c>
      <c r="F15" s="464" t="s">
        <v>46</v>
      </c>
      <c r="G15" s="465" t="s">
        <v>19</v>
      </c>
      <c r="H15" s="462" t="s">
        <v>20</v>
      </c>
      <c r="I15" s="464" t="s">
        <v>48</v>
      </c>
      <c r="J15" s="465"/>
    </row>
    <row r="16" spans="1:10" s="76" customFormat="1" ht="42" customHeight="1" x14ac:dyDescent="0.25">
      <c r="A16" s="656">
        <v>5</v>
      </c>
      <c r="B16" s="659"/>
      <c r="C16" s="53" t="s">
        <v>16</v>
      </c>
      <c r="D16" s="205"/>
      <c r="E16" s="464" t="s">
        <v>41</v>
      </c>
      <c r="F16" s="645" t="s">
        <v>49</v>
      </c>
      <c r="G16" s="464" t="s">
        <v>33</v>
      </c>
      <c r="H16" s="462" t="s">
        <v>23</v>
      </c>
      <c r="I16" s="284" t="s">
        <v>50</v>
      </c>
      <c r="J16" s="464" t="s">
        <v>51</v>
      </c>
    </row>
    <row r="17" spans="1:10" s="76" customFormat="1" ht="42" customHeight="1" x14ac:dyDescent="0.25">
      <c r="A17" s="657"/>
      <c r="B17" s="659"/>
      <c r="C17" s="53" t="s">
        <v>16</v>
      </c>
      <c r="D17" s="205"/>
      <c r="E17" s="464" t="s">
        <v>41</v>
      </c>
      <c r="F17" s="647"/>
      <c r="G17" s="464" t="s">
        <v>19</v>
      </c>
      <c r="H17" s="462" t="s">
        <v>23</v>
      </c>
      <c r="I17" s="181" t="s">
        <v>21</v>
      </c>
      <c r="J17" s="464" t="s">
        <v>52</v>
      </c>
    </row>
    <row r="18" spans="1:10" s="76" customFormat="1" ht="42" customHeight="1" x14ac:dyDescent="0.25">
      <c r="A18" s="656">
        <v>6</v>
      </c>
      <c r="B18" s="659"/>
      <c r="C18" s="53" t="s">
        <v>16</v>
      </c>
      <c r="D18" s="205"/>
      <c r="E18" s="464" t="s">
        <v>45</v>
      </c>
      <c r="F18" s="645" t="s">
        <v>53</v>
      </c>
      <c r="G18" s="464" t="s">
        <v>33</v>
      </c>
      <c r="H18" s="462" t="s">
        <v>54</v>
      </c>
      <c r="I18" s="284" t="s">
        <v>55</v>
      </c>
      <c r="J18" s="464" t="s">
        <v>56</v>
      </c>
    </row>
    <row r="19" spans="1:10" s="76" customFormat="1" ht="42" customHeight="1" x14ac:dyDescent="0.25">
      <c r="A19" s="657"/>
      <c r="B19" s="662"/>
      <c r="C19" s="53" t="s">
        <v>16</v>
      </c>
      <c r="D19" s="205"/>
      <c r="E19" s="464" t="s">
        <v>45</v>
      </c>
      <c r="F19" s="647"/>
      <c r="G19" s="464" t="s">
        <v>19</v>
      </c>
      <c r="H19" s="462" t="s">
        <v>23</v>
      </c>
      <c r="I19" s="181" t="s">
        <v>21</v>
      </c>
      <c r="J19" s="464" t="s">
        <v>57</v>
      </c>
    </row>
    <row r="20" spans="1:10" ht="22.5" customHeight="1" x14ac:dyDescent="0.2">
      <c r="A20" s="651">
        <v>7</v>
      </c>
      <c r="B20" s="688" t="s">
        <v>58</v>
      </c>
      <c r="C20" s="53" t="s">
        <v>16</v>
      </c>
      <c r="D20" s="205"/>
      <c r="E20" s="464" t="s">
        <v>59</v>
      </c>
      <c r="F20" s="645" t="s">
        <v>60</v>
      </c>
      <c r="G20" s="464" t="s">
        <v>61</v>
      </c>
      <c r="H20" s="463" t="s">
        <v>23</v>
      </c>
      <c r="I20" s="181" t="s">
        <v>21</v>
      </c>
      <c r="J20" s="464" t="s">
        <v>62</v>
      </c>
    </row>
    <row r="21" spans="1:10" ht="41.25" customHeight="1" x14ac:dyDescent="0.2">
      <c r="A21" s="653"/>
      <c r="B21" s="689"/>
      <c r="C21" s="53" t="s">
        <v>16</v>
      </c>
      <c r="D21" s="205"/>
      <c r="E21" s="464" t="s">
        <v>63</v>
      </c>
      <c r="F21" s="647"/>
      <c r="G21" s="464" t="s">
        <v>64</v>
      </c>
      <c r="H21" s="462" t="s">
        <v>23</v>
      </c>
      <c r="I21" s="228" t="s">
        <v>65</v>
      </c>
      <c r="J21" s="464" t="s">
        <v>66</v>
      </c>
    </row>
    <row r="22" spans="1:10" ht="27.6" customHeight="1" x14ac:dyDescent="0.2">
      <c r="A22" s="651">
        <v>8</v>
      </c>
      <c r="B22" s="689"/>
      <c r="C22" s="53" t="s">
        <v>16</v>
      </c>
      <c r="D22" s="205"/>
      <c r="E22" s="464" t="s">
        <v>67</v>
      </c>
      <c r="F22" s="642" t="s">
        <v>68</v>
      </c>
      <c r="G22" s="464" t="s">
        <v>61</v>
      </c>
      <c r="H22" s="462" t="s">
        <v>23</v>
      </c>
      <c r="I22" s="181" t="s">
        <v>21</v>
      </c>
      <c r="J22" s="464"/>
    </row>
    <row r="23" spans="1:10" ht="38.25" x14ac:dyDescent="0.2">
      <c r="A23" s="653"/>
      <c r="B23" s="689"/>
      <c r="C23" s="53" t="s">
        <v>16</v>
      </c>
      <c r="D23" s="205"/>
      <c r="E23" s="464" t="s">
        <v>67</v>
      </c>
      <c r="F23" s="644"/>
      <c r="G23" s="464" t="s">
        <v>64</v>
      </c>
      <c r="H23" s="462" t="s">
        <v>23</v>
      </c>
      <c r="I23" s="181" t="s">
        <v>69</v>
      </c>
      <c r="J23" s="464"/>
    </row>
    <row r="24" spans="1:10" ht="20.25" customHeight="1" x14ac:dyDescent="0.2">
      <c r="A24" s="651">
        <v>9</v>
      </c>
      <c r="B24" s="689"/>
      <c r="C24" s="53" t="s">
        <v>16</v>
      </c>
      <c r="D24" s="205"/>
      <c r="E24" s="464" t="s">
        <v>70</v>
      </c>
      <c r="F24" s="645" t="s">
        <v>71</v>
      </c>
      <c r="G24" s="464" t="s">
        <v>61</v>
      </c>
      <c r="H24" s="462" t="s">
        <v>23</v>
      </c>
      <c r="I24" s="181" t="s">
        <v>21</v>
      </c>
      <c r="J24" s="464"/>
    </row>
    <row r="25" spans="1:10" ht="63.75" x14ac:dyDescent="0.2">
      <c r="A25" s="653"/>
      <c r="B25" s="690"/>
      <c r="C25" s="53" t="s">
        <v>16</v>
      </c>
      <c r="D25" s="205"/>
      <c r="E25" s="464" t="s">
        <v>70</v>
      </c>
      <c r="F25" s="647"/>
      <c r="G25" s="464" t="s">
        <v>64</v>
      </c>
      <c r="H25" s="462" t="s">
        <v>23</v>
      </c>
      <c r="I25" s="464" t="s">
        <v>72</v>
      </c>
      <c r="J25" s="464"/>
    </row>
    <row r="26" spans="1:10" s="76" customFormat="1" ht="24.95" customHeight="1" x14ac:dyDescent="0.25">
      <c r="A26" s="177"/>
      <c r="B26" s="292" t="s">
        <v>73</v>
      </c>
      <c r="C26" s="212"/>
      <c r="D26" s="204"/>
      <c r="E26" s="178"/>
      <c r="F26" s="177"/>
      <c r="G26" s="177"/>
      <c r="H26" s="268"/>
      <c r="I26" s="177"/>
      <c r="J26" s="80"/>
    </row>
    <row r="27" spans="1:10" s="75" customFormat="1" ht="104.25" customHeight="1" x14ac:dyDescent="0.25">
      <c r="A27" s="656">
        <v>10</v>
      </c>
      <c r="B27" s="685" t="s">
        <v>74</v>
      </c>
      <c r="C27" s="213" t="s">
        <v>16</v>
      </c>
      <c r="D27" s="205" t="s">
        <v>75</v>
      </c>
      <c r="E27" s="195" t="s">
        <v>76</v>
      </c>
      <c r="F27" s="642" t="s">
        <v>77</v>
      </c>
      <c r="G27" s="464" t="s">
        <v>61</v>
      </c>
      <c r="H27" s="462" t="s">
        <v>20</v>
      </c>
      <c r="I27" s="197" t="s">
        <v>78</v>
      </c>
      <c r="J27" s="73" t="s">
        <v>79</v>
      </c>
    </row>
    <row r="28" spans="1:10" s="75" customFormat="1" ht="35.25" customHeight="1" x14ac:dyDescent="0.25">
      <c r="A28" s="680"/>
      <c r="B28" s="686"/>
      <c r="C28" s="213" t="s">
        <v>16</v>
      </c>
      <c r="D28" s="205" t="s">
        <v>75</v>
      </c>
      <c r="E28" s="195" t="s">
        <v>76</v>
      </c>
      <c r="F28" s="644"/>
      <c r="G28" s="464" t="s">
        <v>19</v>
      </c>
      <c r="H28" s="462" t="s">
        <v>20</v>
      </c>
      <c r="I28" s="181" t="s">
        <v>21</v>
      </c>
      <c r="J28" s="73"/>
    </row>
    <row r="29" spans="1:10" s="75" customFormat="1" ht="108" customHeight="1" x14ac:dyDescent="0.25">
      <c r="A29" s="680"/>
      <c r="B29" s="685" t="s">
        <v>74</v>
      </c>
      <c r="C29" s="213" t="s">
        <v>26</v>
      </c>
      <c r="D29" s="205" t="s">
        <v>75</v>
      </c>
      <c r="E29" s="195" t="s">
        <v>76</v>
      </c>
      <c r="F29" s="642" t="s">
        <v>80</v>
      </c>
      <c r="G29" s="464" t="s">
        <v>61</v>
      </c>
      <c r="H29" s="462" t="s">
        <v>20</v>
      </c>
      <c r="I29" s="197" t="s">
        <v>81</v>
      </c>
      <c r="J29" s="73"/>
    </row>
    <row r="30" spans="1:10" s="75" customFormat="1" ht="38.25" customHeight="1" x14ac:dyDescent="0.25">
      <c r="A30" s="657"/>
      <c r="B30" s="686"/>
      <c r="C30" s="213" t="s">
        <v>26</v>
      </c>
      <c r="D30" s="205" t="s">
        <v>75</v>
      </c>
      <c r="E30" s="195" t="s">
        <v>76</v>
      </c>
      <c r="F30" s="644"/>
      <c r="G30" s="464" t="s">
        <v>19</v>
      </c>
      <c r="H30" s="462" t="s">
        <v>23</v>
      </c>
      <c r="I30" s="229" t="s">
        <v>21</v>
      </c>
      <c r="J30" s="73"/>
    </row>
    <row r="31" spans="1:10" s="75" customFormat="1" ht="104.25" customHeight="1" x14ac:dyDescent="0.25">
      <c r="A31" s="656">
        <v>11</v>
      </c>
      <c r="B31" s="685" t="s">
        <v>74</v>
      </c>
      <c r="C31" s="213" t="s">
        <v>16</v>
      </c>
      <c r="D31" s="205" t="s">
        <v>75</v>
      </c>
      <c r="E31" s="195" t="s">
        <v>76</v>
      </c>
      <c r="F31" s="642" t="s">
        <v>82</v>
      </c>
      <c r="G31" s="464" t="s">
        <v>61</v>
      </c>
      <c r="H31" s="462" t="s">
        <v>20</v>
      </c>
      <c r="I31" s="197" t="s">
        <v>83</v>
      </c>
      <c r="J31" s="73" t="s">
        <v>79</v>
      </c>
    </row>
    <row r="32" spans="1:10" s="75" customFormat="1" ht="35.25" customHeight="1" x14ac:dyDescent="0.25">
      <c r="A32" s="680"/>
      <c r="B32" s="686"/>
      <c r="C32" s="213" t="s">
        <v>16</v>
      </c>
      <c r="D32" s="205" t="s">
        <v>75</v>
      </c>
      <c r="E32" s="195" t="s">
        <v>76</v>
      </c>
      <c r="F32" s="644"/>
      <c r="G32" s="464" t="s">
        <v>19</v>
      </c>
      <c r="H32" s="462" t="s">
        <v>20</v>
      </c>
      <c r="I32" s="181" t="s">
        <v>21</v>
      </c>
      <c r="J32" s="73"/>
    </row>
    <row r="33" spans="1:10" s="75" customFormat="1" ht="108" customHeight="1" x14ac:dyDescent="0.25">
      <c r="A33" s="680"/>
      <c r="B33" s="685" t="s">
        <v>74</v>
      </c>
      <c r="C33" s="213" t="s">
        <v>26</v>
      </c>
      <c r="D33" s="205" t="s">
        <v>75</v>
      </c>
      <c r="E33" s="195" t="s">
        <v>76</v>
      </c>
      <c r="F33" s="642" t="s">
        <v>84</v>
      </c>
      <c r="G33" s="464" t="s">
        <v>61</v>
      </c>
      <c r="H33" s="462" t="s">
        <v>20</v>
      </c>
      <c r="I33" s="197" t="s">
        <v>85</v>
      </c>
      <c r="J33" s="73"/>
    </row>
    <row r="34" spans="1:10" s="75" customFormat="1" ht="38.25" customHeight="1" x14ac:dyDescent="0.25">
      <c r="A34" s="657"/>
      <c r="B34" s="686"/>
      <c r="C34" s="213" t="s">
        <v>26</v>
      </c>
      <c r="D34" s="205" t="s">
        <v>75</v>
      </c>
      <c r="E34" s="195" t="s">
        <v>76</v>
      </c>
      <c r="F34" s="644"/>
      <c r="G34" s="464" t="s">
        <v>19</v>
      </c>
      <c r="H34" s="462" t="s">
        <v>23</v>
      </c>
      <c r="I34" s="229" t="s">
        <v>21</v>
      </c>
      <c r="J34" s="73"/>
    </row>
    <row r="35" spans="1:10" s="75" customFormat="1" ht="45" customHeight="1" x14ac:dyDescent="0.25">
      <c r="A35" s="656">
        <v>12</v>
      </c>
      <c r="B35" s="685" t="s">
        <v>74</v>
      </c>
      <c r="C35" s="213" t="s">
        <v>16</v>
      </c>
      <c r="D35" s="205" t="s">
        <v>75</v>
      </c>
      <c r="E35" s="195" t="s">
        <v>86</v>
      </c>
      <c r="F35" s="645" t="s">
        <v>87</v>
      </c>
      <c r="G35" s="464" t="s">
        <v>61</v>
      </c>
      <c r="H35" s="462" t="s">
        <v>20</v>
      </c>
      <c r="I35" s="229" t="s">
        <v>21</v>
      </c>
      <c r="J35" s="183"/>
    </row>
    <row r="36" spans="1:10" s="75" customFormat="1" ht="77.25" customHeight="1" x14ac:dyDescent="0.25">
      <c r="A36" s="657"/>
      <c r="B36" s="686"/>
      <c r="C36" s="213" t="s">
        <v>16</v>
      </c>
      <c r="D36" s="205" t="s">
        <v>75</v>
      </c>
      <c r="E36" s="195" t="s">
        <v>86</v>
      </c>
      <c r="F36" s="647"/>
      <c r="G36" s="464" t="s">
        <v>39</v>
      </c>
      <c r="H36" s="462" t="s">
        <v>20</v>
      </c>
      <c r="I36" s="198" t="s">
        <v>88</v>
      </c>
      <c r="J36" s="183"/>
    </row>
    <row r="37" spans="1:10" s="75" customFormat="1" ht="72" customHeight="1" x14ac:dyDescent="0.25">
      <c r="A37" s="656">
        <v>13</v>
      </c>
      <c r="B37" s="291"/>
      <c r="C37" s="213" t="s">
        <v>16</v>
      </c>
      <c r="D37" s="205" t="s">
        <v>75</v>
      </c>
      <c r="E37" s="195" t="s">
        <v>89</v>
      </c>
      <c r="F37" s="645" t="s">
        <v>90</v>
      </c>
      <c r="G37" s="464" t="s">
        <v>33</v>
      </c>
      <c r="H37" s="462" t="s">
        <v>20</v>
      </c>
      <c r="I37" s="229" t="s">
        <v>21</v>
      </c>
      <c r="J37" s="183" t="s">
        <v>91</v>
      </c>
    </row>
    <row r="38" spans="1:10" s="75" customFormat="1" ht="103.5" customHeight="1" x14ac:dyDescent="0.25">
      <c r="A38" s="680"/>
      <c r="B38" s="291"/>
      <c r="C38" s="213" t="s">
        <v>16</v>
      </c>
      <c r="D38" s="205" t="s">
        <v>75</v>
      </c>
      <c r="E38" s="195" t="s">
        <v>89</v>
      </c>
      <c r="F38" s="647"/>
      <c r="G38" s="464" t="s">
        <v>19</v>
      </c>
      <c r="H38" s="462" t="s">
        <v>20</v>
      </c>
      <c r="I38" s="285" t="s">
        <v>92</v>
      </c>
      <c r="J38" s="180" t="s">
        <v>93</v>
      </c>
    </row>
    <row r="39" spans="1:10" s="75" customFormat="1" ht="32.25" customHeight="1" x14ac:dyDescent="0.25">
      <c r="A39" s="680"/>
      <c r="B39" s="291"/>
      <c r="C39" s="213" t="s">
        <v>26</v>
      </c>
      <c r="D39" s="205" t="s">
        <v>75</v>
      </c>
      <c r="E39" s="195" t="s">
        <v>89</v>
      </c>
      <c r="F39" s="645" t="s">
        <v>94</v>
      </c>
      <c r="G39" s="464" t="s">
        <v>61</v>
      </c>
      <c r="H39" s="462" t="s">
        <v>20</v>
      </c>
      <c r="I39" s="229" t="s">
        <v>21</v>
      </c>
      <c r="J39" s="183"/>
    </row>
    <row r="40" spans="1:10" s="75" customFormat="1" ht="87.75" customHeight="1" x14ac:dyDescent="0.25">
      <c r="A40" s="657"/>
      <c r="B40" s="291"/>
      <c r="C40" s="213" t="s">
        <v>26</v>
      </c>
      <c r="D40" s="205" t="s">
        <v>75</v>
      </c>
      <c r="E40" s="195" t="s">
        <v>89</v>
      </c>
      <c r="F40" s="647"/>
      <c r="G40" s="464" t="s">
        <v>95</v>
      </c>
      <c r="H40" s="462" t="s">
        <v>20</v>
      </c>
      <c r="I40" s="197" t="s">
        <v>96</v>
      </c>
      <c r="J40" s="374"/>
    </row>
    <row r="41" spans="1:10" s="76" customFormat="1" ht="42" customHeight="1" x14ac:dyDescent="0.25">
      <c r="A41" s="651">
        <v>14</v>
      </c>
      <c r="B41" s="685" t="s">
        <v>97</v>
      </c>
      <c r="C41" s="214" t="s">
        <v>23</v>
      </c>
      <c r="D41" s="206"/>
      <c r="E41" s="76" t="s">
        <v>98</v>
      </c>
      <c r="F41" s="651" t="s">
        <v>99</v>
      </c>
      <c r="G41" s="76" t="s">
        <v>61</v>
      </c>
      <c r="H41" s="466" t="s">
        <v>23</v>
      </c>
      <c r="I41" s="200" t="s">
        <v>100</v>
      </c>
      <c r="J41" s="375"/>
    </row>
    <row r="42" spans="1:10" s="76" customFormat="1" ht="41.25" customHeight="1" x14ac:dyDescent="0.25">
      <c r="A42" s="653"/>
      <c r="B42" s="693"/>
      <c r="C42" s="214" t="s">
        <v>23</v>
      </c>
      <c r="D42" s="206"/>
      <c r="E42" s="76" t="s">
        <v>98</v>
      </c>
      <c r="F42" s="653"/>
      <c r="G42" s="76" t="s">
        <v>39</v>
      </c>
      <c r="H42" s="466" t="s">
        <v>23</v>
      </c>
      <c r="I42" s="200" t="s">
        <v>101</v>
      </c>
      <c r="J42" s="375"/>
    </row>
    <row r="43" spans="1:10" s="76" customFormat="1" ht="45.75" customHeight="1" x14ac:dyDescent="0.25">
      <c r="A43" s="651">
        <v>15</v>
      </c>
      <c r="B43" s="693"/>
      <c r="C43" s="62" t="s">
        <v>23</v>
      </c>
      <c r="D43" s="206"/>
      <c r="E43" s="460" t="s">
        <v>102</v>
      </c>
      <c r="F43" s="651" t="s">
        <v>103</v>
      </c>
      <c r="G43" s="76" t="s">
        <v>61</v>
      </c>
      <c r="H43" s="466" t="s">
        <v>23</v>
      </c>
      <c r="I43" s="200" t="s">
        <v>104</v>
      </c>
      <c r="J43" s="375"/>
    </row>
    <row r="44" spans="1:10" s="76" customFormat="1" ht="42.75" customHeight="1" x14ac:dyDescent="0.25">
      <c r="A44" s="653"/>
      <c r="B44" s="693"/>
      <c r="C44" s="62" t="s">
        <v>23</v>
      </c>
      <c r="D44" s="206"/>
      <c r="E44" s="460" t="s">
        <v>102</v>
      </c>
      <c r="F44" s="653"/>
      <c r="G44" s="76" t="s">
        <v>39</v>
      </c>
      <c r="H44" s="466" t="s">
        <v>23</v>
      </c>
      <c r="I44" s="256" t="s">
        <v>21</v>
      </c>
      <c r="J44" s="376"/>
    </row>
    <row r="45" spans="1:10" s="76" customFormat="1" ht="51" customHeight="1" x14ac:dyDescent="0.25">
      <c r="A45" s="651">
        <v>16</v>
      </c>
      <c r="B45" s="693"/>
      <c r="C45" s="62" t="s">
        <v>23</v>
      </c>
      <c r="D45" s="206"/>
      <c r="E45" s="460" t="s">
        <v>102</v>
      </c>
      <c r="F45" s="651" t="s">
        <v>105</v>
      </c>
      <c r="G45" s="76" t="s">
        <v>61</v>
      </c>
      <c r="H45" s="466" t="s">
        <v>23</v>
      </c>
      <c r="I45" s="185" t="s">
        <v>106</v>
      </c>
    </row>
    <row r="46" spans="1:10" s="76" customFormat="1" ht="34.5" customHeight="1" x14ac:dyDescent="0.25">
      <c r="A46" s="653"/>
      <c r="B46" s="693"/>
      <c r="C46" s="62" t="s">
        <v>23</v>
      </c>
      <c r="D46" s="206"/>
      <c r="E46" s="460" t="s">
        <v>102</v>
      </c>
      <c r="F46" s="653"/>
      <c r="G46" s="76" t="s">
        <v>39</v>
      </c>
      <c r="H46" s="466" t="s">
        <v>23</v>
      </c>
      <c r="I46" s="256" t="s">
        <v>21</v>
      </c>
    </row>
    <row r="47" spans="1:10" s="76" customFormat="1" ht="74.25" customHeight="1" x14ac:dyDescent="0.25">
      <c r="A47" s="651">
        <v>17</v>
      </c>
      <c r="B47" s="693"/>
      <c r="C47" s="62" t="s">
        <v>23</v>
      </c>
      <c r="D47" s="206"/>
      <c r="E47" s="460" t="s">
        <v>107</v>
      </c>
      <c r="F47" s="651" t="s">
        <v>108</v>
      </c>
      <c r="G47" s="76" t="s">
        <v>61</v>
      </c>
      <c r="H47" s="466" t="s">
        <v>23</v>
      </c>
      <c r="I47" s="185" t="s">
        <v>109</v>
      </c>
    </row>
    <row r="48" spans="1:10" s="76" customFormat="1" ht="44.25" customHeight="1" x14ac:dyDescent="0.25">
      <c r="A48" s="653"/>
      <c r="B48" s="686"/>
      <c r="C48" s="62" t="s">
        <v>110</v>
      </c>
      <c r="D48" s="206"/>
      <c r="E48" s="460" t="s">
        <v>107</v>
      </c>
      <c r="F48" s="653"/>
      <c r="G48" s="76" t="s">
        <v>39</v>
      </c>
      <c r="H48" s="466" t="s">
        <v>23</v>
      </c>
      <c r="I48" s="185" t="s">
        <v>111</v>
      </c>
    </row>
    <row r="49" spans="1:10" s="76" customFormat="1" ht="24.95" customHeight="1" x14ac:dyDescent="0.25">
      <c r="A49" s="177"/>
      <c r="B49" s="201" t="s">
        <v>112</v>
      </c>
      <c r="C49" s="212"/>
      <c r="D49" s="204"/>
      <c r="E49" s="178"/>
      <c r="F49" s="268"/>
      <c r="G49" s="177"/>
      <c r="H49" s="268"/>
      <c r="I49" s="177"/>
      <c r="J49" s="80"/>
    </row>
    <row r="50" spans="1:10" s="198" customFormat="1" ht="36.75" customHeight="1" x14ac:dyDescent="0.25">
      <c r="A50" s="645">
        <v>18</v>
      </c>
      <c r="B50" s="705" t="s">
        <v>113</v>
      </c>
      <c r="C50" s="215" t="s">
        <v>23</v>
      </c>
      <c r="D50" s="249"/>
      <c r="E50" s="197" t="s">
        <v>114</v>
      </c>
      <c r="F50" s="672" t="s">
        <v>115</v>
      </c>
      <c r="G50" s="197" t="s">
        <v>61</v>
      </c>
      <c r="H50" s="273" t="s">
        <v>23</v>
      </c>
      <c r="I50" s="197" t="s">
        <v>116</v>
      </c>
    </row>
    <row r="51" spans="1:10" s="198" customFormat="1" ht="56.25" customHeight="1" x14ac:dyDescent="0.25">
      <c r="A51" s="647"/>
      <c r="B51" s="706"/>
      <c r="C51" s="215" t="s">
        <v>23</v>
      </c>
      <c r="D51" s="249"/>
      <c r="E51" s="197" t="s">
        <v>117</v>
      </c>
      <c r="F51" s="673"/>
      <c r="G51" s="197" t="s">
        <v>39</v>
      </c>
      <c r="H51" s="273" t="s">
        <v>23</v>
      </c>
      <c r="I51" s="197" t="s">
        <v>118</v>
      </c>
    </row>
    <row r="52" spans="1:10" s="180" customFormat="1" ht="72.75" customHeight="1" x14ac:dyDescent="0.25">
      <c r="A52" s="645">
        <v>19</v>
      </c>
      <c r="B52" s="658" t="s">
        <v>119</v>
      </c>
      <c r="C52" s="216" t="s">
        <v>23</v>
      </c>
      <c r="D52" s="207"/>
      <c r="E52" s="465" t="s">
        <v>120</v>
      </c>
      <c r="F52" s="645" t="s">
        <v>121</v>
      </c>
      <c r="G52" s="180" t="s">
        <v>33</v>
      </c>
      <c r="H52" s="462" t="s">
        <v>23</v>
      </c>
      <c r="I52" s="198" t="s">
        <v>122</v>
      </c>
    </row>
    <row r="53" spans="1:10" s="180" customFormat="1" ht="38.25" customHeight="1" x14ac:dyDescent="0.25">
      <c r="A53" s="647"/>
      <c r="B53" s="659"/>
      <c r="C53" s="216" t="s">
        <v>23</v>
      </c>
      <c r="D53" s="207"/>
      <c r="E53" s="465" t="s">
        <v>120</v>
      </c>
      <c r="F53" s="647"/>
      <c r="G53" s="180" t="s">
        <v>19</v>
      </c>
      <c r="H53" s="462" t="s">
        <v>23</v>
      </c>
      <c r="I53" s="180" t="s">
        <v>21</v>
      </c>
    </row>
    <row r="54" spans="1:10" s="180" customFormat="1" ht="25.5" customHeight="1" x14ac:dyDescent="0.2">
      <c r="A54" s="645">
        <v>20</v>
      </c>
      <c r="B54" s="659"/>
      <c r="C54" s="701" t="s">
        <v>26</v>
      </c>
      <c r="D54" s="703"/>
      <c r="E54" s="645" t="s">
        <v>120</v>
      </c>
      <c r="F54" s="681" t="s">
        <v>123</v>
      </c>
      <c r="G54" s="180" t="s">
        <v>61</v>
      </c>
      <c r="H54" s="462" t="s">
        <v>23</v>
      </c>
      <c r="I54" s="248" t="s">
        <v>21</v>
      </c>
      <c r="J54" s="462"/>
    </row>
    <row r="55" spans="1:10" s="180" customFormat="1" ht="31.5" customHeight="1" x14ac:dyDescent="0.25">
      <c r="A55" s="647"/>
      <c r="B55" s="659"/>
      <c r="C55" s="702"/>
      <c r="D55" s="704"/>
      <c r="E55" s="647"/>
      <c r="F55" s="682"/>
      <c r="G55" s="180" t="s">
        <v>39</v>
      </c>
      <c r="H55" s="462" t="s">
        <v>23</v>
      </c>
      <c r="I55" s="220" t="s">
        <v>124</v>
      </c>
      <c r="J55" s="462"/>
    </row>
    <row r="56" spans="1:10" s="180" customFormat="1" ht="51" customHeight="1" x14ac:dyDescent="0.25">
      <c r="A56" s="645">
        <v>21</v>
      </c>
      <c r="B56" s="659"/>
      <c r="C56" s="250" t="s">
        <v>26</v>
      </c>
      <c r="D56" s="207"/>
      <c r="E56" s="465" t="s">
        <v>125</v>
      </c>
      <c r="F56" s="645" t="s">
        <v>126</v>
      </c>
      <c r="G56" s="180" t="s">
        <v>61</v>
      </c>
      <c r="H56" s="462" t="s">
        <v>23</v>
      </c>
      <c r="I56" s="256" t="s">
        <v>21</v>
      </c>
      <c r="J56" s="198"/>
    </row>
    <row r="57" spans="1:10" s="180" customFormat="1" ht="86.25" customHeight="1" x14ac:dyDescent="0.25">
      <c r="A57" s="647"/>
      <c r="B57" s="659"/>
      <c r="C57" s="250" t="s">
        <v>26</v>
      </c>
      <c r="D57" s="207"/>
      <c r="E57" s="465" t="s">
        <v>127</v>
      </c>
      <c r="F57" s="647"/>
      <c r="G57" s="180" t="s">
        <v>95</v>
      </c>
      <c r="H57" s="274" t="s">
        <v>23</v>
      </c>
      <c r="I57" s="186" t="s">
        <v>128</v>
      </c>
      <c r="J57" s="198"/>
    </row>
    <row r="58" spans="1:10" s="180" customFormat="1" ht="24" customHeight="1" x14ac:dyDescent="0.25">
      <c r="A58" s="645">
        <v>22</v>
      </c>
      <c r="B58" s="659"/>
      <c r="C58" s="216" t="s">
        <v>16</v>
      </c>
      <c r="D58" s="207"/>
      <c r="E58" s="465" t="s">
        <v>129</v>
      </c>
      <c r="F58" s="645" t="s">
        <v>130</v>
      </c>
      <c r="G58" s="180" t="s">
        <v>39</v>
      </c>
      <c r="H58" s="462" t="s">
        <v>23</v>
      </c>
      <c r="I58" s="180" t="s">
        <v>131</v>
      </c>
    </row>
    <row r="59" spans="1:10" s="180" customFormat="1" ht="46.5" customHeight="1" x14ac:dyDescent="0.25">
      <c r="A59" s="646"/>
      <c r="B59" s="659"/>
      <c r="C59" s="216" t="s">
        <v>16</v>
      </c>
      <c r="D59" s="207"/>
      <c r="E59" s="465" t="s">
        <v>129</v>
      </c>
      <c r="F59" s="647"/>
      <c r="G59" s="180" t="s">
        <v>61</v>
      </c>
      <c r="H59" s="462" t="s">
        <v>23</v>
      </c>
      <c r="I59" s="180" t="s">
        <v>132</v>
      </c>
    </row>
    <row r="60" spans="1:10" s="180" customFormat="1" ht="47.25" customHeight="1" x14ac:dyDescent="0.25">
      <c r="A60" s="646"/>
      <c r="B60" s="659"/>
      <c r="C60" s="216" t="s">
        <v>26</v>
      </c>
      <c r="D60" s="207"/>
      <c r="E60" s="465" t="s">
        <v>129</v>
      </c>
      <c r="F60" s="672" t="s">
        <v>133</v>
      </c>
      <c r="G60" s="197" t="s">
        <v>61</v>
      </c>
      <c r="H60" s="286" t="s">
        <v>134</v>
      </c>
      <c r="I60" s="197" t="s">
        <v>135</v>
      </c>
      <c r="J60" s="180" t="s">
        <v>136</v>
      </c>
    </row>
    <row r="61" spans="1:10" s="180" customFormat="1" ht="25.5" customHeight="1" x14ac:dyDescent="0.25">
      <c r="A61" s="646"/>
      <c r="B61" s="659"/>
      <c r="C61" s="216" t="s">
        <v>26</v>
      </c>
      <c r="D61" s="207"/>
      <c r="E61" s="465" t="s">
        <v>129</v>
      </c>
      <c r="F61" s="677"/>
      <c r="G61" s="197" t="s">
        <v>61</v>
      </c>
      <c r="H61" s="273" t="s">
        <v>137</v>
      </c>
      <c r="I61" s="256" t="s">
        <v>21</v>
      </c>
    </row>
    <row r="62" spans="1:10" s="180" customFormat="1" ht="81.75" customHeight="1" x14ac:dyDescent="0.25">
      <c r="A62" s="647"/>
      <c r="B62" s="659"/>
      <c r="C62" s="216" t="s">
        <v>26</v>
      </c>
      <c r="D62" s="207"/>
      <c r="E62" s="465" t="s">
        <v>129</v>
      </c>
      <c r="F62" s="673"/>
      <c r="G62" s="197" t="s">
        <v>39</v>
      </c>
      <c r="H62" s="273" t="s">
        <v>23</v>
      </c>
      <c r="I62" s="197" t="s">
        <v>138</v>
      </c>
      <c r="J62" s="197" t="s">
        <v>139</v>
      </c>
    </row>
    <row r="63" spans="1:10" s="180" customFormat="1" ht="49.5" customHeight="1" x14ac:dyDescent="0.25">
      <c r="A63" s="645">
        <v>23</v>
      </c>
      <c r="B63" s="659"/>
      <c r="C63" s="216" t="s">
        <v>16</v>
      </c>
      <c r="D63" s="207"/>
      <c r="E63" s="465" t="s">
        <v>140</v>
      </c>
      <c r="F63" s="648" t="s">
        <v>141</v>
      </c>
      <c r="G63" s="180" t="s">
        <v>61</v>
      </c>
      <c r="H63" s="462" t="s">
        <v>142</v>
      </c>
      <c r="I63" s="180" t="s">
        <v>143</v>
      </c>
      <c r="J63" s="180" t="s">
        <v>136</v>
      </c>
    </row>
    <row r="64" spans="1:10" s="180" customFormat="1" ht="39.75" customHeight="1" x14ac:dyDescent="0.25">
      <c r="A64" s="646"/>
      <c r="B64" s="659"/>
      <c r="C64" s="216" t="s">
        <v>16</v>
      </c>
      <c r="D64" s="207"/>
      <c r="E64" s="465" t="s">
        <v>140</v>
      </c>
      <c r="F64" s="649"/>
      <c r="G64" s="180" t="s">
        <v>39</v>
      </c>
      <c r="H64" s="462" t="s">
        <v>137</v>
      </c>
      <c r="I64" s="180" t="s">
        <v>144</v>
      </c>
    </row>
    <row r="65" spans="1:10" s="180" customFormat="1" ht="55.15" customHeight="1" x14ac:dyDescent="0.25">
      <c r="A65" s="646"/>
      <c r="B65" s="659"/>
      <c r="C65" s="216" t="s">
        <v>16</v>
      </c>
      <c r="D65" s="207"/>
      <c r="E65" s="465" t="s">
        <v>140</v>
      </c>
      <c r="F65" s="649"/>
      <c r="G65" s="180" t="s">
        <v>61</v>
      </c>
      <c r="H65" s="286" t="s">
        <v>134</v>
      </c>
      <c r="I65" s="197" t="s">
        <v>145</v>
      </c>
    </row>
    <row r="66" spans="1:10" s="180" customFormat="1" ht="96.75" customHeight="1" x14ac:dyDescent="0.25">
      <c r="A66" s="646"/>
      <c r="B66" s="659"/>
      <c r="C66" s="216" t="s">
        <v>16</v>
      </c>
      <c r="D66" s="207"/>
      <c r="E66" s="465" t="s">
        <v>140</v>
      </c>
      <c r="F66" s="650"/>
      <c r="G66" s="180" t="s">
        <v>95</v>
      </c>
      <c r="H66" s="286" t="s">
        <v>134</v>
      </c>
      <c r="I66" s="180" t="s">
        <v>146</v>
      </c>
    </row>
    <row r="67" spans="1:10" s="180" customFormat="1" ht="49.5" customHeight="1" x14ac:dyDescent="0.25">
      <c r="A67" s="646"/>
      <c r="B67" s="659"/>
      <c r="C67" s="216" t="s">
        <v>26</v>
      </c>
      <c r="D67" s="287" t="s">
        <v>147</v>
      </c>
      <c r="E67" s="465" t="s">
        <v>140</v>
      </c>
      <c r="F67" s="672" t="s">
        <v>148</v>
      </c>
      <c r="G67" s="180" t="s">
        <v>61</v>
      </c>
      <c r="H67" s="462" t="s">
        <v>23</v>
      </c>
      <c r="I67" s="180" t="s">
        <v>149</v>
      </c>
      <c r="J67" s="180" t="s">
        <v>150</v>
      </c>
    </row>
    <row r="68" spans="1:10" s="180" customFormat="1" ht="87.75" customHeight="1" x14ac:dyDescent="0.25">
      <c r="A68" s="646"/>
      <c r="B68" s="659"/>
      <c r="C68" s="216" t="s">
        <v>26</v>
      </c>
      <c r="D68" s="287" t="s">
        <v>147</v>
      </c>
      <c r="E68" s="465" t="s">
        <v>140</v>
      </c>
      <c r="F68" s="677"/>
      <c r="G68" s="180" t="s">
        <v>95</v>
      </c>
      <c r="H68" s="462" t="s">
        <v>137</v>
      </c>
      <c r="I68" s="197" t="s">
        <v>151</v>
      </c>
    </row>
    <row r="69" spans="1:10" s="180" customFormat="1" ht="105.75" customHeight="1" x14ac:dyDescent="0.25">
      <c r="A69" s="647"/>
      <c r="B69" s="659"/>
      <c r="C69" s="216" t="s">
        <v>26</v>
      </c>
      <c r="D69" s="287" t="s">
        <v>147</v>
      </c>
      <c r="E69" s="465" t="s">
        <v>140</v>
      </c>
      <c r="F69" s="673"/>
      <c r="G69" s="180" t="s">
        <v>95</v>
      </c>
      <c r="H69" s="286" t="s">
        <v>134</v>
      </c>
      <c r="I69" s="197" t="s">
        <v>152</v>
      </c>
    </row>
    <row r="70" spans="1:10" s="180" customFormat="1" ht="53.25" customHeight="1" x14ac:dyDescent="0.25">
      <c r="A70" s="645">
        <v>24</v>
      </c>
      <c r="B70" s="659"/>
      <c r="C70" s="216" t="s">
        <v>16</v>
      </c>
      <c r="D70" s="207"/>
      <c r="E70" s="465" t="s">
        <v>153</v>
      </c>
      <c r="F70" s="698" t="s">
        <v>154</v>
      </c>
      <c r="G70" s="180" t="s">
        <v>61</v>
      </c>
      <c r="H70" s="462" t="s">
        <v>23</v>
      </c>
      <c r="I70" s="197" t="s">
        <v>155</v>
      </c>
      <c r="J70" s="180" t="s">
        <v>156</v>
      </c>
    </row>
    <row r="71" spans="1:10" s="180" customFormat="1" ht="46.5" customHeight="1" x14ac:dyDescent="0.25">
      <c r="A71" s="646"/>
      <c r="B71" s="659"/>
      <c r="C71" s="216" t="s">
        <v>16</v>
      </c>
      <c r="D71" s="207"/>
      <c r="E71" s="465" t="s">
        <v>153</v>
      </c>
      <c r="F71" s="699"/>
      <c r="G71" s="180" t="s">
        <v>39</v>
      </c>
      <c r="H71" s="462" t="s">
        <v>137</v>
      </c>
      <c r="I71" s="256" t="s">
        <v>21</v>
      </c>
    </row>
    <row r="72" spans="1:10" s="180" customFormat="1" ht="46.5" customHeight="1" x14ac:dyDescent="0.25">
      <c r="A72" s="646"/>
      <c r="B72" s="659"/>
      <c r="C72" s="216" t="s">
        <v>16</v>
      </c>
      <c r="D72" s="207"/>
      <c r="E72" s="465" t="s">
        <v>157</v>
      </c>
      <c r="F72" s="700"/>
      <c r="G72" s="180" t="s">
        <v>39</v>
      </c>
      <c r="H72" s="286" t="s">
        <v>134</v>
      </c>
      <c r="I72" s="197" t="s">
        <v>158</v>
      </c>
    </row>
    <row r="73" spans="1:10" s="180" customFormat="1" ht="46.5" customHeight="1" x14ac:dyDescent="0.25">
      <c r="A73" s="646"/>
      <c r="B73" s="659"/>
      <c r="C73" s="216" t="s">
        <v>26</v>
      </c>
      <c r="D73" s="207" t="s">
        <v>159</v>
      </c>
      <c r="E73" s="465" t="s">
        <v>153</v>
      </c>
      <c r="F73" s="672" t="s">
        <v>160</v>
      </c>
      <c r="G73" s="180" t="s">
        <v>39</v>
      </c>
      <c r="H73" s="462" t="s">
        <v>137</v>
      </c>
      <c r="I73" s="197" t="s">
        <v>161</v>
      </c>
      <c r="J73" s="180" t="s">
        <v>162</v>
      </c>
    </row>
    <row r="74" spans="1:10" s="180" customFormat="1" ht="46.5" customHeight="1" x14ac:dyDescent="0.25">
      <c r="A74" s="646"/>
      <c r="B74" s="659"/>
      <c r="C74" s="216" t="s">
        <v>26</v>
      </c>
      <c r="D74" s="207" t="s">
        <v>159</v>
      </c>
      <c r="E74" s="465" t="s">
        <v>153</v>
      </c>
      <c r="F74" s="677"/>
      <c r="G74" s="180" t="s">
        <v>95</v>
      </c>
      <c r="H74" s="286" t="s">
        <v>134</v>
      </c>
      <c r="I74" s="197" t="s">
        <v>163</v>
      </c>
    </row>
    <row r="75" spans="1:10" s="180" customFormat="1" ht="46.5" customHeight="1" x14ac:dyDescent="0.25">
      <c r="A75" s="646"/>
      <c r="B75" s="659"/>
      <c r="C75" s="216" t="s">
        <v>26</v>
      </c>
      <c r="D75" s="207" t="s">
        <v>159</v>
      </c>
      <c r="E75" s="465" t="s">
        <v>153</v>
      </c>
      <c r="F75" s="677"/>
      <c r="G75" s="180" t="s">
        <v>61</v>
      </c>
      <c r="H75" s="286" t="s">
        <v>134</v>
      </c>
      <c r="I75" s="180" t="s">
        <v>164</v>
      </c>
    </row>
    <row r="76" spans="1:10" s="180" customFormat="1" ht="38.25" customHeight="1" x14ac:dyDescent="0.25">
      <c r="A76" s="647"/>
      <c r="B76" s="659"/>
      <c r="C76" s="216" t="s">
        <v>26</v>
      </c>
      <c r="D76" s="207" t="s">
        <v>159</v>
      </c>
      <c r="E76" s="465" t="s">
        <v>157</v>
      </c>
      <c r="F76" s="673"/>
      <c r="G76" s="180" t="s">
        <v>61</v>
      </c>
      <c r="H76" s="462" t="s">
        <v>137</v>
      </c>
      <c r="I76" s="256" t="s">
        <v>21</v>
      </c>
    </row>
    <row r="77" spans="1:10" s="180" customFormat="1" ht="104.25" customHeight="1" x14ac:dyDescent="0.2">
      <c r="A77" s="645">
        <v>25</v>
      </c>
      <c r="B77" s="659"/>
      <c r="C77" s="216" t="s">
        <v>26</v>
      </c>
      <c r="D77" s="207"/>
      <c r="E77" s="465" t="s">
        <v>165</v>
      </c>
      <c r="F77" s="645" t="s">
        <v>166</v>
      </c>
      <c r="G77" s="180" t="s">
        <v>61</v>
      </c>
      <c r="H77" s="286" t="s">
        <v>134</v>
      </c>
      <c r="I77" s="253" t="s">
        <v>167</v>
      </c>
    </row>
    <row r="78" spans="1:10" s="180" customFormat="1" ht="43.5" customHeight="1" x14ac:dyDescent="0.25">
      <c r="A78" s="646"/>
      <c r="B78" s="659"/>
      <c r="C78" s="216" t="s">
        <v>26</v>
      </c>
      <c r="D78" s="207"/>
      <c r="E78" s="465" t="s">
        <v>165</v>
      </c>
      <c r="F78" s="646"/>
      <c r="G78" s="180" t="s">
        <v>61</v>
      </c>
      <c r="H78" s="462" t="s">
        <v>137</v>
      </c>
      <c r="I78" s="252" t="s">
        <v>168</v>
      </c>
    </row>
    <row r="79" spans="1:10" s="180" customFormat="1" ht="46.5" customHeight="1" x14ac:dyDescent="0.25">
      <c r="A79" s="646"/>
      <c r="B79" s="659"/>
      <c r="C79" s="216" t="s">
        <v>26</v>
      </c>
      <c r="D79" s="207"/>
      <c r="E79" s="465" t="s">
        <v>165</v>
      </c>
      <c r="F79" s="646"/>
      <c r="G79" s="180" t="s">
        <v>95</v>
      </c>
      <c r="H79" s="286" t="s">
        <v>134</v>
      </c>
      <c r="I79" s="316" t="s">
        <v>169</v>
      </c>
    </row>
    <row r="80" spans="1:10" s="180" customFormat="1" ht="46.5" customHeight="1" x14ac:dyDescent="0.25">
      <c r="A80" s="646"/>
      <c r="B80" s="659"/>
      <c r="C80" s="216" t="s">
        <v>26</v>
      </c>
      <c r="D80" s="207"/>
      <c r="E80" s="465" t="s">
        <v>165</v>
      </c>
      <c r="F80" s="647"/>
      <c r="G80" s="180" t="s">
        <v>95</v>
      </c>
      <c r="H80" s="462" t="s">
        <v>137</v>
      </c>
      <c r="I80" s="255" t="s">
        <v>170</v>
      </c>
    </row>
    <row r="81" spans="1:10" s="180" customFormat="1" ht="55.15" customHeight="1" x14ac:dyDescent="0.25">
      <c r="A81" s="646"/>
      <c r="B81" s="659"/>
      <c r="C81" s="216" t="s">
        <v>16</v>
      </c>
      <c r="D81" s="207"/>
      <c r="E81" s="465" t="s">
        <v>165</v>
      </c>
      <c r="F81" s="642" t="s">
        <v>171</v>
      </c>
      <c r="G81" s="180" t="s">
        <v>61</v>
      </c>
      <c r="H81" s="286" t="s">
        <v>134</v>
      </c>
      <c r="I81" s="315" t="s">
        <v>172</v>
      </c>
    </row>
    <row r="82" spans="1:10" s="180" customFormat="1" ht="46.5" customHeight="1" x14ac:dyDescent="0.25">
      <c r="A82" s="646"/>
      <c r="B82" s="659"/>
      <c r="C82" s="216" t="s">
        <v>16</v>
      </c>
      <c r="D82" s="207"/>
      <c r="E82" s="465" t="s">
        <v>165</v>
      </c>
      <c r="F82" s="643"/>
      <c r="G82" s="180" t="s">
        <v>61</v>
      </c>
      <c r="H82" s="462" t="s">
        <v>137</v>
      </c>
      <c r="I82" s="255" t="s">
        <v>172</v>
      </c>
    </row>
    <row r="83" spans="1:10" s="180" customFormat="1" ht="46.5" customHeight="1" x14ac:dyDescent="0.25">
      <c r="A83" s="646"/>
      <c r="B83" s="659"/>
      <c r="C83" s="216" t="s">
        <v>16</v>
      </c>
      <c r="D83" s="207"/>
      <c r="E83" s="465" t="s">
        <v>165</v>
      </c>
      <c r="F83" s="643"/>
      <c r="G83" s="180" t="s">
        <v>95</v>
      </c>
      <c r="H83" s="286" t="s">
        <v>134</v>
      </c>
      <c r="I83" s="257" t="s">
        <v>173</v>
      </c>
    </row>
    <row r="84" spans="1:10" s="180" customFormat="1" ht="36.75" customHeight="1" x14ac:dyDescent="0.25">
      <c r="A84" s="647"/>
      <c r="B84" s="659"/>
      <c r="C84" s="216" t="s">
        <v>16</v>
      </c>
      <c r="D84" s="207"/>
      <c r="E84" s="465" t="s">
        <v>165</v>
      </c>
      <c r="F84" s="644"/>
      <c r="G84" s="180" t="s">
        <v>95</v>
      </c>
      <c r="H84" s="462" t="s">
        <v>137</v>
      </c>
      <c r="I84" s="258" t="s">
        <v>21</v>
      </c>
    </row>
    <row r="85" spans="1:10" s="183" customFormat="1" ht="44.25" customHeight="1" x14ac:dyDescent="0.25">
      <c r="A85" s="691">
        <v>26</v>
      </c>
      <c r="B85" s="659"/>
      <c r="C85" s="214" t="s">
        <v>16</v>
      </c>
      <c r="D85" s="206"/>
      <c r="E85" s="76" t="s">
        <v>174</v>
      </c>
      <c r="F85" s="651" t="s">
        <v>175</v>
      </c>
      <c r="G85" s="76" t="s">
        <v>39</v>
      </c>
      <c r="H85" s="466" t="s">
        <v>23</v>
      </c>
      <c r="I85" s="259" t="s">
        <v>21</v>
      </c>
    </row>
    <row r="86" spans="1:10" s="183" customFormat="1" ht="72.75" customHeight="1" x14ac:dyDescent="0.25">
      <c r="A86" s="695"/>
      <c r="B86" s="659"/>
      <c r="C86" s="214" t="s">
        <v>16</v>
      </c>
      <c r="D86" s="206"/>
      <c r="E86" s="76" t="s">
        <v>174</v>
      </c>
      <c r="F86" s="652"/>
      <c r="G86" s="76" t="s">
        <v>61</v>
      </c>
      <c r="H86" s="466" t="s">
        <v>137</v>
      </c>
      <c r="I86" s="316" t="s">
        <v>176</v>
      </c>
    </row>
    <row r="87" spans="1:10" s="183" customFormat="1" ht="89.25" customHeight="1" x14ac:dyDescent="0.2">
      <c r="A87" s="695"/>
      <c r="B87" s="659"/>
      <c r="C87" s="214" t="s">
        <v>16</v>
      </c>
      <c r="D87" s="206"/>
      <c r="E87" s="76" t="s">
        <v>174</v>
      </c>
      <c r="F87" s="653"/>
      <c r="G87" s="76" t="s">
        <v>61</v>
      </c>
      <c r="H87" s="286" t="s">
        <v>177</v>
      </c>
      <c r="I87" s="254" t="s">
        <v>178</v>
      </c>
    </row>
    <row r="88" spans="1:10" s="183" customFormat="1" ht="26.25" customHeight="1" x14ac:dyDescent="0.25">
      <c r="A88" s="695">
        <v>27</v>
      </c>
      <c r="B88" s="659"/>
      <c r="C88" s="214" t="s">
        <v>23</v>
      </c>
      <c r="D88" s="206"/>
      <c r="E88" s="76" t="s">
        <v>174</v>
      </c>
      <c r="F88" s="651" t="s">
        <v>179</v>
      </c>
      <c r="G88" s="76" t="s">
        <v>95</v>
      </c>
      <c r="H88" s="466" t="s">
        <v>23</v>
      </c>
      <c r="I88" s="256" t="s">
        <v>21</v>
      </c>
    </row>
    <row r="89" spans="1:10" s="183" customFormat="1" ht="42" customHeight="1" x14ac:dyDescent="0.25">
      <c r="A89" s="695"/>
      <c r="B89" s="659"/>
      <c r="C89" s="214" t="s">
        <v>23</v>
      </c>
      <c r="D89" s="206"/>
      <c r="E89" s="76" t="s">
        <v>174</v>
      </c>
      <c r="F89" s="652"/>
      <c r="G89" s="76" t="s">
        <v>180</v>
      </c>
      <c r="H89" s="466" t="s">
        <v>137</v>
      </c>
      <c r="I89" s="77" t="s">
        <v>181</v>
      </c>
    </row>
    <row r="90" spans="1:10" s="183" customFormat="1" ht="117.75" customHeight="1" x14ac:dyDescent="0.25">
      <c r="A90" s="692"/>
      <c r="B90" s="659"/>
      <c r="C90" s="214" t="s">
        <v>23</v>
      </c>
      <c r="D90" s="206"/>
      <c r="E90" s="76" t="s">
        <v>174</v>
      </c>
      <c r="F90" s="653"/>
      <c r="G90" s="76" t="s">
        <v>180</v>
      </c>
      <c r="H90" s="286" t="s">
        <v>177</v>
      </c>
      <c r="I90" s="260" t="s">
        <v>182</v>
      </c>
    </row>
    <row r="91" spans="1:10" s="183" customFormat="1" ht="27.75" customHeight="1" x14ac:dyDescent="0.25">
      <c r="A91" s="645">
        <v>28</v>
      </c>
      <c r="B91" s="659"/>
      <c r="C91" s="214" t="s">
        <v>16</v>
      </c>
      <c r="D91" s="206"/>
      <c r="E91" s="76" t="s">
        <v>183</v>
      </c>
      <c r="F91" s="678" t="s">
        <v>184</v>
      </c>
      <c r="G91" s="76" t="s">
        <v>39</v>
      </c>
      <c r="H91" s="466" t="s">
        <v>23</v>
      </c>
      <c r="I91" s="256" t="s">
        <v>21</v>
      </c>
    </row>
    <row r="92" spans="1:10" s="183" customFormat="1" ht="30" customHeight="1" x14ac:dyDescent="0.25">
      <c r="A92" s="646"/>
      <c r="B92" s="659"/>
      <c r="C92" s="214" t="s">
        <v>16</v>
      </c>
      <c r="D92" s="206"/>
      <c r="E92" s="76" t="s">
        <v>183</v>
      </c>
      <c r="F92" s="679"/>
      <c r="G92" s="76" t="s">
        <v>61</v>
      </c>
      <c r="H92" s="466" t="s">
        <v>23</v>
      </c>
      <c r="I92" s="197" t="s">
        <v>185</v>
      </c>
    </row>
    <row r="93" spans="1:10" s="183" customFormat="1" ht="54.75" customHeight="1" x14ac:dyDescent="0.25">
      <c r="A93" s="646"/>
      <c r="B93" s="659"/>
      <c r="C93" s="214" t="s">
        <v>23</v>
      </c>
      <c r="D93" s="206"/>
      <c r="E93" s="76" t="s">
        <v>183</v>
      </c>
      <c r="F93" s="651" t="s">
        <v>186</v>
      </c>
      <c r="G93" s="76" t="s">
        <v>61</v>
      </c>
      <c r="H93" s="466" t="s">
        <v>23</v>
      </c>
      <c r="I93" s="260" t="s">
        <v>187</v>
      </c>
    </row>
    <row r="94" spans="1:10" s="183" customFormat="1" ht="34.5" customHeight="1" x14ac:dyDescent="0.25">
      <c r="A94" s="647"/>
      <c r="B94" s="659"/>
      <c r="C94" s="214" t="s">
        <v>23</v>
      </c>
      <c r="D94" s="206"/>
      <c r="E94" s="76" t="s">
        <v>183</v>
      </c>
      <c r="F94" s="653"/>
      <c r="G94" s="76" t="s">
        <v>39</v>
      </c>
      <c r="H94" s="466" t="s">
        <v>23</v>
      </c>
      <c r="I94" s="265" t="s">
        <v>21</v>
      </c>
    </row>
    <row r="95" spans="1:10" s="183" customFormat="1" ht="42.75" customHeight="1" x14ac:dyDescent="0.25">
      <c r="A95" s="691">
        <v>29</v>
      </c>
      <c r="B95" s="659"/>
      <c r="C95" s="214" t="s">
        <v>26</v>
      </c>
      <c r="D95" s="206"/>
      <c r="E95" s="76" t="s">
        <v>188</v>
      </c>
      <c r="F95" s="670" t="s">
        <v>189</v>
      </c>
      <c r="G95" s="76" t="s">
        <v>95</v>
      </c>
      <c r="H95" s="466" t="s">
        <v>23</v>
      </c>
      <c r="I95" s="256" t="s">
        <v>21</v>
      </c>
      <c r="J95" s="197"/>
    </row>
    <row r="96" spans="1:10" s="183" customFormat="1" ht="51.75" customHeight="1" x14ac:dyDescent="0.2">
      <c r="A96" s="692"/>
      <c r="B96" s="659"/>
      <c r="C96" s="214" t="s">
        <v>26</v>
      </c>
      <c r="D96" s="206"/>
      <c r="E96" s="76" t="s">
        <v>188</v>
      </c>
      <c r="F96" s="671"/>
      <c r="G96" s="76" t="s">
        <v>61</v>
      </c>
      <c r="H96" s="466" t="s">
        <v>23</v>
      </c>
      <c r="I96" s="76" t="s">
        <v>190</v>
      </c>
      <c r="J96" s="290" t="s">
        <v>191</v>
      </c>
    </row>
    <row r="97" spans="1:10" s="183" customFormat="1" ht="36.75" customHeight="1" x14ac:dyDescent="0.25">
      <c r="A97" s="691">
        <v>30</v>
      </c>
      <c r="B97" s="659"/>
      <c r="C97" s="214" t="s">
        <v>23</v>
      </c>
      <c r="D97" s="206"/>
      <c r="E97" s="76" t="s">
        <v>192</v>
      </c>
      <c r="F97" s="672" t="s">
        <v>193</v>
      </c>
      <c r="G97" s="76" t="s">
        <v>39</v>
      </c>
      <c r="H97" s="466" t="s">
        <v>23</v>
      </c>
      <c r="I97" s="256" t="s">
        <v>21</v>
      </c>
      <c r="J97" s="197"/>
    </row>
    <row r="98" spans="1:10" s="183" customFormat="1" ht="54.75" customHeight="1" x14ac:dyDescent="0.25">
      <c r="A98" s="692"/>
      <c r="B98" s="659"/>
      <c r="C98" s="214" t="s">
        <v>23</v>
      </c>
      <c r="D98" s="206"/>
      <c r="E98" s="76" t="s">
        <v>192</v>
      </c>
      <c r="F98" s="673"/>
      <c r="G98" s="76" t="s">
        <v>61</v>
      </c>
      <c r="H98" s="466" t="s">
        <v>23</v>
      </c>
      <c r="I98" s="76" t="s">
        <v>194</v>
      </c>
    </row>
    <row r="99" spans="1:10" s="183" customFormat="1" ht="37.5" customHeight="1" x14ac:dyDescent="0.25">
      <c r="A99" s="691">
        <v>31</v>
      </c>
      <c r="B99" s="659"/>
      <c r="C99" s="214" t="s">
        <v>26</v>
      </c>
      <c r="D99" s="206"/>
      <c r="E99" s="76" t="s">
        <v>195</v>
      </c>
      <c r="F99" s="651" t="s">
        <v>196</v>
      </c>
      <c r="G99" s="76" t="s">
        <v>39</v>
      </c>
      <c r="H99" s="466" t="s">
        <v>23</v>
      </c>
      <c r="I99" s="256" t="s">
        <v>21</v>
      </c>
    </row>
    <row r="100" spans="1:10" s="183" customFormat="1" ht="52.5" customHeight="1" x14ac:dyDescent="0.25">
      <c r="A100" s="692"/>
      <c r="B100" s="662"/>
      <c r="C100" s="214" t="s">
        <v>26</v>
      </c>
      <c r="D100" s="206"/>
      <c r="E100" s="76" t="s">
        <v>195</v>
      </c>
      <c r="F100" s="653"/>
      <c r="G100" s="76" t="s">
        <v>61</v>
      </c>
      <c r="H100" s="466" t="s">
        <v>23</v>
      </c>
      <c r="I100" s="76" t="s">
        <v>197</v>
      </c>
    </row>
    <row r="101" spans="1:10" s="180" customFormat="1" ht="36" customHeight="1" x14ac:dyDescent="0.25">
      <c r="A101" s="645">
        <v>32</v>
      </c>
      <c r="B101" s="658" t="s">
        <v>198</v>
      </c>
      <c r="C101" s="216" t="s">
        <v>23</v>
      </c>
      <c r="D101" s="207"/>
      <c r="E101" s="465" t="s">
        <v>199</v>
      </c>
      <c r="F101" s="651" t="s">
        <v>200</v>
      </c>
      <c r="G101" s="180" t="s">
        <v>180</v>
      </c>
      <c r="H101" s="462" t="s">
        <v>23</v>
      </c>
      <c r="I101" s="256" t="s">
        <v>201</v>
      </c>
    </row>
    <row r="102" spans="1:10" s="180" customFormat="1" ht="50.25" customHeight="1" x14ac:dyDescent="0.25">
      <c r="A102" s="647"/>
      <c r="B102" s="659"/>
      <c r="C102" s="216" t="s">
        <v>23</v>
      </c>
      <c r="D102" s="207"/>
      <c r="E102" s="465" t="s">
        <v>199</v>
      </c>
      <c r="F102" s="653"/>
      <c r="G102" s="180" t="s">
        <v>39</v>
      </c>
      <c r="H102" s="462" t="s">
        <v>23</v>
      </c>
      <c r="I102" s="180" t="s">
        <v>202</v>
      </c>
    </row>
    <row r="103" spans="1:10" s="180" customFormat="1" ht="41.45" customHeight="1" x14ac:dyDescent="0.25">
      <c r="A103" s="645">
        <v>33</v>
      </c>
      <c r="B103" s="659"/>
      <c r="C103" s="216" t="s">
        <v>16</v>
      </c>
      <c r="D103" s="207"/>
      <c r="E103" s="465" t="s">
        <v>203</v>
      </c>
      <c r="F103" s="645" t="s">
        <v>204</v>
      </c>
      <c r="G103" s="180" t="s">
        <v>33</v>
      </c>
      <c r="H103" s="462" t="s">
        <v>23</v>
      </c>
      <c r="I103" s="180" t="s">
        <v>21</v>
      </c>
      <c r="J103" s="180" t="s">
        <v>205</v>
      </c>
    </row>
    <row r="104" spans="1:10" s="180" customFormat="1" ht="45.75" customHeight="1" x14ac:dyDescent="0.25">
      <c r="A104" s="647"/>
      <c r="B104" s="659"/>
      <c r="C104" s="216" t="s">
        <v>16</v>
      </c>
      <c r="D104" s="207"/>
      <c r="E104" s="465" t="s">
        <v>203</v>
      </c>
      <c r="F104" s="647"/>
      <c r="G104" s="180" t="s">
        <v>64</v>
      </c>
      <c r="H104" s="462" t="s">
        <v>23</v>
      </c>
      <c r="I104" s="251" t="s">
        <v>206</v>
      </c>
    </row>
    <row r="105" spans="1:10" s="180" customFormat="1" ht="36.75" customHeight="1" x14ac:dyDescent="0.25">
      <c r="A105" s="645">
        <v>34</v>
      </c>
      <c r="B105" s="659"/>
      <c r="C105" s="216" t="s">
        <v>23</v>
      </c>
      <c r="D105" s="207"/>
      <c r="E105" s="696" t="s">
        <v>207</v>
      </c>
      <c r="F105" s="645" t="s">
        <v>208</v>
      </c>
      <c r="G105" s="180" t="s">
        <v>180</v>
      </c>
      <c r="H105" s="462" t="s">
        <v>23</v>
      </c>
      <c r="I105" s="180" t="s">
        <v>21</v>
      </c>
      <c r="J105" s="180" t="s">
        <v>209</v>
      </c>
    </row>
    <row r="106" spans="1:10" s="180" customFormat="1" ht="78" customHeight="1" x14ac:dyDescent="0.25">
      <c r="A106" s="647"/>
      <c r="B106" s="659"/>
      <c r="C106" s="216" t="s">
        <v>23</v>
      </c>
      <c r="D106" s="207"/>
      <c r="E106" s="697"/>
      <c r="F106" s="647"/>
      <c r="G106" s="180" t="s">
        <v>64</v>
      </c>
      <c r="H106" s="462" t="s">
        <v>23</v>
      </c>
      <c r="I106" s="186" t="s">
        <v>210</v>
      </c>
    </row>
    <row r="107" spans="1:10" s="180" customFormat="1" ht="30" customHeight="1" x14ac:dyDescent="0.25">
      <c r="A107" s="645">
        <v>35</v>
      </c>
      <c r="B107" s="659"/>
      <c r="C107" s="216" t="s">
        <v>23</v>
      </c>
      <c r="D107" s="207"/>
      <c r="E107" s="465" t="s">
        <v>211</v>
      </c>
      <c r="F107" s="645" t="s">
        <v>212</v>
      </c>
      <c r="G107" s="180" t="s">
        <v>33</v>
      </c>
      <c r="H107" s="462" t="s">
        <v>54</v>
      </c>
      <c r="I107" s="180" t="s">
        <v>213</v>
      </c>
    </row>
    <row r="108" spans="1:10" s="180" customFormat="1" ht="53.25" customHeight="1" x14ac:dyDescent="0.25">
      <c r="A108" s="647"/>
      <c r="B108" s="660"/>
      <c r="C108" s="216" t="s">
        <v>23</v>
      </c>
      <c r="D108" s="207"/>
      <c r="E108" s="465" t="s">
        <v>214</v>
      </c>
      <c r="F108" s="647"/>
      <c r="G108" s="180" t="s">
        <v>64</v>
      </c>
      <c r="H108" s="462" t="s">
        <v>54</v>
      </c>
      <c r="I108" s="261" t="s">
        <v>215</v>
      </c>
    </row>
    <row r="109" spans="1:10" s="180" customFormat="1" ht="84.75" customHeight="1" x14ac:dyDescent="0.25">
      <c r="A109" s="645">
        <v>36</v>
      </c>
      <c r="B109" s="661" t="s">
        <v>216</v>
      </c>
      <c r="C109" s="233" t="s">
        <v>26</v>
      </c>
      <c r="D109" s="207"/>
      <c r="E109" s="234" t="s">
        <v>217</v>
      </c>
      <c r="F109" s="668" t="s">
        <v>218</v>
      </c>
      <c r="G109" s="187" t="s">
        <v>61</v>
      </c>
      <c r="H109" s="275" t="s">
        <v>54</v>
      </c>
      <c r="I109" s="236" t="s">
        <v>219</v>
      </c>
      <c r="J109" s="235" t="s">
        <v>220</v>
      </c>
    </row>
    <row r="110" spans="1:10" s="180" customFormat="1" ht="52.5" customHeight="1" x14ac:dyDescent="0.25">
      <c r="A110" s="647"/>
      <c r="B110" s="660"/>
      <c r="C110" s="233" t="s">
        <v>26</v>
      </c>
      <c r="D110" s="207"/>
      <c r="E110" s="234" t="s">
        <v>217</v>
      </c>
      <c r="F110" s="669"/>
      <c r="G110" s="187" t="s">
        <v>39</v>
      </c>
      <c r="H110" s="275" t="s">
        <v>54</v>
      </c>
      <c r="I110" s="236" t="s">
        <v>221</v>
      </c>
      <c r="J110" s="235"/>
    </row>
    <row r="111" spans="1:10" s="180" customFormat="1" ht="54" customHeight="1" x14ac:dyDescent="0.25">
      <c r="A111" s="645">
        <v>37</v>
      </c>
      <c r="B111" s="661" t="s">
        <v>222</v>
      </c>
      <c r="C111" s="216" t="s">
        <v>26</v>
      </c>
      <c r="D111" s="207" t="s">
        <v>159</v>
      </c>
      <c r="E111" s="465"/>
      <c r="F111" s="645" t="s">
        <v>223</v>
      </c>
      <c r="G111" s="180" t="s">
        <v>33</v>
      </c>
      <c r="H111" s="462" t="s">
        <v>54</v>
      </c>
      <c r="I111" s="262" t="s">
        <v>224</v>
      </c>
    </row>
    <row r="112" spans="1:10" s="180" customFormat="1" ht="33" customHeight="1" x14ac:dyDescent="0.25">
      <c r="A112" s="647"/>
      <c r="B112" s="662"/>
      <c r="C112" s="216" t="s">
        <v>26</v>
      </c>
      <c r="D112" s="207" t="s">
        <v>159</v>
      </c>
      <c r="E112" s="465"/>
      <c r="F112" s="647"/>
      <c r="G112" s="180" t="s">
        <v>39</v>
      </c>
      <c r="H112" s="462" t="s">
        <v>54</v>
      </c>
      <c r="I112" s="256" t="s">
        <v>21</v>
      </c>
    </row>
    <row r="113" spans="1:10" s="76" customFormat="1" ht="24.95" customHeight="1" x14ac:dyDescent="0.25">
      <c r="A113" s="177"/>
      <c r="B113" s="201" t="s">
        <v>225</v>
      </c>
      <c r="C113" s="212"/>
      <c r="D113" s="204"/>
      <c r="E113" s="178"/>
      <c r="F113" s="268"/>
      <c r="G113" s="177"/>
      <c r="H113" s="268"/>
      <c r="I113" s="177"/>
      <c r="J113" s="80"/>
    </row>
    <row r="114" spans="1:10" s="75" customFormat="1" ht="58.5" customHeight="1" x14ac:dyDescent="0.25">
      <c r="A114" s="651">
        <v>38</v>
      </c>
      <c r="B114" s="685" t="s">
        <v>226</v>
      </c>
      <c r="C114" s="215" t="s">
        <v>26</v>
      </c>
      <c r="D114" s="209"/>
      <c r="E114" s="195" t="s">
        <v>227</v>
      </c>
      <c r="F114" s="670" t="s">
        <v>228</v>
      </c>
      <c r="G114" s="77" t="s">
        <v>33</v>
      </c>
      <c r="H114" s="276"/>
      <c r="I114" s="77" t="s">
        <v>229</v>
      </c>
      <c r="J114" s="162" t="s">
        <v>230</v>
      </c>
    </row>
    <row r="115" spans="1:10" s="75" customFormat="1" ht="30" customHeight="1" x14ac:dyDescent="0.25">
      <c r="A115" s="653"/>
      <c r="B115" s="693"/>
      <c r="C115" s="215" t="s">
        <v>26</v>
      </c>
      <c r="D115" s="208"/>
      <c r="E115" s="195" t="s">
        <v>227</v>
      </c>
      <c r="F115" s="671"/>
      <c r="G115" s="77" t="s">
        <v>19</v>
      </c>
      <c r="H115" s="276"/>
      <c r="I115" s="256" t="s">
        <v>21</v>
      </c>
      <c r="J115" s="162" t="s">
        <v>231</v>
      </c>
    </row>
    <row r="116" spans="1:10" ht="31.5" customHeight="1" x14ac:dyDescent="0.2">
      <c r="A116" s="651">
        <v>39</v>
      </c>
      <c r="B116" s="693"/>
      <c r="C116" s="215" t="s">
        <v>26</v>
      </c>
      <c r="D116" s="208"/>
      <c r="E116" s="460" t="s">
        <v>227</v>
      </c>
      <c r="F116" s="670" t="s">
        <v>232</v>
      </c>
      <c r="G116" s="77" t="s">
        <v>33</v>
      </c>
      <c r="H116" s="276"/>
      <c r="I116" s="77" t="s">
        <v>233</v>
      </c>
      <c r="J116" s="162" t="s">
        <v>234</v>
      </c>
    </row>
    <row r="117" spans="1:10" ht="39" customHeight="1" x14ac:dyDescent="0.2">
      <c r="A117" s="653"/>
      <c r="B117" s="693"/>
      <c r="C117" s="215" t="s">
        <v>26</v>
      </c>
      <c r="D117" s="208"/>
      <c r="E117" s="460" t="s">
        <v>227</v>
      </c>
      <c r="F117" s="671"/>
      <c r="G117" s="77" t="s">
        <v>19</v>
      </c>
      <c r="H117" s="276"/>
      <c r="I117" s="277" t="s">
        <v>21</v>
      </c>
      <c r="J117" s="77"/>
    </row>
    <row r="118" spans="1:10" ht="46.5" customHeight="1" x14ac:dyDescent="0.2">
      <c r="A118" s="656">
        <v>40</v>
      </c>
      <c r="B118" s="693"/>
      <c r="C118" s="215" t="s">
        <v>26</v>
      </c>
      <c r="D118" s="208"/>
      <c r="E118" s="460" t="s">
        <v>227</v>
      </c>
      <c r="F118" s="654" t="s">
        <v>235</v>
      </c>
      <c r="G118" s="77" t="s">
        <v>39</v>
      </c>
      <c r="H118" s="276" t="s">
        <v>20</v>
      </c>
      <c r="I118" s="256" t="s">
        <v>21</v>
      </c>
      <c r="J118" s="77"/>
    </row>
    <row r="119" spans="1:10" ht="51" x14ac:dyDescent="0.2">
      <c r="A119" s="657"/>
      <c r="B119" s="693"/>
      <c r="C119" s="215" t="s">
        <v>26</v>
      </c>
      <c r="D119" s="208"/>
      <c r="E119" s="460" t="s">
        <v>227</v>
      </c>
      <c r="F119" s="655"/>
      <c r="G119" s="197" t="s">
        <v>33</v>
      </c>
      <c r="H119" s="293" t="s">
        <v>23</v>
      </c>
      <c r="I119" s="73" t="s">
        <v>236</v>
      </c>
      <c r="J119" s="289"/>
    </row>
    <row r="120" spans="1:10" ht="66" customHeight="1" x14ac:dyDescent="0.2">
      <c r="A120" s="656">
        <v>41</v>
      </c>
      <c r="B120" s="693"/>
      <c r="C120" s="215" t="s">
        <v>26</v>
      </c>
      <c r="D120" s="208"/>
      <c r="E120" s="460" t="s">
        <v>227</v>
      </c>
      <c r="F120" s="654" t="s">
        <v>237</v>
      </c>
      <c r="G120" s="197" t="s">
        <v>33</v>
      </c>
      <c r="H120" s="293" t="s">
        <v>23</v>
      </c>
      <c r="I120" s="73" t="s">
        <v>238</v>
      </c>
      <c r="J120" s="289"/>
    </row>
    <row r="121" spans="1:10" ht="30.75" customHeight="1" x14ac:dyDescent="0.2">
      <c r="A121" s="657"/>
      <c r="B121" s="693"/>
      <c r="C121" s="215" t="s">
        <v>26</v>
      </c>
      <c r="D121" s="208"/>
      <c r="E121" s="460" t="s">
        <v>227</v>
      </c>
      <c r="F121" s="655"/>
      <c r="G121" s="197" t="s">
        <v>19</v>
      </c>
      <c r="H121" s="293" t="s">
        <v>20</v>
      </c>
      <c r="I121" s="256" t="s">
        <v>21</v>
      </c>
      <c r="J121" s="289"/>
    </row>
    <row r="122" spans="1:10" ht="75.75" customHeight="1" x14ac:dyDescent="0.2">
      <c r="A122" s="651">
        <v>42</v>
      </c>
      <c r="B122" s="693"/>
      <c r="C122" s="215" t="s">
        <v>26</v>
      </c>
      <c r="D122" s="208" t="s">
        <v>239</v>
      </c>
      <c r="E122" s="460" t="s">
        <v>227</v>
      </c>
      <c r="F122" s="672" t="s">
        <v>240</v>
      </c>
      <c r="G122" s="197" t="s">
        <v>33</v>
      </c>
      <c r="H122" s="230" t="s">
        <v>23</v>
      </c>
      <c r="I122" s="162" t="s">
        <v>241</v>
      </c>
      <c r="J122" s="231" t="s">
        <v>242</v>
      </c>
    </row>
    <row r="123" spans="1:10" ht="29.25" customHeight="1" x14ac:dyDescent="0.2">
      <c r="A123" s="653"/>
      <c r="B123" s="686"/>
      <c r="C123" s="215" t="s">
        <v>26</v>
      </c>
      <c r="D123" s="208" t="s">
        <v>239</v>
      </c>
      <c r="E123" s="460" t="s">
        <v>227</v>
      </c>
      <c r="F123" s="673"/>
      <c r="G123" s="197" t="s">
        <v>19</v>
      </c>
      <c r="H123" s="230" t="s">
        <v>23</v>
      </c>
      <c r="I123" s="256" t="s">
        <v>21</v>
      </c>
      <c r="J123" s="288" t="s">
        <v>243</v>
      </c>
    </row>
    <row r="124" spans="1:10" s="192" customFormat="1" ht="36.75" customHeight="1" x14ac:dyDescent="0.25">
      <c r="A124" s="640">
        <v>43</v>
      </c>
      <c r="B124" s="296" t="s">
        <v>244</v>
      </c>
      <c r="C124" s="405" t="s">
        <v>23</v>
      </c>
      <c r="D124" s="240" t="s">
        <v>245</v>
      </c>
      <c r="E124" s="241" t="s">
        <v>246</v>
      </c>
      <c r="F124" s="670" t="s">
        <v>247</v>
      </c>
      <c r="G124" s="241" t="s">
        <v>61</v>
      </c>
      <c r="H124" s="276" t="s">
        <v>23</v>
      </c>
      <c r="I124" s="256" t="s">
        <v>21</v>
      </c>
    </row>
    <row r="125" spans="1:10" s="192" customFormat="1" ht="72.75" customHeight="1" x14ac:dyDescent="0.25">
      <c r="A125" s="641"/>
      <c r="B125" s="297"/>
      <c r="C125" s="244" t="s">
        <v>23</v>
      </c>
      <c r="D125" s="298" t="s">
        <v>245</v>
      </c>
      <c r="E125" s="245" t="s">
        <v>246</v>
      </c>
      <c r="F125" s="671"/>
      <c r="G125" s="245" t="s">
        <v>39</v>
      </c>
      <c r="H125" s="447" t="s">
        <v>23</v>
      </c>
      <c r="I125" s="246" t="s">
        <v>248</v>
      </c>
      <c r="J125" s="227" t="s">
        <v>249</v>
      </c>
    </row>
    <row r="126" spans="1:10" s="192" customFormat="1" ht="26.25" customHeight="1" x14ac:dyDescent="0.25">
      <c r="A126" s="640">
        <v>44</v>
      </c>
      <c r="B126" s="297"/>
      <c r="C126" s="239" t="s">
        <v>23</v>
      </c>
      <c r="D126" s="240"/>
      <c r="E126" s="241" t="s">
        <v>250</v>
      </c>
      <c r="F126" s="670" t="s">
        <v>251</v>
      </c>
      <c r="G126" s="241" t="s">
        <v>61</v>
      </c>
      <c r="H126" s="276" t="s">
        <v>23</v>
      </c>
      <c r="I126" s="242" t="s">
        <v>252</v>
      </c>
      <c r="J126" s="192" t="s">
        <v>253</v>
      </c>
    </row>
    <row r="127" spans="1:10" s="192" customFormat="1" ht="26.25" customHeight="1" x14ac:dyDescent="0.25">
      <c r="A127" s="694"/>
      <c r="B127" s="297"/>
      <c r="C127" s="239" t="s">
        <v>23</v>
      </c>
      <c r="D127" s="240"/>
      <c r="E127" s="241" t="s">
        <v>250</v>
      </c>
      <c r="F127" s="674"/>
      <c r="G127" s="241" t="s">
        <v>254</v>
      </c>
      <c r="H127" s="276" t="s">
        <v>23</v>
      </c>
      <c r="I127" s="242" t="s">
        <v>255</v>
      </c>
    </row>
    <row r="128" spans="1:10" s="192" customFormat="1" ht="30" customHeight="1" x14ac:dyDescent="0.25">
      <c r="A128" s="641"/>
      <c r="B128" s="297"/>
      <c r="C128" s="239" t="s">
        <v>23</v>
      </c>
      <c r="D128" s="240"/>
      <c r="E128" s="241" t="s">
        <v>256</v>
      </c>
      <c r="F128" s="671"/>
      <c r="G128" s="241" t="s">
        <v>39</v>
      </c>
      <c r="H128" s="276" t="s">
        <v>23</v>
      </c>
      <c r="I128" s="242" t="s">
        <v>257</v>
      </c>
    </row>
    <row r="129" spans="1:10" s="192" customFormat="1" ht="30" customHeight="1" x14ac:dyDescent="0.25">
      <c r="A129" s="461"/>
      <c r="B129" s="297"/>
      <c r="C129" s="239" t="s">
        <v>26</v>
      </c>
      <c r="D129" s="240"/>
      <c r="E129" s="241"/>
      <c r="F129" s="448" t="s">
        <v>258</v>
      </c>
      <c r="G129" s="241" t="s">
        <v>259</v>
      </c>
      <c r="H129" s="276"/>
      <c r="I129" s="295" t="s">
        <v>260</v>
      </c>
    </row>
    <row r="130" spans="1:10" s="192" customFormat="1" ht="30" customHeight="1" x14ac:dyDescent="0.25">
      <c r="A130" s="461"/>
      <c r="B130" s="297"/>
      <c r="C130" s="239" t="s">
        <v>261</v>
      </c>
      <c r="D130" s="240"/>
      <c r="E130" s="241"/>
      <c r="F130" s="448" t="s">
        <v>262</v>
      </c>
      <c r="G130" s="241" t="s">
        <v>259</v>
      </c>
      <c r="H130" s="276"/>
      <c r="I130" s="295" t="s">
        <v>260</v>
      </c>
    </row>
    <row r="131" spans="1:10" s="189" customFormat="1" ht="36.75" customHeight="1" x14ac:dyDescent="0.25">
      <c r="A131" s="675">
        <v>45</v>
      </c>
      <c r="B131" s="297"/>
      <c r="C131" s="405" t="s">
        <v>23</v>
      </c>
      <c r="D131" s="243" t="s">
        <v>263</v>
      </c>
      <c r="E131" s="238" t="s">
        <v>264</v>
      </c>
      <c r="F131" s="651" t="s">
        <v>265</v>
      </c>
      <c r="G131" s="238" t="s">
        <v>61</v>
      </c>
      <c r="H131" s="466" t="s">
        <v>23</v>
      </c>
      <c r="I131" s="256" t="s">
        <v>21</v>
      </c>
      <c r="J131" s="232" t="s">
        <v>266</v>
      </c>
    </row>
    <row r="132" spans="1:10" s="189" customFormat="1" ht="30" customHeight="1" x14ac:dyDescent="0.25">
      <c r="A132" s="676"/>
      <c r="B132" s="297"/>
      <c r="C132" s="405" t="s">
        <v>23</v>
      </c>
      <c r="D132" s="243" t="s">
        <v>263</v>
      </c>
      <c r="E132" s="238" t="s">
        <v>264</v>
      </c>
      <c r="F132" s="653"/>
      <c r="G132" s="238" t="s">
        <v>39</v>
      </c>
      <c r="H132" s="466" t="s">
        <v>23</v>
      </c>
      <c r="I132" s="237" t="s">
        <v>267</v>
      </c>
      <c r="J132" s="232" t="s">
        <v>268</v>
      </c>
    </row>
    <row r="133" spans="1:10" s="189" customFormat="1" ht="36.75" customHeight="1" x14ac:dyDescent="0.25">
      <c r="A133" s="675">
        <v>46</v>
      </c>
      <c r="B133" s="297"/>
      <c r="C133" s="405" t="s">
        <v>23</v>
      </c>
      <c r="D133" s="243" t="s">
        <v>269</v>
      </c>
      <c r="E133" s="238" t="s">
        <v>270</v>
      </c>
      <c r="F133" s="651" t="s">
        <v>271</v>
      </c>
      <c r="G133" s="238" t="s">
        <v>61</v>
      </c>
      <c r="H133" s="466" t="s">
        <v>23</v>
      </c>
      <c r="I133" s="237" t="s">
        <v>272</v>
      </c>
    </row>
    <row r="134" spans="1:10" s="189" customFormat="1" ht="31.5" customHeight="1" x14ac:dyDescent="0.25">
      <c r="A134" s="676"/>
      <c r="B134" s="297"/>
      <c r="C134" s="405" t="s">
        <v>23</v>
      </c>
      <c r="D134" s="243" t="s">
        <v>273</v>
      </c>
      <c r="E134" s="238" t="s">
        <v>270</v>
      </c>
      <c r="F134" s="653"/>
      <c r="G134" s="238" t="s">
        <v>39</v>
      </c>
      <c r="H134" s="466" t="s">
        <v>23</v>
      </c>
      <c r="I134" s="256" t="s">
        <v>21</v>
      </c>
      <c r="J134" s="189" t="s">
        <v>274</v>
      </c>
    </row>
    <row r="135" spans="1:10" s="189" customFormat="1" ht="36" customHeight="1" x14ac:dyDescent="0.25">
      <c r="A135" s="675">
        <v>47</v>
      </c>
      <c r="B135" s="297"/>
      <c r="C135" s="405" t="s">
        <v>23</v>
      </c>
      <c r="D135" s="243" t="s">
        <v>275</v>
      </c>
      <c r="E135" s="238" t="s">
        <v>276</v>
      </c>
      <c r="F135" s="651" t="s">
        <v>277</v>
      </c>
      <c r="G135" s="238" t="s">
        <v>61</v>
      </c>
      <c r="H135" s="466" t="s">
        <v>23</v>
      </c>
      <c r="I135" s="237" t="s">
        <v>278</v>
      </c>
      <c r="J135" s="189" t="s">
        <v>279</v>
      </c>
    </row>
    <row r="136" spans="1:10" s="189" customFormat="1" ht="39.75" customHeight="1" x14ac:dyDescent="0.25">
      <c r="A136" s="676"/>
      <c r="B136" s="297"/>
      <c r="C136" s="405" t="s">
        <v>23</v>
      </c>
      <c r="D136" s="243" t="s">
        <v>275</v>
      </c>
      <c r="E136" s="238" t="s">
        <v>276</v>
      </c>
      <c r="F136" s="653"/>
      <c r="G136" s="238" t="s">
        <v>39</v>
      </c>
      <c r="H136" s="466" t="s">
        <v>23</v>
      </c>
      <c r="I136" s="237" t="s">
        <v>280</v>
      </c>
    </row>
    <row r="137" spans="1:10" s="189" customFormat="1" ht="37.5" customHeight="1" x14ac:dyDescent="0.25">
      <c r="A137" s="675">
        <v>48</v>
      </c>
      <c r="B137" s="297"/>
      <c r="C137" s="405" t="s">
        <v>23</v>
      </c>
      <c r="D137" s="243" t="s">
        <v>281</v>
      </c>
      <c r="E137" s="238" t="s">
        <v>282</v>
      </c>
      <c r="F137" s="651" t="s">
        <v>283</v>
      </c>
      <c r="G137" s="238" t="s">
        <v>61</v>
      </c>
      <c r="H137" s="466" t="s">
        <v>23</v>
      </c>
      <c r="I137" s="263" t="s">
        <v>21</v>
      </c>
      <c r="J137" s="189" t="s">
        <v>284</v>
      </c>
    </row>
    <row r="138" spans="1:10" s="189" customFormat="1" ht="31.5" customHeight="1" x14ac:dyDescent="0.25">
      <c r="A138" s="676"/>
      <c r="B138" s="297"/>
      <c r="C138" s="405" t="s">
        <v>23</v>
      </c>
      <c r="D138" s="243" t="s">
        <v>285</v>
      </c>
      <c r="E138" s="238" t="s">
        <v>282</v>
      </c>
      <c r="F138" s="653"/>
      <c r="G138" s="238" t="s">
        <v>39</v>
      </c>
      <c r="H138" s="466" t="s">
        <v>23</v>
      </c>
      <c r="I138" s="237" t="s">
        <v>286</v>
      </c>
    </row>
    <row r="139" spans="1:10" ht="38.25" customHeight="1" x14ac:dyDescent="0.2">
      <c r="A139" s="663">
        <v>49</v>
      </c>
      <c r="B139" s="665" t="s">
        <v>287</v>
      </c>
      <c r="C139" s="460" t="s">
        <v>23</v>
      </c>
      <c r="D139" s="100"/>
      <c r="E139" s="264" t="s">
        <v>288</v>
      </c>
      <c r="F139" s="651" t="s">
        <v>289</v>
      </c>
      <c r="G139" s="460" t="s">
        <v>39</v>
      </c>
      <c r="H139" s="293" t="s">
        <v>23</v>
      </c>
      <c r="I139" s="460" t="s">
        <v>290</v>
      </c>
      <c r="J139" s="294"/>
    </row>
    <row r="140" spans="1:10" ht="38.25" customHeight="1" x14ac:dyDescent="0.2">
      <c r="A140" s="664"/>
      <c r="B140" s="666"/>
      <c r="C140" s="460" t="s">
        <v>23</v>
      </c>
      <c r="D140" s="100"/>
      <c r="E140" s="264" t="s">
        <v>288</v>
      </c>
      <c r="F140" s="653"/>
      <c r="G140" s="460" t="s">
        <v>22</v>
      </c>
      <c r="H140" s="293" t="s">
        <v>23</v>
      </c>
      <c r="I140" s="256" t="s">
        <v>21</v>
      </c>
      <c r="J140" s="294"/>
    </row>
    <row r="141" spans="1:10" ht="76.5" customHeight="1" x14ac:dyDescent="0.2">
      <c r="A141" s="663">
        <v>50</v>
      </c>
      <c r="B141" s="666"/>
      <c r="C141" s="460" t="s">
        <v>23</v>
      </c>
      <c r="D141" s="100"/>
      <c r="E141" s="264" t="s">
        <v>288</v>
      </c>
      <c r="F141" s="651" t="s">
        <v>291</v>
      </c>
      <c r="G141" s="460" t="s">
        <v>39</v>
      </c>
      <c r="H141" s="293" t="s">
        <v>23</v>
      </c>
      <c r="I141" s="283" t="s">
        <v>292</v>
      </c>
      <c r="J141" s="247" t="s">
        <v>293</v>
      </c>
    </row>
    <row r="142" spans="1:10" ht="24.75" customHeight="1" x14ac:dyDescent="0.2">
      <c r="A142" s="664"/>
      <c r="B142" s="666"/>
      <c r="C142" s="460" t="s">
        <v>23</v>
      </c>
      <c r="D142" s="100"/>
      <c r="E142" s="264" t="s">
        <v>288</v>
      </c>
      <c r="F142" s="653"/>
      <c r="G142" s="460" t="s">
        <v>22</v>
      </c>
      <c r="H142" s="293" t="s">
        <v>23</v>
      </c>
      <c r="I142" s="256" t="s">
        <v>21</v>
      </c>
      <c r="J142" s="294" t="s">
        <v>294</v>
      </c>
    </row>
    <row r="143" spans="1:10" ht="31.5" customHeight="1" x14ac:dyDescent="0.2">
      <c r="A143" s="663">
        <v>51</v>
      </c>
      <c r="B143" s="666"/>
      <c r="C143" s="460" t="s">
        <v>23</v>
      </c>
      <c r="D143" s="100"/>
      <c r="E143" s="264" t="s">
        <v>288</v>
      </c>
      <c r="F143" s="651" t="s">
        <v>295</v>
      </c>
      <c r="G143" s="460" t="s">
        <v>39</v>
      </c>
      <c r="H143" s="293" t="s">
        <v>23</v>
      </c>
      <c r="I143" s="460" t="s">
        <v>296</v>
      </c>
      <c r="J143" s="294"/>
    </row>
    <row r="144" spans="1:10" ht="38.25" customHeight="1" x14ac:dyDescent="0.2">
      <c r="A144" s="664"/>
      <c r="B144" s="666"/>
      <c r="C144" s="460" t="s">
        <v>23</v>
      </c>
      <c r="D144" s="100"/>
      <c r="E144" s="264" t="s">
        <v>288</v>
      </c>
      <c r="F144" s="653"/>
      <c r="G144" s="460" t="s">
        <v>22</v>
      </c>
      <c r="H144" s="293" t="s">
        <v>23</v>
      </c>
      <c r="I144" s="256" t="s">
        <v>21</v>
      </c>
      <c r="J144" s="294"/>
    </row>
    <row r="145" spans="1:10" ht="41.25" customHeight="1" x14ac:dyDescent="0.2">
      <c r="A145" s="663">
        <v>52</v>
      </c>
      <c r="B145" s="666"/>
      <c r="C145" s="460" t="s">
        <v>23</v>
      </c>
      <c r="D145" s="100"/>
      <c r="E145" s="264" t="s">
        <v>288</v>
      </c>
      <c r="F145" s="651" t="s">
        <v>297</v>
      </c>
      <c r="G145" s="460" t="s">
        <v>39</v>
      </c>
      <c r="H145" s="293" t="s">
        <v>23</v>
      </c>
      <c r="I145" s="460" t="s">
        <v>298</v>
      </c>
      <c r="J145" s="294"/>
    </row>
    <row r="146" spans="1:10" ht="25.5" customHeight="1" x14ac:dyDescent="0.2">
      <c r="A146" s="664"/>
      <c r="B146" s="667"/>
      <c r="C146" s="460" t="s">
        <v>23</v>
      </c>
      <c r="D146" s="100"/>
      <c r="E146" s="264" t="s">
        <v>288</v>
      </c>
      <c r="F146" s="653"/>
      <c r="G146" s="460" t="s">
        <v>22</v>
      </c>
      <c r="H146" s="293" t="s">
        <v>23</v>
      </c>
      <c r="I146" s="263" t="s">
        <v>21</v>
      </c>
      <c r="J146" s="294"/>
    </row>
    <row r="147" spans="1:10" ht="49.5" customHeight="1" x14ac:dyDescent="0.2">
      <c r="A147" s="278"/>
      <c r="B147" s="687" t="s">
        <v>299</v>
      </c>
      <c r="C147" s="687"/>
      <c r="D147" s="687"/>
      <c r="E147" s="279"/>
      <c r="F147" s="280"/>
      <c r="G147" s="281"/>
      <c r="H147" s="280"/>
      <c r="I147" s="281"/>
      <c r="J147" s="281"/>
    </row>
    <row r="148" spans="1:10" x14ac:dyDescent="0.2">
      <c r="A148" s="294"/>
      <c r="C148" s="404"/>
      <c r="F148" s="293"/>
      <c r="G148" s="294"/>
      <c r="H148" s="293"/>
      <c r="I148" s="294"/>
      <c r="J148" s="294"/>
    </row>
    <row r="149" spans="1:10" x14ac:dyDescent="0.2">
      <c r="A149" s="294"/>
      <c r="C149" s="404"/>
      <c r="F149" s="293"/>
      <c r="G149" s="294"/>
      <c r="H149" s="293"/>
      <c r="I149" s="294"/>
      <c r="J149" s="294"/>
    </row>
    <row r="150" spans="1:10" x14ac:dyDescent="0.2">
      <c r="A150" s="294"/>
      <c r="C150" s="404"/>
      <c r="F150" s="293"/>
      <c r="G150" s="294"/>
      <c r="H150" s="293"/>
      <c r="I150" s="294"/>
      <c r="J150" s="294"/>
    </row>
    <row r="151" spans="1:10" x14ac:dyDescent="0.2">
      <c r="A151" s="294"/>
      <c r="C151" s="404"/>
      <c r="F151" s="293"/>
      <c r="G151" s="294"/>
      <c r="H151" s="293"/>
      <c r="I151" s="294"/>
      <c r="J151" s="294"/>
    </row>
    <row r="152" spans="1:10" x14ac:dyDescent="0.2">
      <c r="A152" s="294"/>
      <c r="C152" s="404"/>
      <c r="F152" s="293"/>
      <c r="G152" s="294"/>
      <c r="H152" s="293"/>
      <c r="I152" s="294"/>
      <c r="J152" s="294"/>
    </row>
    <row r="153" spans="1:10" x14ac:dyDescent="0.2">
      <c r="A153" s="294"/>
      <c r="C153" s="404"/>
      <c r="F153" s="293"/>
      <c r="G153" s="294"/>
      <c r="H153" s="293"/>
      <c r="I153" s="294"/>
      <c r="J153" s="294"/>
    </row>
    <row r="154" spans="1:10" x14ac:dyDescent="0.2">
      <c r="A154" s="34"/>
      <c r="B154" s="221"/>
      <c r="C154" s="221"/>
      <c r="D154" s="221"/>
      <c r="E154" s="221"/>
      <c r="F154" s="269"/>
      <c r="G154" s="34"/>
      <c r="H154" s="269"/>
      <c r="I154" s="34"/>
      <c r="J154" s="34"/>
    </row>
    <row r="155" spans="1:10" x14ac:dyDescent="0.2">
      <c r="A155" s="34"/>
      <c r="B155" s="221"/>
      <c r="C155" s="221"/>
      <c r="D155" s="221"/>
      <c r="E155" s="221"/>
      <c r="F155" s="269"/>
      <c r="G155" s="34"/>
      <c r="H155" s="269"/>
      <c r="I155" s="34"/>
      <c r="J155" s="34"/>
    </row>
    <row r="156" spans="1:10" x14ac:dyDescent="0.2">
      <c r="A156" s="34"/>
      <c r="B156" s="221"/>
      <c r="C156" s="221"/>
      <c r="D156" s="221"/>
      <c r="E156" s="221"/>
      <c r="F156" s="269"/>
      <c r="G156" s="34"/>
      <c r="H156" s="269"/>
      <c r="I156" s="34"/>
      <c r="J156" s="34"/>
    </row>
    <row r="157" spans="1:10" x14ac:dyDescent="0.2">
      <c r="A157" s="34"/>
      <c r="B157" s="221"/>
      <c r="C157" s="221"/>
      <c r="D157" s="221"/>
      <c r="E157" s="221"/>
      <c r="F157" s="269"/>
      <c r="G157" s="34"/>
      <c r="H157" s="269"/>
      <c r="I157" s="34"/>
      <c r="J157" s="34"/>
    </row>
    <row r="158" spans="1:10" x14ac:dyDescent="0.2">
      <c r="A158" s="34"/>
      <c r="B158" s="221"/>
      <c r="C158" s="221"/>
      <c r="D158" s="221"/>
      <c r="E158" s="221"/>
      <c r="F158" s="269"/>
      <c r="G158" s="34"/>
      <c r="H158" s="269"/>
      <c r="I158" s="34"/>
      <c r="J158" s="34"/>
    </row>
    <row r="159" spans="1:10" x14ac:dyDescent="0.2">
      <c r="A159" s="34"/>
      <c r="B159" s="221"/>
      <c r="C159" s="221"/>
      <c r="D159" s="221"/>
      <c r="E159" s="221"/>
      <c r="F159" s="269"/>
      <c r="G159" s="34"/>
      <c r="H159" s="269"/>
      <c r="I159" s="34"/>
      <c r="J159" s="34"/>
    </row>
    <row r="160" spans="1:10" x14ac:dyDescent="0.2">
      <c r="A160" s="34"/>
      <c r="B160" s="221"/>
      <c r="C160" s="221"/>
      <c r="D160" s="221"/>
      <c r="E160" s="221"/>
      <c r="F160" s="269"/>
      <c r="G160" s="34"/>
      <c r="H160" s="269"/>
      <c r="I160" s="34"/>
      <c r="J160" s="34"/>
    </row>
    <row r="161" spans="1:10" x14ac:dyDescent="0.2">
      <c r="A161" s="34"/>
      <c r="B161" s="221"/>
      <c r="C161" s="221"/>
      <c r="D161" s="221"/>
      <c r="E161" s="221"/>
      <c r="F161" s="269"/>
      <c r="G161" s="34"/>
      <c r="H161" s="269"/>
      <c r="I161" s="34"/>
      <c r="J161" s="34"/>
    </row>
    <row r="162" spans="1:10" x14ac:dyDescent="0.2">
      <c r="A162" s="34"/>
      <c r="B162" s="221"/>
      <c r="C162" s="221"/>
      <c r="D162" s="221"/>
      <c r="E162" s="221"/>
      <c r="F162" s="269"/>
      <c r="G162" s="34"/>
      <c r="H162" s="269"/>
      <c r="I162" s="34"/>
      <c r="J162" s="34"/>
    </row>
    <row r="163" spans="1:10" x14ac:dyDescent="0.2">
      <c r="A163" s="34"/>
      <c r="B163" s="221"/>
      <c r="C163" s="221"/>
      <c r="D163" s="221"/>
      <c r="E163" s="221"/>
      <c r="F163" s="269"/>
      <c r="G163" s="34"/>
      <c r="H163" s="269"/>
      <c r="I163" s="34"/>
      <c r="J163" s="34"/>
    </row>
    <row r="164" spans="1:10" x14ac:dyDescent="0.2">
      <c r="A164" s="34"/>
      <c r="B164" s="221"/>
      <c r="C164" s="221"/>
      <c r="D164" s="221"/>
      <c r="E164" s="221"/>
      <c r="F164" s="269"/>
      <c r="G164" s="34"/>
      <c r="H164" s="269"/>
      <c r="I164" s="34"/>
      <c r="J164" s="34"/>
    </row>
    <row r="165" spans="1:10" x14ac:dyDescent="0.2">
      <c r="A165" s="34"/>
      <c r="B165" s="221"/>
      <c r="C165" s="221"/>
      <c r="D165" s="221"/>
      <c r="E165" s="221"/>
      <c r="F165" s="269"/>
      <c r="G165" s="34"/>
      <c r="H165" s="269"/>
      <c r="I165" s="34"/>
      <c r="J165" s="34"/>
    </row>
    <row r="166" spans="1:10" x14ac:dyDescent="0.2">
      <c r="A166" s="34"/>
      <c r="B166" s="221"/>
      <c r="C166" s="221"/>
      <c r="D166" s="221"/>
      <c r="E166" s="221"/>
      <c r="F166" s="269"/>
      <c r="G166" s="34"/>
      <c r="H166" s="269"/>
      <c r="I166" s="34"/>
      <c r="J166" s="34"/>
    </row>
    <row r="167" spans="1:10" x14ac:dyDescent="0.2">
      <c r="A167" s="34"/>
      <c r="B167" s="221"/>
      <c r="C167" s="221"/>
      <c r="D167" s="221"/>
      <c r="E167" s="221"/>
      <c r="F167" s="269"/>
      <c r="G167" s="34"/>
      <c r="H167" s="269"/>
      <c r="I167" s="34"/>
      <c r="J167" s="34"/>
    </row>
    <row r="168" spans="1:10" x14ac:dyDescent="0.2">
      <c r="A168" s="34"/>
      <c r="B168" s="221"/>
      <c r="C168" s="221"/>
      <c r="D168" s="221"/>
      <c r="E168" s="221"/>
      <c r="F168" s="269"/>
      <c r="G168" s="34"/>
      <c r="H168" s="269"/>
      <c r="I168" s="34"/>
      <c r="J168" s="34"/>
    </row>
    <row r="169" spans="1:10" x14ac:dyDescent="0.2">
      <c r="A169" s="34"/>
      <c r="B169" s="221"/>
      <c r="C169" s="221"/>
      <c r="D169" s="221"/>
      <c r="E169" s="221"/>
      <c r="F169" s="269"/>
      <c r="G169" s="34"/>
      <c r="H169" s="269"/>
      <c r="I169" s="34"/>
      <c r="J169" s="34"/>
    </row>
    <row r="170" spans="1:10" x14ac:dyDescent="0.2">
      <c r="A170" s="34"/>
      <c r="B170" s="221"/>
      <c r="C170" s="221"/>
      <c r="D170" s="221"/>
      <c r="E170" s="221"/>
      <c r="F170" s="269"/>
      <c r="G170" s="34"/>
      <c r="H170" s="269"/>
      <c r="I170" s="34"/>
      <c r="J170" s="34"/>
    </row>
    <row r="171" spans="1:10" x14ac:dyDescent="0.2">
      <c r="A171" s="34"/>
      <c r="B171" s="221"/>
      <c r="C171" s="221"/>
      <c r="D171" s="221"/>
      <c r="E171" s="221"/>
      <c r="F171" s="269"/>
      <c r="G171" s="34"/>
      <c r="H171" s="269"/>
      <c r="I171" s="34"/>
      <c r="J171" s="34"/>
    </row>
    <row r="172" spans="1:10" x14ac:dyDescent="0.2">
      <c r="A172" s="34"/>
      <c r="B172" s="221"/>
      <c r="C172" s="221"/>
      <c r="D172" s="221"/>
      <c r="E172" s="221"/>
      <c r="F172" s="269"/>
      <c r="G172" s="34"/>
      <c r="H172" s="269"/>
      <c r="I172" s="34"/>
      <c r="J172" s="34"/>
    </row>
    <row r="173" spans="1:10" x14ac:dyDescent="0.2">
      <c r="A173" s="34"/>
      <c r="B173" s="221"/>
      <c r="C173" s="221"/>
      <c r="D173" s="221"/>
      <c r="E173" s="221"/>
      <c r="F173" s="269"/>
      <c r="G173" s="34"/>
      <c r="H173" s="269"/>
      <c r="I173" s="34"/>
      <c r="J173" s="34"/>
    </row>
    <row r="174" spans="1:10" x14ac:dyDescent="0.2">
      <c r="A174" s="34"/>
      <c r="B174" s="221"/>
      <c r="C174" s="221"/>
      <c r="D174" s="221"/>
      <c r="E174" s="221"/>
      <c r="F174" s="269"/>
      <c r="G174" s="34"/>
      <c r="H174" s="269"/>
      <c r="I174" s="34"/>
      <c r="J174" s="34"/>
    </row>
    <row r="175" spans="1:10" x14ac:dyDescent="0.2">
      <c r="A175" s="34"/>
      <c r="B175" s="221"/>
      <c r="C175" s="221"/>
      <c r="D175" s="221"/>
      <c r="E175" s="221"/>
      <c r="F175" s="269"/>
      <c r="G175" s="34"/>
      <c r="H175" s="269"/>
      <c r="I175" s="34"/>
      <c r="J175" s="34"/>
    </row>
    <row r="176" spans="1:10" x14ac:dyDescent="0.2">
      <c r="A176" s="34"/>
      <c r="B176" s="221"/>
      <c r="C176" s="221"/>
      <c r="D176" s="221"/>
      <c r="E176" s="221"/>
      <c r="F176" s="269"/>
      <c r="G176" s="34"/>
      <c r="H176" s="269"/>
      <c r="I176" s="34"/>
      <c r="J176" s="34"/>
    </row>
    <row r="177" spans="1:10" x14ac:dyDescent="0.2">
      <c r="A177" s="34"/>
      <c r="B177" s="221"/>
      <c r="C177" s="221"/>
      <c r="D177" s="221"/>
      <c r="E177" s="221"/>
      <c r="F177" s="269"/>
      <c r="G177" s="34"/>
      <c r="H177" s="269"/>
      <c r="I177" s="34"/>
      <c r="J177" s="34"/>
    </row>
    <row r="178" spans="1:10" x14ac:dyDescent="0.2">
      <c r="A178" s="34"/>
      <c r="B178" s="221"/>
      <c r="C178" s="221"/>
      <c r="D178" s="221"/>
      <c r="E178" s="221"/>
      <c r="F178" s="269"/>
      <c r="G178" s="34"/>
      <c r="H178" s="269"/>
      <c r="I178" s="34"/>
      <c r="J178" s="34"/>
    </row>
    <row r="179" spans="1:10" x14ac:dyDescent="0.2">
      <c r="A179" s="34"/>
      <c r="B179" s="221"/>
      <c r="C179" s="221"/>
      <c r="D179" s="221"/>
      <c r="E179" s="221"/>
      <c r="F179" s="269"/>
      <c r="G179" s="34"/>
      <c r="H179" s="269"/>
      <c r="I179" s="34"/>
      <c r="J179" s="34"/>
    </row>
    <row r="180" spans="1:10" x14ac:dyDescent="0.2">
      <c r="A180" s="34"/>
      <c r="B180" s="221"/>
      <c r="C180" s="221"/>
      <c r="D180" s="221"/>
      <c r="E180" s="221"/>
      <c r="F180" s="269"/>
      <c r="G180" s="34"/>
      <c r="H180" s="269"/>
      <c r="I180" s="34"/>
      <c r="J180" s="34"/>
    </row>
    <row r="181" spans="1:10" x14ac:dyDescent="0.2">
      <c r="A181" s="34"/>
      <c r="B181" s="221"/>
      <c r="C181" s="221"/>
      <c r="D181" s="221"/>
      <c r="E181" s="221"/>
      <c r="F181" s="269"/>
      <c r="G181" s="34"/>
      <c r="H181" s="269"/>
      <c r="I181" s="34"/>
      <c r="J181" s="34"/>
    </row>
    <row r="182" spans="1:10" x14ac:dyDescent="0.2">
      <c r="A182" s="34"/>
      <c r="B182" s="221"/>
      <c r="C182" s="221"/>
      <c r="D182" s="221"/>
      <c r="E182" s="221"/>
      <c r="F182" s="269"/>
      <c r="G182" s="34"/>
      <c r="H182" s="269"/>
      <c r="I182" s="34"/>
      <c r="J182" s="34"/>
    </row>
    <row r="183" spans="1:10" x14ac:dyDescent="0.2">
      <c r="A183" s="34"/>
      <c r="B183" s="221"/>
      <c r="C183" s="221"/>
      <c r="D183" s="221"/>
      <c r="E183" s="221"/>
      <c r="F183" s="269"/>
      <c r="G183" s="34"/>
      <c r="H183" s="269"/>
      <c r="I183" s="34"/>
      <c r="J183" s="34"/>
    </row>
    <row r="184" spans="1:10" x14ac:dyDescent="0.2">
      <c r="A184" s="34"/>
      <c r="B184" s="221"/>
      <c r="C184" s="221"/>
      <c r="D184" s="221"/>
      <c r="E184" s="221"/>
      <c r="F184" s="269"/>
      <c r="G184" s="34"/>
      <c r="H184" s="269"/>
      <c r="I184" s="34"/>
      <c r="J184" s="34"/>
    </row>
    <row r="185" spans="1:10" x14ac:dyDescent="0.2">
      <c r="A185" s="34"/>
      <c r="B185" s="221"/>
      <c r="C185" s="221"/>
      <c r="D185" s="221"/>
      <c r="E185" s="221"/>
      <c r="F185" s="269"/>
      <c r="G185" s="34"/>
      <c r="H185" s="269"/>
      <c r="I185" s="34"/>
      <c r="J185" s="34"/>
    </row>
    <row r="186" spans="1:10" x14ac:dyDescent="0.2">
      <c r="A186" s="34"/>
      <c r="B186" s="221"/>
      <c r="C186" s="221"/>
      <c r="D186" s="221"/>
      <c r="E186" s="221"/>
      <c r="F186" s="269"/>
      <c r="G186" s="34"/>
      <c r="H186" s="269"/>
      <c r="I186" s="34"/>
      <c r="J186" s="34"/>
    </row>
    <row r="187" spans="1:10" x14ac:dyDescent="0.2">
      <c r="A187" s="34"/>
      <c r="B187" s="221"/>
      <c r="C187" s="221"/>
      <c r="D187" s="221"/>
      <c r="E187" s="221"/>
      <c r="F187" s="269"/>
      <c r="G187" s="34"/>
      <c r="H187" s="269"/>
      <c r="I187" s="34"/>
      <c r="J187" s="34"/>
    </row>
    <row r="188" spans="1:10" x14ac:dyDescent="0.2">
      <c r="A188" s="34"/>
      <c r="B188" s="221"/>
      <c r="C188" s="221"/>
      <c r="D188" s="221"/>
      <c r="E188" s="221"/>
      <c r="F188" s="269"/>
      <c r="G188" s="34"/>
      <c r="H188" s="269"/>
      <c r="I188" s="34"/>
      <c r="J188" s="34"/>
    </row>
    <row r="189" spans="1:10" x14ac:dyDescent="0.2">
      <c r="A189" s="34"/>
      <c r="B189" s="221"/>
      <c r="C189" s="221"/>
      <c r="D189" s="221"/>
      <c r="E189" s="221"/>
      <c r="F189" s="269"/>
      <c r="G189" s="34"/>
      <c r="H189" s="269"/>
      <c r="I189" s="34"/>
      <c r="J189" s="34"/>
    </row>
    <row r="190" spans="1:10" x14ac:dyDescent="0.2">
      <c r="A190" s="34"/>
      <c r="B190" s="221"/>
      <c r="C190" s="221"/>
      <c r="D190" s="221"/>
      <c r="E190" s="221"/>
      <c r="F190" s="269"/>
      <c r="G190" s="34"/>
      <c r="H190" s="269"/>
      <c r="I190" s="34"/>
      <c r="J190" s="34"/>
    </row>
    <row r="191" spans="1:10" x14ac:dyDescent="0.2">
      <c r="A191" s="34"/>
      <c r="B191" s="221"/>
      <c r="C191" s="221"/>
      <c r="D191" s="221"/>
      <c r="E191" s="221"/>
      <c r="F191" s="269"/>
      <c r="G191" s="34"/>
      <c r="H191" s="269"/>
      <c r="I191" s="34"/>
      <c r="J191" s="34"/>
    </row>
    <row r="192" spans="1:10" x14ac:dyDescent="0.2">
      <c r="A192" s="34"/>
      <c r="B192" s="221"/>
      <c r="C192" s="221"/>
      <c r="D192" s="221"/>
      <c r="E192" s="221"/>
      <c r="F192" s="269"/>
      <c r="G192" s="34"/>
      <c r="H192" s="269"/>
      <c r="I192" s="34"/>
      <c r="J192" s="34"/>
    </row>
    <row r="193" spans="1:10" x14ac:dyDescent="0.2">
      <c r="A193" s="34"/>
      <c r="B193" s="221"/>
      <c r="C193" s="221"/>
      <c r="D193" s="221"/>
      <c r="E193" s="221"/>
      <c r="F193" s="269"/>
      <c r="G193" s="34"/>
      <c r="H193" s="269"/>
      <c r="I193" s="34"/>
      <c r="J193" s="34"/>
    </row>
    <row r="194" spans="1:10" x14ac:dyDescent="0.2">
      <c r="A194" s="34"/>
      <c r="B194" s="221"/>
      <c r="C194" s="221"/>
      <c r="D194" s="221"/>
      <c r="E194" s="221"/>
      <c r="F194" s="269"/>
      <c r="G194" s="34"/>
      <c r="H194" s="269"/>
      <c r="I194" s="34"/>
      <c r="J194" s="34"/>
    </row>
    <row r="195" spans="1:10" x14ac:dyDescent="0.2">
      <c r="A195" s="34"/>
      <c r="B195" s="221"/>
      <c r="C195" s="221"/>
      <c r="D195" s="221"/>
      <c r="E195" s="221"/>
      <c r="F195" s="269"/>
      <c r="G195" s="34"/>
      <c r="H195" s="269"/>
      <c r="I195" s="34"/>
      <c r="J195" s="34"/>
    </row>
    <row r="196" spans="1:10" x14ac:dyDescent="0.2">
      <c r="A196" s="34"/>
      <c r="B196" s="221"/>
      <c r="C196" s="221"/>
      <c r="D196" s="221"/>
      <c r="E196" s="221"/>
      <c r="F196" s="269"/>
      <c r="G196" s="34"/>
      <c r="H196" s="269"/>
      <c r="I196" s="34"/>
      <c r="J196" s="34"/>
    </row>
    <row r="197" spans="1:10" x14ac:dyDescent="0.2">
      <c r="A197" s="34"/>
      <c r="B197" s="221"/>
      <c r="C197" s="221"/>
      <c r="D197" s="221"/>
      <c r="E197" s="221"/>
      <c r="F197" s="269"/>
      <c r="G197" s="34"/>
      <c r="H197" s="269"/>
      <c r="I197" s="34"/>
      <c r="J197" s="34"/>
    </row>
    <row r="198" spans="1:10" x14ac:dyDescent="0.2">
      <c r="A198" s="34"/>
      <c r="B198" s="221"/>
      <c r="C198" s="221"/>
      <c r="D198" s="221"/>
      <c r="E198" s="221"/>
      <c r="F198" s="269"/>
      <c r="G198" s="34"/>
      <c r="H198" s="269"/>
      <c r="I198" s="34"/>
      <c r="J198" s="34"/>
    </row>
    <row r="199" spans="1:10" x14ac:dyDescent="0.2">
      <c r="A199" s="34"/>
      <c r="B199" s="221"/>
      <c r="C199" s="221"/>
      <c r="D199" s="221"/>
      <c r="E199" s="221"/>
      <c r="F199" s="269"/>
      <c r="G199" s="34"/>
      <c r="H199" s="269"/>
      <c r="I199" s="34"/>
      <c r="J199" s="34"/>
    </row>
    <row r="200" spans="1:10" x14ac:dyDescent="0.2">
      <c r="A200" s="34"/>
      <c r="B200" s="221"/>
      <c r="C200" s="221"/>
      <c r="D200" s="221"/>
      <c r="E200" s="221"/>
      <c r="F200" s="269"/>
      <c r="G200" s="34"/>
      <c r="H200" s="269"/>
      <c r="I200" s="34"/>
      <c r="J200" s="34"/>
    </row>
    <row r="201" spans="1:10" x14ac:dyDescent="0.2">
      <c r="A201" s="34"/>
      <c r="B201" s="221"/>
      <c r="C201" s="221"/>
      <c r="D201" s="221"/>
      <c r="E201" s="221"/>
      <c r="F201" s="269"/>
      <c r="G201" s="34"/>
      <c r="H201" s="269"/>
      <c r="I201" s="34"/>
      <c r="J201" s="34"/>
    </row>
    <row r="202" spans="1:10" x14ac:dyDescent="0.2">
      <c r="A202" s="34"/>
      <c r="B202" s="221"/>
      <c r="C202" s="221"/>
      <c r="D202" s="221"/>
      <c r="E202" s="221"/>
      <c r="F202" s="269"/>
      <c r="G202" s="34"/>
      <c r="H202" s="269"/>
      <c r="I202" s="34"/>
      <c r="J202" s="34"/>
    </row>
    <row r="203" spans="1:10" x14ac:dyDescent="0.2">
      <c r="A203" s="34"/>
      <c r="B203" s="221"/>
      <c r="C203" s="221"/>
      <c r="D203" s="221"/>
      <c r="E203" s="221"/>
      <c r="F203" s="269"/>
      <c r="G203" s="34"/>
      <c r="H203" s="269"/>
      <c r="I203" s="34"/>
      <c r="J203" s="34"/>
    </row>
    <row r="204" spans="1:10" x14ac:dyDescent="0.2">
      <c r="A204" s="34"/>
      <c r="B204" s="221"/>
      <c r="C204" s="221"/>
      <c r="D204" s="221"/>
      <c r="E204" s="221"/>
      <c r="F204" s="269"/>
      <c r="G204" s="34"/>
      <c r="H204" s="269"/>
      <c r="I204" s="34"/>
      <c r="J204" s="34"/>
    </row>
    <row r="205" spans="1:10" x14ac:dyDescent="0.2">
      <c r="A205" s="34"/>
      <c r="B205" s="221"/>
      <c r="C205" s="221"/>
      <c r="D205" s="221"/>
      <c r="E205" s="221"/>
      <c r="F205" s="269"/>
      <c r="G205" s="34"/>
      <c r="H205" s="269"/>
      <c r="I205" s="34"/>
      <c r="J205" s="34"/>
    </row>
    <row r="206" spans="1:10" x14ac:dyDescent="0.2">
      <c r="A206" s="34"/>
      <c r="B206" s="221"/>
      <c r="C206" s="221"/>
      <c r="D206" s="221"/>
      <c r="E206" s="221"/>
      <c r="F206" s="269"/>
      <c r="G206" s="34"/>
      <c r="H206" s="269"/>
      <c r="I206" s="34"/>
      <c r="J206" s="34"/>
    </row>
    <row r="207" spans="1:10" x14ac:dyDescent="0.2">
      <c r="A207" s="34"/>
      <c r="B207" s="221"/>
      <c r="C207" s="221"/>
      <c r="D207" s="221"/>
      <c r="E207" s="221"/>
      <c r="F207" s="269"/>
      <c r="G207" s="34"/>
      <c r="H207" s="269"/>
      <c r="I207" s="34"/>
      <c r="J207" s="34"/>
    </row>
    <row r="208" spans="1:10" x14ac:dyDescent="0.2">
      <c r="A208" s="34"/>
      <c r="B208" s="221"/>
      <c r="C208" s="221"/>
      <c r="D208" s="221"/>
      <c r="E208" s="221"/>
      <c r="F208" s="269"/>
      <c r="G208" s="34"/>
      <c r="H208" s="269"/>
      <c r="I208" s="34"/>
      <c r="J208" s="34"/>
    </row>
    <row r="209" spans="1:10" x14ac:dyDescent="0.2">
      <c r="A209" s="34"/>
      <c r="B209" s="221"/>
      <c r="C209" s="221"/>
      <c r="D209" s="221"/>
      <c r="E209" s="221"/>
      <c r="F209" s="269"/>
      <c r="G209" s="34"/>
      <c r="H209" s="269"/>
      <c r="I209" s="34"/>
      <c r="J209" s="34"/>
    </row>
    <row r="210" spans="1:10" x14ac:dyDescent="0.2">
      <c r="A210" s="34"/>
      <c r="B210" s="221"/>
      <c r="C210" s="221"/>
      <c r="D210" s="221"/>
      <c r="E210" s="221"/>
      <c r="F210" s="269"/>
      <c r="G210" s="34"/>
      <c r="H210" s="269"/>
      <c r="I210" s="34"/>
      <c r="J210" s="34"/>
    </row>
    <row r="211" spans="1:10" x14ac:dyDescent="0.2">
      <c r="A211" s="34"/>
      <c r="B211" s="221"/>
      <c r="C211" s="221"/>
      <c r="D211" s="221"/>
      <c r="E211" s="221"/>
      <c r="F211" s="269"/>
      <c r="G211" s="34"/>
      <c r="H211" s="269"/>
      <c r="I211" s="34"/>
      <c r="J211" s="34"/>
    </row>
    <row r="212" spans="1:10" x14ac:dyDescent="0.2">
      <c r="A212" s="34"/>
      <c r="B212" s="221"/>
      <c r="C212" s="221"/>
      <c r="D212" s="221"/>
      <c r="E212" s="221"/>
      <c r="F212" s="269"/>
      <c r="G212" s="34"/>
      <c r="H212" s="269"/>
      <c r="I212" s="34"/>
      <c r="J212" s="34"/>
    </row>
    <row r="213" spans="1:10" x14ac:dyDescent="0.2">
      <c r="A213" s="34"/>
      <c r="B213" s="221"/>
      <c r="C213" s="221"/>
      <c r="D213" s="221"/>
      <c r="E213" s="221"/>
      <c r="F213" s="269"/>
      <c r="G213" s="34"/>
      <c r="H213" s="269"/>
      <c r="I213" s="34"/>
      <c r="J213" s="34"/>
    </row>
    <row r="214" spans="1:10" x14ac:dyDescent="0.2">
      <c r="A214" s="34"/>
      <c r="B214" s="221"/>
      <c r="C214" s="221"/>
      <c r="D214" s="221"/>
      <c r="E214" s="221"/>
      <c r="F214" s="269"/>
      <c r="G214" s="34"/>
      <c r="H214" s="269"/>
      <c r="I214" s="34"/>
      <c r="J214" s="34"/>
    </row>
    <row r="215" spans="1:10" x14ac:dyDescent="0.2">
      <c r="A215" s="34"/>
      <c r="B215" s="221"/>
      <c r="C215" s="221"/>
      <c r="D215" s="221"/>
      <c r="E215" s="221"/>
      <c r="F215" s="269"/>
      <c r="G215" s="34"/>
      <c r="H215" s="269"/>
      <c r="I215" s="34"/>
      <c r="J215" s="34"/>
    </row>
    <row r="216" spans="1:10" x14ac:dyDescent="0.2">
      <c r="A216" s="34"/>
      <c r="B216" s="221"/>
      <c r="C216" s="221"/>
      <c r="D216" s="221"/>
      <c r="E216" s="221"/>
      <c r="F216" s="269"/>
      <c r="G216" s="34"/>
      <c r="H216" s="269"/>
      <c r="I216" s="34"/>
      <c r="J216" s="34"/>
    </row>
    <row r="217" spans="1:10" x14ac:dyDescent="0.2">
      <c r="A217" s="34"/>
      <c r="B217" s="221"/>
      <c r="C217" s="221"/>
      <c r="D217" s="221"/>
      <c r="E217" s="221"/>
      <c r="F217" s="269"/>
      <c r="G217" s="34"/>
      <c r="H217" s="269"/>
      <c r="I217" s="34"/>
      <c r="J217" s="34"/>
    </row>
    <row r="218" spans="1:10" x14ac:dyDescent="0.2">
      <c r="A218" s="34"/>
      <c r="B218" s="221"/>
      <c r="C218" s="221"/>
      <c r="D218" s="221"/>
      <c r="E218" s="221"/>
      <c r="F218" s="269"/>
      <c r="G218" s="34"/>
      <c r="H218" s="269"/>
      <c r="I218" s="34"/>
      <c r="J218" s="34"/>
    </row>
    <row r="219" spans="1:10" x14ac:dyDescent="0.2">
      <c r="A219" s="34"/>
      <c r="B219" s="221"/>
      <c r="C219" s="221"/>
      <c r="D219" s="221"/>
      <c r="E219" s="221"/>
      <c r="F219" s="269"/>
      <c r="G219" s="34"/>
      <c r="H219" s="269"/>
      <c r="I219" s="34"/>
      <c r="J219" s="34"/>
    </row>
    <row r="220" spans="1:10" x14ac:dyDescent="0.2">
      <c r="A220" s="34"/>
      <c r="B220" s="221"/>
      <c r="C220" s="221"/>
      <c r="D220" s="221"/>
      <c r="E220" s="221"/>
      <c r="F220" s="269"/>
      <c r="G220" s="34"/>
      <c r="H220" s="269"/>
      <c r="I220" s="34"/>
      <c r="J220" s="34"/>
    </row>
    <row r="221" spans="1:10" x14ac:dyDescent="0.2">
      <c r="A221" s="34"/>
      <c r="B221" s="221"/>
      <c r="C221" s="221"/>
      <c r="D221" s="221"/>
      <c r="E221" s="221"/>
      <c r="F221" s="269"/>
      <c r="G221" s="34"/>
      <c r="H221" s="269"/>
      <c r="I221" s="34"/>
      <c r="J221" s="34"/>
    </row>
    <row r="222" spans="1:10" x14ac:dyDescent="0.2">
      <c r="A222" s="34"/>
      <c r="B222" s="221"/>
      <c r="C222" s="221"/>
      <c r="D222" s="221"/>
      <c r="E222" s="221"/>
      <c r="F222" s="269"/>
      <c r="G222" s="34"/>
      <c r="H222" s="269"/>
      <c r="I222" s="34"/>
      <c r="J222" s="34"/>
    </row>
    <row r="223" spans="1:10" x14ac:dyDescent="0.2">
      <c r="A223" s="34"/>
      <c r="B223" s="221"/>
      <c r="C223" s="221"/>
      <c r="D223" s="221"/>
      <c r="E223" s="221"/>
      <c r="F223" s="269"/>
      <c r="G223" s="34"/>
      <c r="H223" s="269"/>
      <c r="I223" s="34"/>
      <c r="J223" s="34"/>
    </row>
    <row r="224" spans="1:10" x14ac:dyDescent="0.2">
      <c r="A224" s="34"/>
      <c r="B224" s="221"/>
      <c r="C224" s="221"/>
      <c r="D224" s="221"/>
      <c r="E224" s="221"/>
      <c r="F224" s="269"/>
      <c r="G224" s="34"/>
      <c r="H224" s="269"/>
      <c r="I224" s="34"/>
      <c r="J224" s="34"/>
    </row>
    <row r="225" spans="1:10" x14ac:dyDescent="0.2">
      <c r="A225" s="34"/>
      <c r="B225" s="221"/>
      <c r="C225" s="221"/>
      <c r="D225" s="221"/>
      <c r="E225" s="221"/>
      <c r="F225" s="269"/>
      <c r="G225" s="34"/>
      <c r="H225" s="269"/>
      <c r="I225" s="34"/>
      <c r="J225" s="34"/>
    </row>
    <row r="226" spans="1:10" x14ac:dyDescent="0.2">
      <c r="A226" s="34"/>
      <c r="B226" s="221"/>
      <c r="C226" s="221"/>
      <c r="D226" s="221"/>
      <c r="E226" s="221"/>
      <c r="F226" s="269"/>
      <c r="G226" s="34"/>
      <c r="H226" s="269"/>
      <c r="I226" s="34"/>
      <c r="J226" s="34"/>
    </row>
    <row r="227" spans="1:10" x14ac:dyDescent="0.2">
      <c r="A227" s="34"/>
      <c r="B227" s="221"/>
      <c r="C227" s="221"/>
      <c r="D227" s="221"/>
      <c r="E227" s="221"/>
      <c r="F227" s="269"/>
      <c r="G227" s="34"/>
      <c r="H227" s="269"/>
      <c r="I227" s="34"/>
      <c r="J227" s="34"/>
    </row>
    <row r="228" spans="1:10" x14ac:dyDescent="0.2">
      <c r="A228" s="34"/>
      <c r="B228" s="221"/>
      <c r="C228" s="221"/>
      <c r="D228" s="221"/>
      <c r="E228" s="221"/>
      <c r="F228" s="269"/>
      <c r="G228" s="34"/>
      <c r="H228" s="269"/>
      <c r="I228" s="34"/>
      <c r="J228" s="34"/>
    </row>
    <row r="229" spans="1:10" x14ac:dyDescent="0.2">
      <c r="A229" s="34"/>
      <c r="B229" s="221"/>
      <c r="C229" s="221"/>
      <c r="D229" s="221"/>
      <c r="E229" s="221"/>
      <c r="F229" s="269"/>
      <c r="G229" s="34"/>
      <c r="H229" s="269"/>
      <c r="I229" s="34"/>
      <c r="J229" s="34"/>
    </row>
    <row r="230" spans="1:10" x14ac:dyDescent="0.2">
      <c r="A230" s="34"/>
      <c r="B230" s="221"/>
      <c r="C230" s="221"/>
      <c r="D230" s="221"/>
      <c r="E230" s="221"/>
      <c r="F230" s="269"/>
      <c r="G230" s="34"/>
      <c r="H230" s="269"/>
      <c r="I230" s="34"/>
      <c r="J230" s="34"/>
    </row>
    <row r="231" spans="1:10" x14ac:dyDescent="0.2">
      <c r="A231" s="34"/>
      <c r="B231" s="221"/>
      <c r="C231" s="221"/>
      <c r="D231" s="221"/>
      <c r="E231" s="221"/>
      <c r="F231" s="269"/>
      <c r="G231" s="34"/>
      <c r="H231" s="269"/>
      <c r="I231" s="34"/>
      <c r="J231" s="34"/>
    </row>
    <row r="232" spans="1:10" x14ac:dyDescent="0.2">
      <c r="A232" s="34"/>
      <c r="B232" s="221"/>
      <c r="C232" s="221"/>
      <c r="D232" s="221"/>
      <c r="E232" s="221"/>
      <c r="F232" s="269"/>
      <c r="G232" s="34"/>
      <c r="H232" s="269"/>
      <c r="I232" s="34"/>
      <c r="J232" s="34"/>
    </row>
    <row r="233" spans="1:10" x14ac:dyDescent="0.2">
      <c r="A233" s="34"/>
      <c r="B233" s="221"/>
      <c r="C233" s="221"/>
      <c r="D233" s="221"/>
      <c r="E233" s="221"/>
      <c r="F233" s="269"/>
      <c r="G233" s="34"/>
      <c r="H233" s="269"/>
      <c r="I233" s="34"/>
      <c r="J233" s="34"/>
    </row>
    <row r="234" spans="1:10" x14ac:dyDescent="0.2">
      <c r="A234" s="34"/>
      <c r="B234" s="221"/>
      <c r="C234" s="221"/>
      <c r="D234" s="221"/>
      <c r="E234" s="221"/>
      <c r="F234" s="269"/>
      <c r="G234" s="34"/>
      <c r="H234" s="269"/>
      <c r="I234" s="34"/>
      <c r="J234" s="34"/>
    </row>
    <row r="235" spans="1:10" x14ac:dyDescent="0.2">
      <c r="A235" s="34"/>
      <c r="B235" s="221"/>
      <c r="C235" s="221"/>
      <c r="D235" s="221"/>
      <c r="E235" s="221"/>
      <c r="F235" s="269"/>
      <c r="G235" s="34"/>
      <c r="H235" s="269"/>
      <c r="I235" s="34"/>
      <c r="J235" s="34"/>
    </row>
    <row r="236" spans="1:10" x14ac:dyDescent="0.2">
      <c r="A236" s="34"/>
      <c r="B236" s="221"/>
      <c r="C236" s="221"/>
      <c r="D236" s="221"/>
      <c r="E236" s="221"/>
      <c r="F236" s="269"/>
      <c r="G236" s="34"/>
      <c r="H236" s="269"/>
      <c r="I236" s="34"/>
      <c r="J236" s="34"/>
    </row>
    <row r="237" spans="1:10" x14ac:dyDescent="0.2">
      <c r="A237" s="34"/>
      <c r="B237" s="221"/>
      <c r="C237" s="221"/>
      <c r="D237" s="221"/>
      <c r="E237" s="221"/>
      <c r="F237" s="269"/>
      <c r="G237" s="34"/>
      <c r="H237" s="269"/>
      <c r="I237" s="34"/>
      <c r="J237" s="34"/>
    </row>
    <row r="238" spans="1:10" x14ac:dyDescent="0.2">
      <c r="A238" s="34"/>
      <c r="B238" s="221"/>
      <c r="C238" s="221"/>
      <c r="D238" s="221"/>
      <c r="E238" s="221"/>
      <c r="F238" s="269"/>
      <c r="G238" s="34"/>
      <c r="H238" s="269"/>
      <c r="I238" s="34"/>
      <c r="J238" s="34"/>
    </row>
    <row r="239" spans="1:10" x14ac:dyDescent="0.2">
      <c r="A239" s="34"/>
      <c r="B239" s="221"/>
      <c r="C239" s="221"/>
      <c r="D239" s="221"/>
      <c r="E239" s="221"/>
      <c r="F239" s="269"/>
      <c r="G239" s="34"/>
      <c r="H239" s="269"/>
      <c r="I239" s="34"/>
      <c r="J239" s="34"/>
    </row>
    <row r="240" spans="1:10" x14ac:dyDescent="0.2">
      <c r="A240" s="34"/>
      <c r="B240" s="221"/>
      <c r="C240" s="221"/>
      <c r="D240" s="221"/>
      <c r="E240" s="221"/>
      <c r="F240" s="269"/>
      <c r="G240" s="34"/>
      <c r="H240" s="269"/>
      <c r="I240" s="34"/>
      <c r="J240" s="34"/>
    </row>
    <row r="241" spans="1:10" x14ac:dyDescent="0.2">
      <c r="A241" s="34"/>
      <c r="B241" s="221"/>
      <c r="C241" s="221"/>
      <c r="D241" s="221"/>
      <c r="E241" s="221"/>
      <c r="F241" s="269"/>
      <c r="G241" s="34"/>
      <c r="H241" s="269"/>
      <c r="I241" s="34"/>
      <c r="J241" s="34"/>
    </row>
    <row r="242" spans="1:10" x14ac:dyDescent="0.2">
      <c r="A242" s="34"/>
      <c r="B242" s="221"/>
      <c r="C242" s="221"/>
      <c r="D242" s="221"/>
      <c r="E242" s="221"/>
      <c r="F242" s="269"/>
      <c r="G242" s="34"/>
      <c r="H242" s="269"/>
      <c r="I242" s="34"/>
      <c r="J242" s="34"/>
    </row>
    <row r="243" spans="1:10" x14ac:dyDescent="0.2">
      <c r="A243" s="34"/>
      <c r="B243" s="221"/>
      <c r="C243" s="221"/>
      <c r="D243" s="221"/>
      <c r="E243" s="221"/>
      <c r="F243" s="269"/>
      <c r="G243" s="34"/>
      <c r="H243" s="269"/>
      <c r="I243" s="34"/>
      <c r="J243" s="34"/>
    </row>
    <row r="244" spans="1:10" x14ac:dyDescent="0.2">
      <c r="A244" s="34"/>
      <c r="B244" s="221"/>
      <c r="C244" s="221"/>
      <c r="D244" s="221"/>
      <c r="E244" s="221"/>
      <c r="F244" s="269"/>
      <c r="G244" s="34"/>
      <c r="H244" s="269"/>
      <c r="I244" s="34"/>
      <c r="J244" s="34"/>
    </row>
    <row r="245" spans="1:10" x14ac:dyDescent="0.2">
      <c r="A245" s="34"/>
      <c r="B245" s="221"/>
      <c r="C245" s="221"/>
      <c r="D245" s="221"/>
      <c r="E245" s="221"/>
      <c r="F245" s="269"/>
      <c r="G245" s="34"/>
      <c r="H245" s="269"/>
      <c r="I245" s="34"/>
      <c r="J245" s="34"/>
    </row>
    <row r="246" spans="1:10" x14ac:dyDescent="0.2">
      <c r="A246" s="34"/>
      <c r="B246" s="221"/>
      <c r="C246" s="221"/>
      <c r="D246" s="221"/>
      <c r="E246" s="221"/>
      <c r="F246" s="269"/>
      <c r="G246" s="34"/>
      <c r="H246" s="269"/>
      <c r="I246" s="34"/>
      <c r="J246" s="34"/>
    </row>
    <row r="247" spans="1:10" x14ac:dyDescent="0.2">
      <c r="A247" s="34"/>
      <c r="B247" s="221"/>
      <c r="C247" s="221"/>
      <c r="D247" s="221"/>
      <c r="E247" s="221"/>
      <c r="F247" s="269"/>
      <c r="G247" s="34"/>
      <c r="H247" s="269"/>
      <c r="I247" s="34"/>
      <c r="J247" s="34"/>
    </row>
    <row r="248" spans="1:10" x14ac:dyDescent="0.2">
      <c r="A248" s="34"/>
      <c r="B248" s="221"/>
      <c r="C248" s="221"/>
      <c r="D248" s="221"/>
      <c r="E248" s="221"/>
      <c r="F248" s="269"/>
      <c r="G248" s="34"/>
      <c r="H248" s="269"/>
      <c r="I248" s="34"/>
      <c r="J248" s="34"/>
    </row>
    <row r="249" spans="1:10" x14ac:dyDescent="0.2">
      <c r="A249" s="34"/>
      <c r="B249" s="221"/>
      <c r="C249" s="221"/>
      <c r="D249" s="221"/>
      <c r="E249" s="221"/>
      <c r="F249" s="269"/>
      <c r="G249" s="34"/>
      <c r="H249" s="269"/>
      <c r="I249" s="34"/>
      <c r="J249" s="34"/>
    </row>
    <row r="250" spans="1:10" x14ac:dyDescent="0.2">
      <c r="A250" s="34"/>
      <c r="B250" s="221"/>
      <c r="C250" s="221"/>
      <c r="D250" s="221"/>
      <c r="E250" s="221"/>
      <c r="F250" s="269"/>
      <c r="G250" s="34"/>
      <c r="H250" s="269"/>
      <c r="I250" s="34"/>
      <c r="J250" s="34"/>
    </row>
    <row r="251" spans="1:10" x14ac:dyDescent="0.2">
      <c r="A251" s="34"/>
      <c r="B251" s="221"/>
      <c r="C251" s="221"/>
      <c r="D251" s="221"/>
      <c r="E251" s="221"/>
      <c r="F251" s="269"/>
      <c r="G251" s="34"/>
      <c r="H251" s="269"/>
      <c r="I251" s="34"/>
      <c r="J251" s="34"/>
    </row>
    <row r="252" spans="1:10" x14ac:dyDescent="0.2">
      <c r="A252" s="34"/>
      <c r="B252" s="221"/>
      <c r="C252" s="221"/>
      <c r="D252" s="221"/>
      <c r="E252" s="221"/>
      <c r="F252" s="269"/>
      <c r="G252" s="34"/>
      <c r="H252" s="269"/>
      <c r="I252" s="34"/>
      <c r="J252" s="34"/>
    </row>
    <row r="253" spans="1:10" x14ac:dyDescent="0.2">
      <c r="A253" s="34"/>
      <c r="B253" s="221"/>
      <c r="C253" s="221"/>
      <c r="D253" s="221"/>
      <c r="E253" s="221"/>
      <c r="F253" s="269"/>
      <c r="G253" s="34"/>
      <c r="H253" s="269"/>
      <c r="I253" s="34"/>
      <c r="J253" s="34"/>
    </row>
    <row r="254" spans="1:10" x14ac:dyDescent="0.2">
      <c r="A254" s="34"/>
      <c r="B254" s="221"/>
      <c r="C254" s="221"/>
      <c r="D254" s="221"/>
      <c r="E254" s="221"/>
      <c r="F254" s="269"/>
      <c r="G254" s="34"/>
      <c r="H254" s="269"/>
      <c r="I254" s="34"/>
      <c r="J254" s="34"/>
    </row>
    <row r="255" spans="1:10" x14ac:dyDescent="0.2">
      <c r="A255" s="34"/>
      <c r="B255" s="221"/>
      <c r="C255" s="221"/>
      <c r="D255" s="221"/>
      <c r="E255" s="221"/>
      <c r="F255" s="269"/>
      <c r="G255" s="34"/>
      <c r="H255" s="269"/>
      <c r="I255" s="34"/>
      <c r="J255" s="34"/>
    </row>
    <row r="256" spans="1:10" x14ac:dyDescent="0.2">
      <c r="A256" s="34"/>
      <c r="B256" s="221"/>
      <c r="C256" s="221"/>
      <c r="D256" s="221"/>
      <c r="E256" s="221"/>
      <c r="F256" s="269"/>
      <c r="G256" s="34"/>
      <c r="H256" s="269"/>
      <c r="I256" s="34"/>
      <c r="J256" s="34"/>
    </row>
    <row r="257" spans="1:10" x14ac:dyDescent="0.2">
      <c r="A257" s="34"/>
      <c r="B257" s="221"/>
      <c r="C257" s="221"/>
      <c r="D257" s="221"/>
      <c r="E257" s="221"/>
      <c r="F257" s="269"/>
      <c r="G257" s="34"/>
      <c r="H257" s="269"/>
      <c r="I257" s="34"/>
      <c r="J257" s="34"/>
    </row>
    <row r="258" spans="1:10" x14ac:dyDescent="0.2">
      <c r="A258" s="34"/>
      <c r="B258" s="221"/>
      <c r="C258" s="221"/>
      <c r="D258" s="221"/>
      <c r="E258" s="221"/>
      <c r="F258" s="269"/>
      <c r="G258" s="34"/>
      <c r="H258" s="269"/>
      <c r="I258" s="34"/>
      <c r="J258" s="34"/>
    </row>
    <row r="259" spans="1:10" x14ac:dyDescent="0.2">
      <c r="A259" s="34"/>
      <c r="B259" s="221"/>
      <c r="C259" s="221"/>
      <c r="D259" s="221"/>
      <c r="E259" s="221"/>
      <c r="F259" s="269"/>
      <c r="G259" s="34"/>
      <c r="H259" s="269"/>
      <c r="I259" s="34"/>
      <c r="J259" s="34"/>
    </row>
    <row r="260" spans="1:10" x14ac:dyDescent="0.2">
      <c r="A260" s="34"/>
      <c r="B260" s="221"/>
      <c r="C260" s="221"/>
      <c r="D260" s="221"/>
      <c r="E260" s="221"/>
      <c r="F260" s="269"/>
      <c r="G260" s="34"/>
      <c r="H260" s="269"/>
      <c r="I260" s="34"/>
      <c r="J260" s="34"/>
    </row>
    <row r="261" spans="1:10" x14ac:dyDescent="0.2">
      <c r="A261" s="34"/>
      <c r="B261" s="221"/>
      <c r="C261" s="221"/>
      <c r="D261" s="221"/>
      <c r="E261" s="221"/>
      <c r="F261" s="269"/>
      <c r="G261" s="34"/>
      <c r="H261" s="269"/>
      <c r="I261" s="34"/>
      <c r="J261" s="34"/>
    </row>
    <row r="262" spans="1:10" x14ac:dyDescent="0.2">
      <c r="A262" s="34"/>
      <c r="B262" s="221"/>
      <c r="C262" s="221"/>
      <c r="D262" s="221"/>
      <c r="E262" s="221"/>
      <c r="F262" s="269"/>
      <c r="G262" s="34"/>
      <c r="H262" s="269"/>
      <c r="I262" s="34"/>
      <c r="J262" s="34"/>
    </row>
    <row r="263" spans="1:10" x14ac:dyDescent="0.2">
      <c r="A263" s="34"/>
      <c r="B263" s="221"/>
      <c r="C263" s="221"/>
      <c r="D263" s="221"/>
      <c r="E263" s="221"/>
      <c r="F263" s="269"/>
      <c r="G263" s="34"/>
      <c r="H263" s="269"/>
      <c r="I263" s="34"/>
      <c r="J263" s="34"/>
    </row>
    <row r="264" spans="1:10" x14ac:dyDescent="0.2">
      <c r="A264" s="34"/>
      <c r="B264" s="221"/>
      <c r="C264" s="221"/>
      <c r="D264" s="221"/>
      <c r="E264" s="221"/>
      <c r="F264" s="269"/>
      <c r="G264" s="34"/>
      <c r="H264" s="269"/>
      <c r="I264" s="34"/>
      <c r="J264" s="34"/>
    </row>
    <row r="265" spans="1:10" x14ac:dyDescent="0.2">
      <c r="A265" s="34"/>
      <c r="B265" s="221"/>
      <c r="C265" s="221"/>
      <c r="D265" s="221"/>
      <c r="E265" s="221"/>
      <c r="F265" s="269"/>
      <c r="G265" s="34"/>
      <c r="H265" s="269"/>
      <c r="I265" s="34"/>
      <c r="J265" s="34"/>
    </row>
    <row r="266" spans="1:10" x14ac:dyDescent="0.2">
      <c r="A266" s="34"/>
      <c r="B266" s="221"/>
      <c r="C266" s="221"/>
      <c r="D266" s="221"/>
      <c r="E266" s="221"/>
      <c r="F266" s="269"/>
      <c r="G266" s="34"/>
      <c r="H266" s="269"/>
      <c r="I266" s="34"/>
      <c r="J266" s="34"/>
    </row>
    <row r="267" spans="1:10" x14ac:dyDescent="0.2">
      <c r="A267" s="34"/>
      <c r="B267" s="221"/>
      <c r="C267" s="221"/>
      <c r="D267" s="221"/>
      <c r="E267" s="221"/>
      <c r="F267" s="269"/>
      <c r="G267" s="34"/>
      <c r="H267" s="269"/>
      <c r="I267" s="34"/>
      <c r="J267" s="34"/>
    </row>
    <row r="268" spans="1:10" x14ac:dyDescent="0.2">
      <c r="A268" s="34"/>
      <c r="B268" s="221"/>
      <c r="C268" s="221"/>
      <c r="D268" s="221"/>
      <c r="E268" s="221"/>
      <c r="F268" s="269"/>
      <c r="G268" s="34"/>
      <c r="H268" s="269"/>
      <c r="I268" s="34"/>
      <c r="J268" s="34"/>
    </row>
    <row r="269" spans="1:10" x14ac:dyDescent="0.2">
      <c r="A269" s="34"/>
      <c r="B269" s="221"/>
      <c r="C269" s="221"/>
      <c r="D269" s="221"/>
      <c r="E269" s="221"/>
      <c r="F269" s="269"/>
      <c r="G269" s="34"/>
      <c r="H269" s="269"/>
      <c r="I269" s="34"/>
      <c r="J269" s="34"/>
    </row>
    <row r="270" spans="1:10" x14ac:dyDescent="0.2">
      <c r="A270" s="34"/>
      <c r="B270" s="221"/>
      <c r="C270" s="221"/>
      <c r="D270" s="221"/>
      <c r="E270" s="221"/>
      <c r="F270" s="269"/>
      <c r="G270" s="34"/>
      <c r="H270" s="269"/>
      <c r="I270" s="34"/>
      <c r="J270" s="34"/>
    </row>
    <row r="271" spans="1:10" x14ac:dyDescent="0.2">
      <c r="A271" s="34"/>
      <c r="B271" s="221"/>
      <c r="C271" s="221"/>
      <c r="D271" s="221"/>
      <c r="E271" s="221"/>
      <c r="F271" s="269"/>
      <c r="G271" s="34"/>
      <c r="H271" s="269"/>
      <c r="I271" s="34"/>
      <c r="J271" s="34"/>
    </row>
    <row r="272" spans="1:10" x14ac:dyDescent="0.2">
      <c r="A272" s="34"/>
      <c r="B272" s="221"/>
      <c r="C272" s="221"/>
      <c r="D272" s="221"/>
      <c r="E272" s="221"/>
      <c r="F272" s="269"/>
      <c r="G272" s="34"/>
      <c r="H272" s="269"/>
      <c r="I272" s="34"/>
      <c r="J272" s="34"/>
    </row>
    <row r="273" spans="1:10" x14ac:dyDescent="0.2">
      <c r="A273" s="34"/>
      <c r="B273" s="221"/>
      <c r="C273" s="221"/>
      <c r="D273" s="221"/>
      <c r="E273" s="221"/>
      <c r="F273" s="269"/>
      <c r="G273" s="34"/>
      <c r="H273" s="269"/>
      <c r="I273" s="34"/>
      <c r="J273" s="34"/>
    </row>
    <row r="274" spans="1:10" x14ac:dyDescent="0.2">
      <c r="A274" s="34"/>
      <c r="B274" s="221"/>
      <c r="C274" s="221"/>
      <c r="D274" s="221"/>
      <c r="E274" s="221"/>
      <c r="F274" s="269"/>
      <c r="G274" s="34"/>
      <c r="H274" s="269"/>
      <c r="I274" s="34"/>
      <c r="J274" s="34"/>
    </row>
    <row r="275" spans="1:10" x14ac:dyDescent="0.2">
      <c r="A275" s="34"/>
      <c r="B275" s="221"/>
      <c r="C275" s="221"/>
      <c r="D275" s="221"/>
      <c r="E275" s="221"/>
      <c r="F275" s="269"/>
      <c r="G275" s="34"/>
      <c r="H275" s="269"/>
      <c r="I275" s="34"/>
      <c r="J275" s="34"/>
    </row>
    <row r="276" spans="1:10" x14ac:dyDescent="0.2">
      <c r="A276" s="34"/>
      <c r="B276" s="221"/>
      <c r="C276" s="221"/>
      <c r="D276" s="221"/>
      <c r="E276" s="221"/>
      <c r="F276" s="269"/>
      <c r="G276" s="34"/>
      <c r="H276" s="269"/>
      <c r="I276" s="34"/>
      <c r="J276" s="34"/>
    </row>
    <row r="277" spans="1:10" x14ac:dyDescent="0.2">
      <c r="A277" s="34"/>
      <c r="B277" s="221"/>
      <c r="C277" s="221"/>
      <c r="D277" s="221"/>
      <c r="E277" s="221"/>
      <c r="F277" s="269"/>
      <c r="G277" s="34"/>
      <c r="H277" s="269"/>
      <c r="I277" s="34"/>
      <c r="J277" s="34"/>
    </row>
    <row r="278" spans="1:10" x14ac:dyDescent="0.2">
      <c r="A278" s="34"/>
      <c r="B278" s="221"/>
      <c r="C278" s="221"/>
      <c r="D278" s="221"/>
      <c r="E278" s="221"/>
      <c r="F278" s="269"/>
      <c r="G278" s="34"/>
      <c r="H278" s="269"/>
      <c r="I278" s="34"/>
      <c r="J278" s="34"/>
    </row>
    <row r="279" spans="1:10" x14ac:dyDescent="0.2">
      <c r="A279" s="34"/>
      <c r="B279" s="221"/>
      <c r="C279" s="221"/>
      <c r="D279" s="221"/>
      <c r="E279" s="221"/>
      <c r="F279" s="269"/>
      <c r="G279" s="34"/>
      <c r="H279" s="269"/>
      <c r="I279" s="34"/>
      <c r="J279" s="34"/>
    </row>
    <row r="280" spans="1:10" x14ac:dyDescent="0.2">
      <c r="A280" s="34"/>
      <c r="B280" s="221"/>
      <c r="C280" s="221"/>
      <c r="D280" s="221"/>
      <c r="E280" s="221"/>
      <c r="F280" s="269"/>
      <c r="G280" s="34"/>
      <c r="H280" s="269"/>
      <c r="I280" s="34"/>
      <c r="J280" s="34"/>
    </row>
    <row r="281" spans="1:10" x14ac:dyDescent="0.2">
      <c r="A281" s="34"/>
      <c r="B281" s="221"/>
      <c r="C281" s="221"/>
      <c r="D281" s="221"/>
      <c r="E281" s="221"/>
      <c r="F281" s="269"/>
      <c r="G281" s="34"/>
      <c r="H281" s="269"/>
      <c r="I281" s="34"/>
      <c r="J281" s="34"/>
    </row>
    <row r="282" spans="1:10" x14ac:dyDescent="0.2">
      <c r="A282" s="34"/>
      <c r="B282" s="221"/>
      <c r="C282" s="221"/>
      <c r="D282" s="221"/>
      <c r="E282" s="221"/>
      <c r="F282" s="269"/>
      <c r="G282" s="34"/>
      <c r="H282" s="269"/>
      <c r="I282" s="34"/>
      <c r="J282" s="34"/>
    </row>
    <row r="283" spans="1:10" x14ac:dyDescent="0.2">
      <c r="A283" s="34"/>
      <c r="B283" s="221"/>
      <c r="C283" s="221"/>
      <c r="D283" s="221"/>
      <c r="E283" s="221"/>
      <c r="F283" s="269"/>
      <c r="G283" s="34"/>
      <c r="H283" s="269"/>
      <c r="I283" s="34"/>
      <c r="J283" s="34"/>
    </row>
    <row r="284" spans="1:10" x14ac:dyDescent="0.2">
      <c r="A284" s="34"/>
      <c r="B284" s="221"/>
      <c r="C284" s="221"/>
      <c r="D284" s="221"/>
      <c r="E284" s="221"/>
      <c r="F284" s="269"/>
      <c r="G284" s="34"/>
      <c r="H284" s="269"/>
      <c r="I284" s="34"/>
      <c r="J284" s="34"/>
    </row>
    <row r="285" spans="1:10" x14ac:dyDescent="0.2">
      <c r="A285" s="34"/>
      <c r="B285" s="221"/>
      <c r="C285" s="221"/>
      <c r="D285" s="221"/>
      <c r="E285" s="221"/>
      <c r="F285" s="269"/>
      <c r="G285" s="34"/>
      <c r="H285" s="269"/>
      <c r="I285" s="34"/>
      <c r="J285" s="34"/>
    </row>
    <row r="286" spans="1:10" x14ac:dyDescent="0.2">
      <c r="A286" s="34"/>
      <c r="B286" s="221"/>
      <c r="C286" s="221"/>
      <c r="D286" s="221"/>
      <c r="E286" s="221"/>
      <c r="F286" s="269"/>
      <c r="G286" s="34"/>
      <c r="H286" s="269"/>
      <c r="I286" s="34"/>
      <c r="J286" s="34"/>
    </row>
    <row r="287" spans="1:10" x14ac:dyDescent="0.2">
      <c r="A287" s="34"/>
      <c r="B287" s="221"/>
      <c r="C287" s="221"/>
      <c r="D287" s="221"/>
      <c r="E287" s="221"/>
      <c r="F287" s="269"/>
      <c r="G287" s="34"/>
      <c r="H287" s="269"/>
      <c r="I287" s="34"/>
      <c r="J287" s="34"/>
    </row>
    <row r="288" spans="1:10" x14ac:dyDescent="0.2">
      <c r="A288" s="34"/>
      <c r="B288" s="221"/>
      <c r="C288" s="221"/>
      <c r="D288" s="221"/>
      <c r="E288" s="221"/>
      <c r="F288" s="269"/>
      <c r="G288" s="34"/>
      <c r="H288" s="269"/>
      <c r="I288" s="34"/>
      <c r="J288" s="34"/>
    </row>
    <row r="289" spans="1:10" x14ac:dyDescent="0.2">
      <c r="A289" s="34"/>
      <c r="B289" s="221"/>
      <c r="C289" s="221"/>
      <c r="D289" s="221"/>
      <c r="E289" s="221"/>
      <c r="F289" s="269"/>
      <c r="G289" s="34"/>
      <c r="H289" s="269"/>
      <c r="I289" s="34"/>
      <c r="J289" s="34"/>
    </row>
    <row r="290" spans="1:10" x14ac:dyDescent="0.2">
      <c r="A290" s="34"/>
      <c r="B290" s="221"/>
      <c r="C290" s="221"/>
      <c r="D290" s="221"/>
      <c r="E290" s="221"/>
      <c r="F290" s="269"/>
      <c r="G290" s="34"/>
      <c r="H290" s="269"/>
      <c r="I290" s="34"/>
      <c r="J290" s="34"/>
    </row>
    <row r="291" spans="1:10" x14ac:dyDescent="0.2">
      <c r="A291" s="34"/>
      <c r="B291" s="221"/>
      <c r="C291" s="221"/>
      <c r="D291" s="221"/>
      <c r="E291" s="221"/>
      <c r="F291" s="269"/>
      <c r="G291" s="34"/>
      <c r="H291" s="269"/>
      <c r="I291" s="34"/>
      <c r="J291" s="34"/>
    </row>
    <row r="292" spans="1:10" x14ac:dyDescent="0.2">
      <c r="A292" s="34"/>
      <c r="B292" s="221"/>
      <c r="C292" s="221"/>
      <c r="D292" s="221"/>
      <c r="E292" s="221"/>
      <c r="F292" s="269"/>
      <c r="G292" s="34"/>
      <c r="H292" s="269"/>
      <c r="I292" s="34"/>
      <c r="J292" s="34"/>
    </row>
    <row r="293" spans="1:10" x14ac:dyDescent="0.2">
      <c r="A293" s="34"/>
      <c r="B293" s="221"/>
      <c r="C293" s="221"/>
      <c r="D293" s="221"/>
      <c r="E293" s="221"/>
      <c r="F293" s="269"/>
      <c r="G293" s="34"/>
      <c r="H293" s="269"/>
      <c r="I293" s="34"/>
      <c r="J293" s="34"/>
    </row>
    <row r="294" spans="1:10" x14ac:dyDescent="0.2">
      <c r="A294" s="34"/>
      <c r="B294" s="221"/>
      <c r="C294" s="221"/>
      <c r="D294" s="221"/>
      <c r="E294" s="221"/>
      <c r="F294" s="269"/>
      <c r="G294" s="34"/>
      <c r="H294" s="269"/>
      <c r="I294" s="34"/>
      <c r="J294" s="34"/>
    </row>
    <row r="295" spans="1:10" x14ac:dyDescent="0.2">
      <c r="A295" s="34"/>
      <c r="B295" s="221"/>
      <c r="C295" s="221"/>
      <c r="D295" s="221"/>
      <c r="E295" s="221"/>
      <c r="F295" s="269"/>
      <c r="G295" s="34"/>
      <c r="H295" s="269"/>
      <c r="I295" s="34"/>
      <c r="J295" s="34"/>
    </row>
    <row r="296" spans="1:10" x14ac:dyDescent="0.2">
      <c r="A296" s="34"/>
      <c r="B296" s="221"/>
      <c r="C296" s="221"/>
      <c r="D296" s="221"/>
      <c r="E296" s="221"/>
      <c r="F296" s="269"/>
      <c r="G296" s="34"/>
      <c r="H296" s="269"/>
      <c r="I296" s="34"/>
      <c r="J296" s="34"/>
    </row>
    <row r="297" spans="1:10" x14ac:dyDescent="0.2">
      <c r="A297" s="34"/>
      <c r="B297" s="221"/>
      <c r="C297" s="221"/>
      <c r="D297" s="221"/>
      <c r="E297" s="221"/>
      <c r="F297" s="269"/>
      <c r="G297" s="34"/>
      <c r="H297" s="269"/>
      <c r="I297" s="34"/>
      <c r="J297" s="34"/>
    </row>
    <row r="298" spans="1:10" x14ac:dyDescent="0.2">
      <c r="A298" s="34"/>
      <c r="B298" s="221"/>
      <c r="C298" s="221"/>
      <c r="D298" s="221"/>
      <c r="E298" s="221"/>
      <c r="F298" s="269"/>
      <c r="G298" s="34"/>
      <c r="H298" s="269"/>
      <c r="I298" s="34"/>
      <c r="J298" s="34"/>
    </row>
    <row r="299" spans="1:10" x14ac:dyDescent="0.2">
      <c r="A299" s="34"/>
      <c r="B299" s="221"/>
      <c r="C299" s="221"/>
      <c r="D299" s="221"/>
      <c r="E299" s="221"/>
      <c r="F299" s="269"/>
      <c r="G299" s="34"/>
      <c r="H299" s="269"/>
      <c r="I299" s="34"/>
      <c r="J299" s="34"/>
    </row>
    <row r="300" spans="1:10" x14ac:dyDescent="0.2">
      <c r="A300" s="34"/>
      <c r="B300" s="221"/>
      <c r="C300" s="221"/>
      <c r="D300" s="221"/>
      <c r="E300" s="221"/>
      <c r="F300" s="269"/>
      <c r="G300" s="34"/>
      <c r="H300" s="269"/>
      <c r="I300" s="34"/>
      <c r="J300" s="34"/>
    </row>
    <row r="301" spans="1:10" x14ac:dyDescent="0.2">
      <c r="A301" s="34"/>
      <c r="B301" s="221"/>
      <c r="C301" s="221"/>
      <c r="D301" s="221"/>
      <c r="E301" s="221"/>
      <c r="F301" s="269"/>
      <c r="G301" s="34"/>
      <c r="H301" s="269"/>
      <c r="I301" s="34"/>
      <c r="J301" s="34"/>
    </row>
    <row r="302" spans="1:10" x14ac:dyDescent="0.2">
      <c r="A302" s="34"/>
      <c r="B302" s="221"/>
      <c r="C302" s="221"/>
      <c r="D302" s="221"/>
      <c r="E302" s="221"/>
      <c r="F302" s="269"/>
      <c r="G302" s="34"/>
      <c r="H302" s="269"/>
      <c r="I302" s="34"/>
      <c r="J302" s="34"/>
    </row>
    <row r="303" spans="1:10" x14ac:dyDescent="0.2">
      <c r="A303" s="34"/>
      <c r="B303" s="221"/>
      <c r="C303" s="221"/>
      <c r="D303" s="221"/>
      <c r="E303" s="221"/>
      <c r="F303" s="269"/>
      <c r="G303" s="34"/>
      <c r="H303" s="269"/>
      <c r="I303" s="34"/>
      <c r="J303" s="34"/>
    </row>
    <row r="304" spans="1:10" x14ac:dyDescent="0.2">
      <c r="A304" s="34"/>
      <c r="B304" s="221"/>
      <c r="C304" s="221"/>
      <c r="D304" s="221"/>
      <c r="E304" s="221"/>
      <c r="F304" s="269"/>
      <c r="G304" s="34"/>
      <c r="H304" s="269"/>
      <c r="I304" s="34"/>
      <c r="J304" s="34"/>
    </row>
    <row r="305" spans="1:10" x14ac:dyDescent="0.2">
      <c r="A305" s="34"/>
      <c r="B305" s="221"/>
      <c r="C305" s="221"/>
      <c r="D305" s="221"/>
      <c r="E305" s="221"/>
      <c r="F305" s="269"/>
      <c r="G305" s="34"/>
      <c r="H305" s="269"/>
      <c r="I305" s="34"/>
      <c r="J305" s="34"/>
    </row>
    <row r="306" spans="1:10" x14ac:dyDescent="0.2">
      <c r="A306" s="34"/>
      <c r="B306" s="221"/>
      <c r="C306" s="221"/>
      <c r="D306" s="221"/>
      <c r="E306" s="221"/>
      <c r="F306" s="269"/>
      <c r="G306" s="34"/>
      <c r="H306" s="269"/>
      <c r="I306" s="34"/>
      <c r="J306" s="34"/>
    </row>
    <row r="307" spans="1:10" x14ac:dyDescent="0.2">
      <c r="A307" s="34"/>
      <c r="B307" s="221"/>
      <c r="C307" s="221"/>
      <c r="D307" s="221"/>
      <c r="E307" s="221"/>
      <c r="F307" s="269"/>
      <c r="G307" s="34"/>
      <c r="H307" s="269"/>
      <c r="I307" s="34"/>
      <c r="J307" s="34"/>
    </row>
    <row r="308" spans="1:10" x14ac:dyDescent="0.2">
      <c r="A308" s="34"/>
      <c r="B308" s="221"/>
      <c r="C308" s="221"/>
      <c r="D308" s="221"/>
      <c r="E308" s="221"/>
      <c r="F308" s="269"/>
      <c r="G308" s="34"/>
      <c r="H308" s="269"/>
      <c r="I308" s="34"/>
      <c r="J308" s="34"/>
    </row>
    <row r="309" spans="1:10" x14ac:dyDescent="0.2">
      <c r="A309" s="34"/>
      <c r="B309" s="221"/>
      <c r="C309" s="221"/>
      <c r="D309" s="221"/>
      <c r="E309" s="221"/>
      <c r="F309" s="269"/>
      <c r="G309" s="34"/>
      <c r="H309" s="269"/>
      <c r="I309" s="34"/>
      <c r="J309" s="34"/>
    </row>
    <row r="310" spans="1:10" x14ac:dyDescent="0.2">
      <c r="A310" s="34"/>
      <c r="B310" s="221"/>
      <c r="C310" s="221"/>
      <c r="D310" s="221"/>
      <c r="E310" s="221"/>
      <c r="F310" s="269"/>
      <c r="G310" s="34"/>
      <c r="H310" s="269"/>
      <c r="I310" s="34"/>
      <c r="J310" s="34"/>
    </row>
    <row r="311" spans="1:10" x14ac:dyDescent="0.2">
      <c r="A311" s="34"/>
      <c r="B311" s="221"/>
      <c r="C311" s="221"/>
      <c r="D311" s="221"/>
      <c r="E311" s="221"/>
      <c r="F311" s="269"/>
      <c r="G311" s="34"/>
      <c r="H311" s="269"/>
      <c r="I311" s="34"/>
      <c r="J311" s="34"/>
    </row>
    <row r="312" spans="1:10" x14ac:dyDescent="0.2">
      <c r="A312" s="34"/>
      <c r="B312" s="221"/>
      <c r="C312" s="221"/>
      <c r="D312" s="221"/>
      <c r="E312" s="221"/>
      <c r="F312" s="269"/>
      <c r="G312" s="34"/>
      <c r="H312" s="269"/>
      <c r="I312" s="34"/>
      <c r="J312" s="34"/>
    </row>
    <row r="313" spans="1:10" x14ac:dyDescent="0.2">
      <c r="A313" s="34"/>
      <c r="B313" s="221"/>
      <c r="C313" s="221"/>
      <c r="D313" s="221"/>
      <c r="E313" s="221"/>
      <c r="F313" s="269"/>
      <c r="G313" s="34"/>
      <c r="H313" s="269"/>
      <c r="I313" s="34"/>
      <c r="J313" s="34"/>
    </row>
    <row r="314" spans="1:10" x14ac:dyDescent="0.2">
      <c r="A314" s="34"/>
      <c r="B314" s="221"/>
      <c r="C314" s="221"/>
      <c r="D314" s="221"/>
      <c r="E314" s="221"/>
      <c r="F314" s="269"/>
      <c r="G314" s="34"/>
      <c r="H314" s="269"/>
      <c r="I314" s="34"/>
      <c r="J314" s="34"/>
    </row>
    <row r="315" spans="1:10" x14ac:dyDescent="0.2">
      <c r="A315" s="34"/>
      <c r="B315" s="221"/>
      <c r="C315" s="221"/>
      <c r="D315" s="221"/>
      <c r="E315" s="221"/>
      <c r="F315" s="269"/>
      <c r="G315" s="34"/>
      <c r="H315" s="269"/>
      <c r="I315" s="34"/>
      <c r="J315" s="34"/>
    </row>
    <row r="316" spans="1:10" x14ac:dyDescent="0.2">
      <c r="A316" s="34"/>
      <c r="B316" s="221"/>
      <c r="C316" s="221"/>
      <c r="D316" s="221"/>
      <c r="E316" s="221"/>
      <c r="F316" s="269"/>
      <c r="G316" s="34"/>
      <c r="H316" s="269"/>
      <c r="I316" s="34"/>
      <c r="J316" s="34"/>
    </row>
    <row r="317" spans="1:10" x14ac:dyDescent="0.2">
      <c r="A317" s="34"/>
      <c r="B317" s="221"/>
      <c r="C317" s="221"/>
      <c r="D317" s="221"/>
      <c r="E317" s="221"/>
      <c r="F317" s="269"/>
      <c r="G317" s="34"/>
      <c r="H317" s="269"/>
      <c r="I317" s="34"/>
      <c r="J317" s="34"/>
    </row>
    <row r="318" spans="1:10" x14ac:dyDescent="0.2">
      <c r="A318" s="34"/>
      <c r="B318" s="221"/>
      <c r="C318" s="221"/>
      <c r="D318" s="221"/>
      <c r="E318" s="221"/>
      <c r="F318" s="269"/>
      <c r="G318" s="34"/>
      <c r="H318" s="269"/>
      <c r="I318" s="34"/>
      <c r="J318" s="34"/>
    </row>
    <row r="319" spans="1:10" x14ac:dyDescent="0.2">
      <c r="A319" s="34"/>
      <c r="B319" s="221"/>
      <c r="C319" s="221"/>
      <c r="D319" s="221"/>
      <c r="E319" s="221"/>
      <c r="F319" s="269"/>
      <c r="G319" s="34"/>
      <c r="H319" s="269"/>
      <c r="I319" s="34"/>
      <c r="J319" s="34"/>
    </row>
    <row r="320" spans="1:10" x14ac:dyDescent="0.2">
      <c r="A320" s="34"/>
      <c r="B320" s="221"/>
      <c r="C320" s="221"/>
      <c r="D320" s="221"/>
      <c r="E320" s="221"/>
      <c r="F320" s="269"/>
      <c r="G320" s="34"/>
      <c r="H320" s="269"/>
      <c r="I320" s="34"/>
      <c r="J320" s="34"/>
    </row>
    <row r="321" spans="1:10" x14ac:dyDescent="0.2">
      <c r="A321" s="34"/>
      <c r="B321" s="221"/>
      <c r="C321" s="221"/>
      <c r="D321" s="221"/>
      <c r="E321" s="221"/>
      <c r="F321" s="269"/>
      <c r="G321" s="34"/>
      <c r="H321" s="269"/>
      <c r="I321" s="34"/>
      <c r="J321" s="34"/>
    </row>
    <row r="322" spans="1:10" x14ac:dyDescent="0.2">
      <c r="A322" s="34"/>
      <c r="B322" s="221"/>
      <c r="C322" s="221"/>
      <c r="D322" s="221"/>
      <c r="E322" s="221"/>
      <c r="F322" s="269"/>
      <c r="G322" s="34"/>
      <c r="H322" s="269"/>
      <c r="I322" s="34"/>
      <c r="J322" s="34"/>
    </row>
    <row r="323" spans="1:10" x14ac:dyDescent="0.2">
      <c r="A323" s="34"/>
      <c r="B323" s="221"/>
      <c r="C323" s="221"/>
      <c r="D323" s="221"/>
      <c r="E323" s="221"/>
      <c r="F323" s="269"/>
      <c r="G323" s="34"/>
      <c r="H323" s="269"/>
      <c r="I323" s="34"/>
      <c r="J323" s="34"/>
    </row>
    <row r="324" spans="1:10" x14ac:dyDescent="0.2">
      <c r="A324" s="34"/>
      <c r="B324" s="221"/>
      <c r="C324" s="221"/>
      <c r="D324" s="221"/>
      <c r="E324" s="221"/>
      <c r="F324" s="269"/>
      <c r="G324" s="34"/>
      <c r="H324" s="269"/>
      <c r="I324" s="34"/>
      <c r="J324" s="34"/>
    </row>
    <row r="325" spans="1:10" x14ac:dyDescent="0.2">
      <c r="A325" s="34"/>
      <c r="B325" s="221"/>
      <c r="C325" s="221"/>
      <c r="D325" s="221"/>
      <c r="E325" s="221"/>
      <c r="F325" s="269"/>
      <c r="G325" s="34"/>
      <c r="H325" s="269"/>
      <c r="I325" s="34"/>
      <c r="J325" s="34"/>
    </row>
    <row r="326" spans="1:10" x14ac:dyDescent="0.2">
      <c r="A326" s="34"/>
      <c r="B326" s="221"/>
      <c r="C326" s="221"/>
      <c r="D326" s="221"/>
      <c r="E326" s="221"/>
      <c r="F326" s="269"/>
      <c r="G326" s="34"/>
      <c r="H326" s="269"/>
      <c r="I326" s="34"/>
      <c r="J326" s="34"/>
    </row>
    <row r="327" spans="1:10" x14ac:dyDescent="0.2">
      <c r="A327" s="34"/>
      <c r="B327" s="221"/>
      <c r="C327" s="221"/>
      <c r="D327" s="221"/>
      <c r="E327" s="221"/>
      <c r="F327" s="269"/>
      <c r="G327" s="34"/>
      <c r="H327" s="269"/>
      <c r="I327" s="34"/>
      <c r="J327" s="34"/>
    </row>
    <row r="328" spans="1:10" x14ac:dyDescent="0.2">
      <c r="A328" s="34"/>
      <c r="B328" s="221"/>
      <c r="C328" s="221"/>
      <c r="D328" s="221"/>
      <c r="E328" s="221"/>
      <c r="F328" s="269"/>
      <c r="G328" s="34"/>
      <c r="H328" s="269"/>
      <c r="I328" s="34"/>
      <c r="J328" s="34"/>
    </row>
    <row r="329" spans="1:10" x14ac:dyDescent="0.2">
      <c r="A329" s="34"/>
      <c r="B329" s="221"/>
      <c r="C329" s="221"/>
      <c r="D329" s="221"/>
      <c r="E329" s="221"/>
      <c r="F329" s="269"/>
      <c r="G329" s="34"/>
      <c r="H329" s="269"/>
      <c r="I329" s="34"/>
      <c r="J329" s="34"/>
    </row>
    <row r="330" spans="1:10" x14ac:dyDescent="0.2">
      <c r="A330" s="34"/>
      <c r="B330" s="221"/>
      <c r="C330" s="221"/>
      <c r="D330" s="221"/>
      <c r="E330" s="221"/>
      <c r="F330" s="269"/>
      <c r="G330" s="34"/>
      <c r="H330" s="269"/>
      <c r="I330" s="34"/>
      <c r="J330" s="34"/>
    </row>
    <row r="331" spans="1:10" x14ac:dyDescent="0.2">
      <c r="A331" s="34"/>
      <c r="B331" s="221"/>
      <c r="C331" s="221"/>
      <c r="D331" s="221"/>
      <c r="E331" s="221"/>
      <c r="F331" s="269"/>
      <c r="G331" s="34"/>
      <c r="H331" s="269"/>
      <c r="I331" s="34"/>
      <c r="J331" s="34"/>
    </row>
    <row r="332" spans="1:10" x14ac:dyDescent="0.2">
      <c r="A332" s="34"/>
      <c r="B332" s="221"/>
      <c r="C332" s="221"/>
      <c r="D332" s="221"/>
      <c r="E332" s="221"/>
      <c r="F332" s="269"/>
      <c r="G332" s="34"/>
      <c r="H332" s="269"/>
      <c r="I332" s="34"/>
      <c r="J332" s="34"/>
    </row>
    <row r="333" spans="1:10" x14ac:dyDescent="0.2">
      <c r="A333" s="34"/>
      <c r="B333" s="221"/>
      <c r="C333" s="221"/>
      <c r="D333" s="221"/>
      <c r="E333" s="221"/>
      <c r="F333" s="269"/>
      <c r="G333" s="34"/>
      <c r="H333" s="269"/>
      <c r="I333" s="34"/>
      <c r="J333" s="34"/>
    </row>
    <row r="334" spans="1:10" x14ac:dyDescent="0.2">
      <c r="A334" s="34"/>
      <c r="B334" s="221"/>
      <c r="C334" s="221"/>
      <c r="D334" s="221"/>
      <c r="E334" s="221"/>
      <c r="F334" s="269"/>
      <c r="G334" s="34"/>
      <c r="H334" s="269"/>
      <c r="I334" s="34"/>
      <c r="J334" s="34"/>
    </row>
    <row r="335" spans="1:10" x14ac:dyDescent="0.2">
      <c r="A335" s="34"/>
      <c r="B335" s="221"/>
      <c r="C335" s="221"/>
      <c r="D335" s="221"/>
      <c r="E335" s="221"/>
      <c r="F335" s="269"/>
      <c r="G335" s="34"/>
      <c r="H335" s="269"/>
      <c r="I335" s="34"/>
      <c r="J335" s="34"/>
    </row>
    <row r="336" spans="1:10" x14ac:dyDescent="0.2">
      <c r="A336" s="34"/>
      <c r="B336" s="221"/>
      <c r="C336" s="221"/>
      <c r="D336" s="221"/>
      <c r="E336" s="221"/>
      <c r="F336" s="269"/>
      <c r="G336" s="34"/>
      <c r="H336" s="269"/>
      <c r="I336" s="34"/>
      <c r="J336" s="34"/>
    </row>
    <row r="337" spans="1:10" x14ac:dyDescent="0.2">
      <c r="A337" s="34"/>
      <c r="B337" s="221"/>
      <c r="C337" s="221"/>
      <c r="D337" s="221"/>
      <c r="E337" s="221"/>
      <c r="F337" s="269"/>
      <c r="G337" s="34"/>
      <c r="H337" s="269"/>
      <c r="I337" s="34"/>
      <c r="J337" s="34"/>
    </row>
    <row r="338" spans="1:10" x14ac:dyDescent="0.2">
      <c r="A338" s="34"/>
      <c r="B338" s="221"/>
      <c r="C338" s="221"/>
      <c r="D338" s="221"/>
      <c r="E338" s="221"/>
      <c r="F338" s="269"/>
      <c r="G338" s="34"/>
      <c r="H338" s="269"/>
      <c r="I338" s="34"/>
      <c r="J338" s="34"/>
    </row>
    <row r="339" spans="1:10" x14ac:dyDescent="0.2">
      <c r="A339" s="34"/>
      <c r="B339" s="221"/>
      <c r="C339" s="221"/>
      <c r="D339" s="221"/>
      <c r="E339" s="221"/>
      <c r="F339" s="269"/>
      <c r="G339" s="34"/>
      <c r="H339" s="269"/>
      <c r="I339" s="34"/>
      <c r="J339" s="34"/>
    </row>
    <row r="340" spans="1:10" x14ac:dyDescent="0.2">
      <c r="A340" s="34"/>
      <c r="B340" s="221"/>
      <c r="C340" s="221"/>
      <c r="D340" s="221"/>
      <c r="E340" s="221"/>
      <c r="F340" s="269"/>
      <c r="G340" s="34"/>
      <c r="H340" s="269"/>
      <c r="I340" s="34"/>
      <c r="J340" s="34"/>
    </row>
    <row r="341" spans="1:10" x14ac:dyDescent="0.2">
      <c r="A341" s="34"/>
      <c r="B341" s="221"/>
      <c r="C341" s="221"/>
      <c r="D341" s="221"/>
      <c r="E341" s="221"/>
      <c r="F341" s="269"/>
      <c r="G341" s="34"/>
      <c r="H341" s="269"/>
      <c r="I341" s="34"/>
      <c r="J341" s="34"/>
    </row>
    <row r="342" spans="1:10" x14ac:dyDescent="0.2">
      <c r="A342" s="34"/>
      <c r="B342" s="221"/>
      <c r="C342" s="221"/>
      <c r="D342" s="221"/>
      <c r="E342" s="221"/>
      <c r="F342" s="269"/>
      <c r="G342" s="34"/>
      <c r="H342" s="269"/>
      <c r="I342" s="34"/>
      <c r="J342" s="34"/>
    </row>
    <row r="343" spans="1:10" x14ac:dyDescent="0.2">
      <c r="A343" s="34"/>
      <c r="B343" s="221"/>
      <c r="C343" s="221"/>
      <c r="D343" s="221"/>
      <c r="E343" s="221"/>
      <c r="F343" s="269"/>
      <c r="G343" s="34"/>
      <c r="H343" s="269"/>
      <c r="I343" s="34"/>
      <c r="J343" s="34"/>
    </row>
    <row r="344" spans="1:10" x14ac:dyDescent="0.2">
      <c r="A344" s="34"/>
      <c r="B344" s="221"/>
      <c r="C344" s="221"/>
      <c r="D344" s="221"/>
      <c r="E344" s="221"/>
      <c r="F344" s="269"/>
      <c r="G344" s="34"/>
      <c r="H344" s="269"/>
      <c r="I344" s="34"/>
      <c r="J344" s="34"/>
    </row>
    <row r="345" spans="1:10" x14ac:dyDescent="0.2">
      <c r="A345" s="34"/>
      <c r="B345" s="221"/>
      <c r="C345" s="221"/>
      <c r="D345" s="221"/>
      <c r="E345" s="221"/>
      <c r="F345" s="269"/>
      <c r="G345" s="34"/>
      <c r="H345" s="269"/>
      <c r="I345" s="34"/>
      <c r="J345" s="34"/>
    </row>
    <row r="346" spans="1:10" x14ac:dyDescent="0.2">
      <c r="A346" s="34"/>
      <c r="B346" s="221"/>
      <c r="C346" s="221"/>
      <c r="D346" s="221"/>
      <c r="E346" s="221"/>
      <c r="F346" s="269"/>
      <c r="G346" s="34"/>
      <c r="H346" s="269"/>
      <c r="I346" s="34"/>
      <c r="J346" s="34"/>
    </row>
    <row r="347" spans="1:10" x14ac:dyDescent="0.2">
      <c r="A347" s="34"/>
      <c r="B347" s="221"/>
      <c r="C347" s="221"/>
      <c r="D347" s="221"/>
      <c r="E347" s="221"/>
      <c r="F347" s="269"/>
      <c r="G347" s="34"/>
      <c r="H347" s="269"/>
      <c r="I347" s="34"/>
      <c r="J347" s="34"/>
    </row>
    <row r="348" spans="1:10" x14ac:dyDescent="0.2">
      <c r="A348" s="34"/>
      <c r="B348" s="221"/>
      <c r="C348" s="221"/>
      <c r="D348" s="221"/>
      <c r="E348" s="221"/>
      <c r="F348" s="269"/>
      <c r="G348" s="34"/>
      <c r="H348" s="269"/>
      <c r="I348" s="34"/>
      <c r="J348" s="34"/>
    </row>
    <row r="349" spans="1:10" x14ac:dyDescent="0.2">
      <c r="A349" s="34"/>
      <c r="B349" s="221"/>
      <c r="C349" s="221"/>
      <c r="D349" s="221"/>
      <c r="E349" s="221"/>
      <c r="F349" s="269"/>
      <c r="G349" s="34"/>
      <c r="H349" s="269"/>
      <c r="I349" s="34"/>
      <c r="J349" s="34"/>
    </row>
    <row r="350" spans="1:10" x14ac:dyDescent="0.2">
      <c r="A350" s="34"/>
      <c r="B350" s="221"/>
      <c r="C350" s="221"/>
      <c r="D350" s="221"/>
      <c r="E350" s="221"/>
      <c r="F350" s="269"/>
      <c r="G350" s="34"/>
      <c r="H350" s="269"/>
      <c r="I350" s="34"/>
      <c r="J350" s="34"/>
    </row>
    <row r="351" spans="1:10" x14ac:dyDescent="0.2">
      <c r="A351" s="34"/>
      <c r="B351" s="221"/>
      <c r="C351" s="221"/>
      <c r="D351" s="221"/>
      <c r="E351" s="221"/>
      <c r="F351" s="269"/>
      <c r="G351" s="34"/>
      <c r="H351" s="269"/>
      <c r="I351" s="34"/>
      <c r="J351" s="34"/>
    </row>
    <row r="352" spans="1:10" x14ac:dyDescent="0.2">
      <c r="A352" s="34"/>
      <c r="B352" s="221"/>
      <c r="C352" s="221"/>
      <c r="D352" s="221"/>
      <c r="E352" s="221"/>
      <c r="F352" s="269"/>
      <c r="G352" s="34"/>
      <c r="H352" s="269"/>
      <c r="I352" s="34"/>
      <c r="J352" s="34"/>
    </row>
    <row r="353" spans="1:10" x14ac:dyDescent="0.2">
      <c r="A353" s="34"/>
      <c r="B353" s="221"/>
      <c r="C353" s="221"/>
      <c r="D353" s="221"/>
      <c r="E353" s="221"/>
      <c r="F353" s="269"/>
      <c r="G353" s="34"/>
      <c r="H353" s="269"/>
      <c r="I353" s="34"/>
      <c r="J353" s="34"/>
    </row>
    <row r="354" spans="1:10" x14ac:dyDescent="0.2">
      <c r="A354" s="34"/>
      <c r="B354" s="221"/>
      <c r="C354" s="221"/>
      <c r="D354" s="221"/>
      <c r="E354" s="221"/>
      <c r="F354" s="269"/>
      <c r="G354" s="34"/>
      <c r="H354" s="269"/>
      <c r="I354" s="34"/>
      <c r="J354" s="34"/>
    </row>
    <row r="355" spans="1:10" x14ac:dyDescent="0.2">
      <c r="A355" s="34"/>
      <c r="B355" s="221"/>
      <c r="C355" s="221"/>
      <c r="D355" s="221"/>
      <c r="E355" s="221"/>
      <c r="F355" s="269"/>
      <c r="G355" s="34"/>
      <c r="H355" s="269"/>
      <c r="I355" s="34"/>
      <c r="J355" s="34"/>
    </row>
    <row r="356" spans="1:10" x14ac:dyDescent="0.2">
      <c r="A356" s="34"/>
      <c r="B356" s="221"/>
      <c r="C356" s="221"/>
      <c r="D356" s="221"/>
      <c r="E356" s="221"/>
      <c r="F356" s="269"/>
      <c r="G356" s="34"/>
      <c r="H356" s="269"/>
      <c r="I356" s="34"/>
      <c r="J356" s="34"/>
    </row>
    <row r="357" spans="1:10" x14ac:dyDescent="0.2">
      <c r="A357" s="222"/>
      <c r="B357" s="223"/>
      <c r="C357" s="224"/>
      <c r="D357" s="225"/>
      <c r="E357" s="226"/>
      <c r="F357" s="270"/>
      <c r="G357" s="222"/>
      <c r="H357" s="270"/>
      <c r="I357" s="222"/>
      <c r="J357" s="222"/>
    </row>
    <row r="358" spans="1:10" x14ac:dyDescent="0.2">
      <c r="A358" s="294"/>
      <c r="C358" s="404"/>
      <c r="F358" s="293"/>
      <c r="G358" s="294"/>
      <c r="H358" s="293"/>
      <c r="I358" s="294"/>
      <c r="J358" s="294"/>
    </row>
    <row r="359" spans="1:10" x14ac:dyDescent="0.2">
      <c r="A359" s="294"/>
      <c r="C359" s="404"/>
      <c r="F359" s="293"/>
      <c r="G359" s="294"/>
      <c r="H359" s="293"/>
      <c r="I359" s="294"/>
      <c r="J359" s="294"/>
    </row>
    <row r="360" spans="1:10" x14ac:dyDescent="0.2">
      <c r="A360" s="294"/>
      <c r="C360" s="404"/>
      <c r="F360" s="293"/>
      <c r="G360" s="294"/>
      <c r="H360" s="293"/>
      <c r="I360" s="294"/>
      <c r="J360" s="294"/>
    </row>
    <row r="361" spans="1:10" x14ac:dyDescent="0.2">
      <c r="A361" s="294"/>
      <c r="C361" s="404"/>
      <c r="F361" s="293"/>
      <c r="G361" s="294"/>
      <c r="H361" s="293"/>
      <c r="I361" s="294"/>
      <c r="J361" s="294"/>
    </row>
    <row r="362" spans="1:10" x14ac:dyDescent="0.2">
      <c r="A362" s="294"/>
      <c r="C362" s="404"/>
      <c r="F362" s="293"/>
      <c r="G362" s="294"/>
      <c r="H362" s="293"/>
      <c r="I362" s="294"/>
      <c r="J362" s="294"/>
    </row>
    <row r="363" spans="1:10" x14ac:dyDescent="0.2">
      <c r="A363" s="294"/>
      <c r="C363" s="404"/>
      <c r="F363" s="293"/>
      <c r="G363" s="294"/>
      <c r="H363" s="293"/>
      <c r="I363" s="294"/>
      <c r="J363" s="294"/>
    </row>
    <row r="364" spans="1:10" x14ac:dyDescent="0.2">
      <c r="A364" s="294"/>
      <c r="C364" s="404"/>
      <c r="F364" s="293"/>
      <c r="G364" s="294"/>
      <c r="H364" s="293"/>
      <c r="I364" s="294"/>
      <c r="J364" s="294"/>
    </row>
    <row r="365" spans="1:10" x14ac:dyDescent="0.2">
      <c r="A365" s="294"/>
      <c r="C365" s="404"/>
      <c r="F365" s="293"/>
      <c r="G365" s="294"/>
      <c r="H365" s="293"/>
      <c r="I365" s="294"/>
      <c r="J365" s="294"/>
    </row>
    <row r="366" spans="1:10" x14ac:dyDescent="0.2">
      <c r="A366" s="294"/>
      <c r="C366" s="404"/>
      <c r="F366" s="293"/>
      <c r="G366" s="294"/>
      <c r="H366" s="293"/>
      <c r="I366" s="294"/>
      <c r="J366" s="294"/>
    </row>
  </sheetData>
  <autoFilter ref="A2:J153" xr:uid="{48E89EAA-FC86-4CF7-9AE1-7E5700045394}"/>
  <mergeCells count="133">
    <mergeCell ref="A4:A7"/>
    <mergeCell ref="A114:A115"/>
    <mergeCell ref="E105:E106"/>
    <mergeCell ref="F93:F94"/>
    <mergeCell ref="F95:F96"/>
    <mergeCell ref="F97:F98"/>
    <mergeCell ref="F99:F100"/>
    <mergeCell ref="F101:F102"/>
    <mergeCell ref="F58:F59"/>
    <mergeCell ref="F60:F62"/>
    <mergeCell ref="F67:F69"/>
    <mergeCell ref="F70:F72"/>
    <mergeCell ref="C54:C55"/>
    <mergeCell ref="D54:D55"/>
    <mergeCell ref="E54:E55"/>
    <mergeCell ref="A35:A36"/>
    <mergeCell ref="A52:A53"/>
    <mergeCell ref="B41:B48"/>
    <mergeCell ref="B50:B51"/>
    <mergeCell ref="A88:A90"/>
    <mergeCell ref="A95:A96"/>
    <mergeCell ref="A70:A76"/>
    <mergeCell ref="A37:A40"/>
    <mergeCell ref="A111:A112"/>
    <mergeCell ref="B147:D147"/>
    <mergeCell ref="A24:A25"/>
    <mergeCell ref="F24:F25"/>
    <mergeCell ref="A20:A21"/>
    <mergeCell ref="B20:B25"/>
    <mergeCell ref="F20:F21"/>
    <mergeCell ref="A22:A23"/>
    <mergeCell ref="F22:F23"/>
    <mergeCell ref="A141:A142"/>
    <mergeCell ref="A143:A144"/>
    <mergeCell ref="A145:A146"/>
    <mergeCell ref="A99:A100"/>
    <mergeCell ref="B114:B123"/>
    <mergeCell ref="A97:A98"/>
    <mergeCell ref="A137:A138"/>
    <mergeCell ref="A122:A123"/>
    <mergeCell ref="A126:A128"/>
    <mergeCell ref="A131:A132"/>
    <mergeCell ref="A101:A102"/>
    <mergeCell ref="B52:B100"/>
    <mergeCell ref="A85:A87"/>
    <mergeCell ref="A63:A69"/>
    <mergeCell ref="A103:A104"/>
    <mergeCell ref="A105:A106"/>
    <mergeCell ref="B29:B30"/>
    <mergeCell ref="B31:B32"/>
    <mergeCell ref="B33:B34"/>
    <mergeCell ref="A31:A34"/>
    <mergeCell ref="B35:B36"/>
    <mergeCell ref="F29:F30"/>
    <mergeCell ref="F27:F28"/>
    <mergeCell ref="A14:A15"/>
    <mergeCell ref="B8:B19"/>
    <mergeCell ref="B27:B28"/>
    <mergeCell ref="F12:F13"/>
    <mergeCell ref="F16:F17"/>
    <mergeCell ref="F45:F46"/>
    <mergeCell ref="F47:F48"/>
    <mergeCell ref="F35:F36"/>
    <mergeCell ref="F37:F38"/>
    <mergeCell ref="F39:F40"/>
    <mergeCell ref="F41:F42"/>
    <mergeCell ref="F43:F44"/>
    <mergeCell ref="F33:F34"/>
    <mergeCell ref="F18:F19"/>
    <mergeCell ref="F31:F32"/>
    <mergeCell ref="F4:F5"/>
    <mergeCell ref="F6:F7"/>
    <mergeCell ref="F73:F76"/>
    <mergeCell ref="F77:F80"/>
    <mergeCell ref="F88:F90"/>
    <mergeCell ref="F91:F92"/>
    <mergeCell ref="A27:A30"/>
    <mergeCell ref="A91:A94"/>
    <mergeCell ref="A8:A11"/>
    <mergeCell ref="A12:A13"/>
    <mergeCell ref="A16:A17"/>
    <mergeCell ref="A18:A19"/>
    <mergeCell ref="F50:F51"/>
    <mergeCell ref="F52:F53"/>
    <mergeCell ref="F54:F55"/>
    <mergeCell ref="F56:F57"/>
    <mergeCell ref="A50:A51"/>
    <mergeCell ref="A41:A42"/>
    <mergeCell ref="A43:A44"/>
    <mergeCell ref="A45:A46"/>
    <mergeCell ref="A47:A48"/>
    <mergeCell ref="A54:A55"/>
    <mergeCell ref="F8:F9"/>
    <mergeCell ref="F10:F11"/>
    <mergeCell ref="A139:A140"/>
    <mergeCell ref="B139:B146"/>
    <mergeCell ref="F109:F110"/>
    <mergeCell ref="F103:F104"/>
    <mergeCell ref="F105:F106"/>
    <mergeCell ref="F107:F108"/>
    <mergeCell ref="A109:A110"/>
    <mergeCell ref="B109:B110"/>
    <mergeCell ref="F143:F144"/>
    <mergeCell ref="F145:F146"/>
    <mergeCell ref="F135:F136"/>
    <mergeCell ref="F137:F138"/>
    <mergeCell ref="F124:F125"/>
    <mergeCell ref="F139:F140"/>
    <mergeCell ref="F141:F142"/>
    <mergeCell ref="F120:F121"/>
    <mergeCell ref="F122:F123"/>
    <mergeCell ref="F126:F128"/>
    <mergeCell ref="F131:F132"/>
    <mergeCell ref="F133:F134"/>
    <mergeCell ref="F114:F115"/>
    <mergeCell ref="F116:F117"/>
    <mergeCell ref="A135:A136"/>
    <mergeCell ref="A133:A134"/>
    <mergeCell ref="A124:A125"/>
    <mergeCell ref="F81:F84"/>
    <mergeCell ref="A77:A84"/>
    <mergeCell ref="F63:F66"/>
    <mergeCell ref="F85:F87"/>
    <mergeCell ref="A56:A57"/>
    <mergeCell ref="A58:A62"/>
    <mergeCell ref="F118:F119"/>
    <mergeCell ref="F111:F112"/>
    <mergeCell ref="A116:A117"/>
    <mergeCell ref="A118:A119"/>
    <mergeCell ref="A120:A121"/>
    <mergeCell ref="B101:B108"/>
    <mergeCell ref="B111:B112"/>
    <mergeCell ref="A107:A108"/>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5E62-52DB-4721-9BC1-F75957FCFF69}">
  <dimension ref="A1:T35"/>
  <sheetViews>
    <sheetView showGridLines="0" tabSelected="1" showWhiteSpace="0" zoomScaleNormal="100" workbookViewId="0">
      <selection activeCell="O14" sqref="O14:T22"/>
    </sheetView>
  </sheetViews>
  <sheetFormatPr defaultColWidth="11.28515625" defaultRowHeight="15" x14ac:dyDescent="0.25"/>
  <cols>
    <col min="1" max="5" width="11.28515625" style="612"/>
    <col min="6" max="6" width="12.42578125" style="612" customWidth="1"/>
    <col min="7" max="7" width="12.28515625" style="612" customWidth="1"/>
    <col min="8" max="13" width="11.28515625" style="612"/>
    <col min="14" max="14" width="6.28515625" style="612" customWidth="1"/>
    <col min="15" max="19" width="11.28515625" style="612"/>
    <col min="20" max="20" width="18.85546875" style="612" customWidth="1"/>
    <col min="21" max="16384" width="11.28515625" style="612"/>
  </cols>
  <sheetData>
    <row r="1" spans="1:20" ht="43.5" x14ac:dyDescent="0.25">
      <c r="A1" s="611" t="s">
        <v>1263</v>
      </c>
    </row>
    <row r="2" spans="1:20" ht="25.5" x14ac:dyDescent="0.25">
      <c r="A2" s="613" t="s">
        <v>1277</v>
      </c>
    </row>
    <row r="3" spans="1:20" ht="25.5" customHeight="1" x14ac:dyDescent="0.25">
      <c r="A3" s="614" t="s">
        <v>1278</v>
      </c>
    </row>
    <row r="4" spans="1:20" ht="18" x14ac:dyDescent="0.25">
      <c r="A4" s="615" t="s">
        <v>1264</v>
      </c>
    </row>
    <row r="5" spans="1:20" ht="18" x14ac:dyDescent="0.25">
      <c r="A5" s="615" t="s">
        <v>1265</v>
      </c>
    </row>
    <row r="6" spans="1:20" ht="18" x14ac:dyDescent="0.25">
      <c r="A6" s="615" t="s">
        <v>1279</v>
      </c>
    </row>
    <row r="7" spans="1:20" ht="18" x14ac:dyDescent="0.25">
      <c r="A7" s="615" t="s">
        <v>1266</v>
      </c>
    </row>
    <row r="8" spans="1:20" ht="15.95" customHeight="1" x14ac:dyDescent="0.25">
      <c r="F8" s="616"/>
      <c r="G8" s="616"/>
      <c r="H8" s="616"/>
      <c r="I8" s="616"/>
      <c r="J8" s="616"/>
      <c r="K8" s="616"/>
      <c r="L8" s="616"/>
      <c r="M8" s="616"/>
    </row>
    <row r="9" spans="1:20" ht="33.75" customHeight="1" x14ac:dyDescent="0.25">
      <c r="A9" s="615"/>
      <c r="F9" s="708" t="s">
        <v>1210</v>
      </c>
      <c r="G9" s="727"/>
      <c r="H9" s="727"/>
      <c r="I9" s="727"/>
      <c r="J9" s="708" t="s">
        <v>1211</v>
      </c>
      <c r="K9" s="708"/>
      <c r="L9" s="708" t="s">
        <v>1212</v>
      </c>
      <c r="M9" s="708"/>
    </row>
    <row r="10" spans="1:20" ht="31.5" customHeight="1" x14ac:dyDescent="0.25">
      <c r="F10" s="726" t="s">
        <v>1276</v>
      </c>
      <c r="G10" s="726"/>
      <c r="H10" s="726"/>
      <c r="I10" s="726"/>
      <c r="J10" s="726" t="s">
        <v>1267</v>
      </c>
      <c r="K10" s="726"/>
      <c r="L10" s="726" t="s">
        <v>1213</v>
      </c>
      <c r="M10" s="726"/>
    </row>
    <row r="11" spans="1:20" ht="15.95" customHeight="1" x14ac:dyDescent="0.25">
      <c r="F11" s="708" t="s">
        <v>1268</v>
      </c>
      <c r="G11" s="708"/>
      <c r="H11" s="708"/>
      <c r="I11" s="708"/>
      <c r="J11" s="708"/>
      <c r="K11" s="708"/>
      <c r="L11" s="708"/>
      <c r="M11" s="708"/>
    </row>
    <row r="12" spans="1:20" ht="15.95" customHeight="1" thickBot="1" x14ac:dyDescent="0.3">
      <c r="F12" s="713" t="s">
        <v>1281</v>
      </c>
      <c r="G12" s="714"/>
      <c r="H12" s="714"/>
      <c r="I12" s="714"/>
      <c r="J12" s="714"/>
      <c r="K12" s="714"/>
      <c r="L12" s="714"/>
      <c r="M12" s="715"/>
    </row>
    <row r="13" spans="1:20" ht="18.600000000000001" customHeight="1" x14ac:dyDescent="0.3">
      <c r="F13" s="716"/>
      <c r="G13" s="717"/>
      <c r="H13" s="717"/>
      <c r="I13" s="717"/>
      <c r="J13" s="717"/>
      <c r="K13" s="717"/>
      <c r="L13" s="717"/>
      <c r="M13" s="718"/>
      <c r="O13" s="617" t="s">
        <v>1269</v>
      </c>
      <c r="P13" s="618"/>
      <c r="Q13" s="618"/>
      <c r="R13" s="618"/>
      <c r="S13" s="618"/>
      <c r="T13" s="619"/>
    </row>
    <row r="14" spans="1:20" ht="23.45" customHeight="1" x14ac:dyDescent="0.25">
      <c r="F14" s="716"/>
      <c r="G14" s="717"/>
      <c r="H14" s="717"/>
      <c r="I14" s="717"/>
      <c r="J14" s="717"/>
      <c r="K14" s="717"/>
      <c r="L14" s="717"/>
      <c r="M14" s="718"/>
      <c r="O14" s="719" t="s">
        <v>1275</v>
      </c>
      <c r="P14" s="717"/>
      <c r="Q14" s="717"/>
      <c r="R14" s="717"/>
      <c r="S14" s="717"/>
      <c r="T14" s="720"/>
    </row>
    <row r="15" spans="1:20" s="620" customFormat="1" ht="18" customHeight="1" x14ac:dyDescent="0.25">
      <c r="F15" s="708" t="s">
        <v>1270</v>
      </c>
      <c r="G15" s="708"/>
      <c r="H15" s="708"/>
      <c r="I15" s="708"/>
      <c r="J15" s="708"/>
      <c r="K15" s="708"/>
      <c r="L15" s="708"/>
      <c r="M15" s="708"/>
      <c r="O15" s="721"/>
      <c r="P15" s="717"/>
      <c r="Q15" s="717"/>
      <c r="R15" s="717"/>
      <c r="S15" s="717"/>
      <c r="T15" s="720"/>
    </row>
    <row r="16" spans="1:20" ht="18.600000000000001" customHeight="1" x14ac:dyDescent="0.25">
      <c r="F16" s="725" t="s">
        <v>1280</v>
      </c>
      <c r="G16" s="725"/>
      <c r="H16" s="725"/>
      <c r="I16" s="725"/>
      <c r="J16" s="725"/>
      <c r="K16" s="725"/>
      <c r="L16" s="725"/>
      <c r="M16" s="725"/>
      <c r="O16" s="721"/>
      <c r="P16" s="717"/>
      <c r="Q16" s="717"/>
      <c r="R16" s="717"/>
      <c r="S16" s="717"/>
      <c r="T16" s="720"/>
    </row>
    <row r="17" spans="1:20" ht="18.600000000000001" customHeight="1" x14ac:dyDescent="0.25">
      <c r="F17" s="708" t="s">
        <v>1271</v>
      </c>
      <c r="G17" s="708"/>
      <c r="H17" s="708"/>
      <c r="I17" s="708"/>
      <c r="J17" s="708"/>
      <c r="K17" s="708"/>
      <c r="L17" s="708"/>
      <c r="M17" s="708"/>
      <c r="O17" s="721"/>
      <c r="P17" s="717"/>
      <c r="Q17" s="717"/>
      <c r="R17" s="717"/>
      <c r="S17" s="717"/>
      <c r="T17" s="720"/>
    </row>
    <row r="18" spans="1:20" ht="26.45" customHeight="1" x14ac:dyDescent="0.25">
      <c r="F18" s="726" t="s">
        <v>1214</v>
      </c>
      <c r="G18" s="726"/>
      <c r="H18" s="726"/>
      <c r="I18" s="726"/>
      <c r="J18" s="726"/>
      <c r="K18" s="726"/>
      <c r="L18" s="726"/>
      <c r="M18" s="726"/>
      <c r="O18" s="721"/>
      <c r="P18" s="717"/>
      <c r="Q18" s="717"/>
      <c r="R18" s="717"/>
      <c r="S18" s="717"/>
      <c r="T18" s="720"/>
    </row>
    <row r="19" spans="1:20" ht="18.600000000000001" customHeight="1" x14ac:dyDescent="0.25">
      <c r="F19" s="708" t="s">
        <v>1215</v>
      </c>
      <c r="G19" s="708"/>
      <c r="H19" s="708"/>
      <c r="I19" s="708"/>
      <c r="J19" s="708"/>
      <c r="K19" s="708"/>
      <c r="L19" s="708"/>
      <c r="M19" s="708"/>
      <c r="O19" s="721"/>
      <c r="P19" s="717"/>
      <c r="Q19" s="717"/>
      <c r="R19" s="717"/>
      <c r="S19" s="717"/>
      <c r="T19" s="720"/>
    </row>
    <row r="20" spans="1:20" ht="18.600000000000001" customHeight="1" x14ac:dyDescent="0.25">
      <c r="F20" s="726" t="s">
        <v>830</v>
      </c>
      <c r="G20" s="726"/>
      <c r="H20" s="726"/>
      <c r="I20" s="726"/>
      <c r="J20" s="726"/>
      <c r="K20" s="726"/>
      <c r="L20" s="726"/>
      <c r="M20" s="726"/>
      <c r="O20" s="721"/>
      <c r="P20" s="717"/>
      <c r="Q20" s="717"/>
      <c r="R20" s="717"/>
      <c r="S20" s="717"/>
      <c r="T20" s="720"/>
    </row>
    <row r="21" spans="1:20" ht="18.600000000000001" customHeight="1" x14ac:dyDescent="0.25">
      <c r="F21" s="708" t="s">
        <v>1216</v>
      </c>
      <c r="G21" s="708"/>
      <c r="H21" s="708"/>
      <c r="I21" s="708"/>
      <c r="J21" s="708" t="s">
        <v>1217</v>
      </c>
      <c r="K21" s="708"/>
      <c r="L21" s="708"/>
      <c r="M21" s="708"/>
      <c r="O21" s="721"/>
      <c r="P21" s="717"/>
      <c r="Q21" s="717"/>
      <c r="R21" s="717"/>
      <c r="S21" s="717"/>
      <c r="T21" s="720"/>
    </row>
    <row r="22" spans="1:20" ht="18.600000000000001" customHeight="1" thickBot="1" x14ac:dyDescent="0.3">
      <c r="F22" s="709" t="s">
        <v>1218</v>
      </c>
      <c r="G22" s="709"/>
      <c r="H22" s="709"/>
      <c r="I22" s="709"/>
      <c r="J22" s="709" t="s">
        <v>1214</v>
      </c>
      <c r="K22" s="709"/>
      <c r="L22" s="709"/>
      <c r="M22" s="709"/>
      <c r="O22" s="722"/>
      <c r="P22" s="723"/>
      <c r="Q22" s="723"/>
      <c r="R22" s="723"/>
      <c r="S22" s="723"/>
      <c r="T22" s="724"/>
    </row>
    <row r="23" spans="1:20" ht="27" customHeight="1" x14ac:dyDescent="0.25">
      <c r="F23" s="709"/>
      <c r="G23" s="709"/>
      <c r="H23" s="709"/>
      <c r="I23" s="709"/>
      <c r="J23" s="709"/>
      <c r="K23" s="709"/>
      <c r="L23" s="709"/>
      <c r="M23" s="709"/>
    </row>
    <row r="24" spans="1:20" ht="18.600000000000001" customHeight="1" x14ac:dyDescent="0.25">
      <c r="O24" s="621"/>
      <c r="P24" s="621"/>
      <c r="Q24" s="621"/>
      <c r="R24" s="621"/>
      <c r="S24" s="621"/>
      <c r="T24" s="621"/>
    </row>
    <row r="25" spans="1:20" ht="22.5" customHeight="1" x14ac:dyDescent="0.25">
      <c r="F25" s="622" t="s">
        <v>1208</v>
      </c>
      <c r="O25" s="710"/>
      <c r="P25" s="710"/>
      <c r="Q25" s="710"/>
      <c r="R25" s="710"/>
      <c r="S25" s="710"/>
      <c r="T25" s="710"/>
    </row>
    <row r="26" spans="1:20" ht="18.600000000000001" customHeight="1" x14ac:dyDescent="0.25">
      <c r="F26" s="711" t="s">
        <v>1209</v>
      </c>
      <c r="G26" s="711"/>
      <c r="H26" s="711"/>
      <c r="I26" s="711"/>
      <c r="J26" s="711"/>
      <c r="K26" s="711"/>
      <c r="L26" s="711"/>
      <c r="M26" s="711"/>
    </row>
    <row r="27" spans="1:20" ht="18.600000000000001" customHeight="1" x14ac:dyDescent="0.25">
      <c r="F27" s="711"/>
      <c r="G27" s="711"/>
      <c r="H27" s="711"/>
      <c r="I27" s="711"/>
      <c r="J27" s="711"/>
      <c r="K27" s="711"/>
      <c r="L27" s="711"/>
      <c r="M27" s="711"/>
    </row>
    <row r="28" spans="1:20" ht="18.600000000000001" customHeight="1" x14ac:dyDescent="0.25">
      <c r="F28" s="711"/>
      <c r="G28" s="711"/>
      <c r="H28" s="711"/>
      <c r="I28" s="711"/>
      <c r="J28" s="711"/>
      <c r="K28" s="711"/>
      <c r="L28" s="711"/>
      <c r="M28" s="711"/>
    </row>
    <row r="29" spans="1:20" ht="18.600000000000001" customHeight="1" x14ac:dyDescent="0.25">
      <c r="F29" s="711"/>
      <c r="G29" s="711"/>
      <c r="H29" s="711"/>
      <c r="I29" s="711"/>
      <c r="J29" s="711"/>
      <c r="K29" s="711"/>
      <c r="L29" s="711"/>
      <c r="M29" s="711"/>
    </row>
    <row r="30" spans="1:20" ht="18.75" customHeight="1" x14ac:dyDescent="0.25">
      <c r="A30" s="623" t="s">
        <v>1272</v>
      </c>
      <c r="F30" s="622" t="s">
        <v>1273</v>
      </c>
    </row>
    <row r="31" spans="1:20" ht="17.25" customHeight="1" x14ac:dyDescent="0.25">
      <c r="F31" s="712" t="s">
        <v>1274</v>
      </c>
      <c r="G31" s="712"/>
      <c r="H31" s="712"/>
      <c r="I31" s="712"/>
      <c r="J31" s="712"/>
      <c r="K31" s="712"/>
      <c r="L31" s="712"/>
      <c r="M31" s="712"/>
    </row>
    <row r="32" spans="1:20" x14ac:dyDescent="0.25">
      <c r="A32" s="624"/>
      <c r="F32" s="712"/>
      <c r="G32" s="712"/>
      <c r="H32" s="712"/>
      <c r="I32" s="712"/>
      <c r="J32" s="712"/>
      <c r="K32" s="712"/>
      <c r="L32" s="712"/>
      <c r="M32" s="712"/>
    </row>
    <row r="33" spans="6:13" ht="14.45" customHeight="1" x14ac:dyDescent="0.25">
      <c r="F33" s="707" t="s">
        <v>1219</v>
      </c>
      <c r="G33" s="707"/>
      <c r="H33" s="707"/>
      <c r="I33" s="707"/>
      <c r="J33" s="707"/>
      <c r="K33" s="707"/>
      <c r="L33" s="707"/>
      <c r="M33" s="707"/>
    </row>
    <row r="34" spans="6:13" x14ac:dyDescent="0.25">
      <c r="F34" s="707"/>
      <c r="G34" s="707"/>
      <c r="H34" s="707"/>
      <c r="I34" s="707"/>
      <c r="J34" s="707"/>
      <c r="K34" s="707"/>
      <c r="L34" s="707"/>
      <c r="M34" s="707"/>
    </row>
    <row r="35" spans="6:13" x14ac:dyDescent="0.25">
      <c r="F35" s="625"/>
    </row>
  </sheetData>
  <mergeCells count="23">
    <mergeCell ref="F9:I9"/>
    <mergeCell ref="J9:K9"/>
    <mergeCell ref="L9:M9"/>
    <mergeCell ref="F10:I10"/>
    <mergeCell ref="J10:K10"/>
    <mergeCell ref="L10:M10"/>
    <mergeCell ref="F11:M11"/>
    <mergeCell ref="F12:M14"/>
    <mergeCell ref="O14:T22"/>
    <mergeCell ref="F15:M15"/>
    <mergeCell ref="F16:M16"/>
    <mergeCell ref="F17:M17"/>
    <mergeCell ref="F18:M18"/>
    <mergeCell ref="F19:M19"/>
    <mergeCell ref="F20:M20"/>
    <mergeCell ref="F21:I21"/>
    <mergeCell ref="F33:M34"/>
    <mergeCell ref="J21:M21"/>
    <mergeCell ref="F22:I23"/>
    <mergeCell ref="J22:M23"/>
    <mergeCell ref="O25:T25"/>
    <mergeCell ref="F26:M29"/>
    <mergeCell ref="F31:M32"/>
  </mergeCells>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53DB-A03F-46D0-81CB-12404FA762C4}">
  <sheetPr>
    <tabColor rgb="FF00B050"/>
  </sheetPr>
  <dimension ref="A35"/>
  <sheetViews>
    <sheetView showGridLines="0" zoomScale="90" zoomScaleNormal="90" workbookViewId="0"/>
  </sheetViews>
  <sheetFormatPr defaultColWidth="9.140625" defaultRowHeight="15" x14ac:dyDescent="0.25"/>
  <cols>
    <col min="12" max="12" width="13.42578125" customWidth="1"/>
  </cols>
  <sheetData>
    <row r="35" ht="92.25" customHeight="1" x14ac:dyDescent="0.25"/>
  </sheetData>
  <sheetProtection algorithmName="SHA-512" hashValue="8VYiToncbPbKpXwCL9BNxkgZBHLP+tLzszJQ7aXBZDW4KEszg3LNgKB17T2t27AOg8wcxVEC/XWT08M5y59Cqw==" saltValue="CWNbwdlhpkSMZtRxXy6jyg=="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0DB6-B5E8-4D93-9EC8-7AFDE0F91DF7}">
  <sheetPr codeName="Sheet6"/>
  <dimension ref="A2:B5"/>
  <sheetViews>
    <sheetView workbookViewId="0">
      <selection activeCell="B9" sqref="B9"/>
    </sheetView>
  </sheetViews>
  <sheetFormatPr defaultRowHeight="15" x14ac:dyDescent="0.25"/>
  <cols>
    <col min="1" max="1" width="22" customWidth="1"/>
    <col min="2" max="2" width="24" customWidth="1"/>
    <col min="3" max="3" width="14.42578125" customWidth="1"/>
  </cols>
  <sheetData>
    <row r="2" spans="1:2" x14ac:dyDescent="0.25">
      <c r="A2" t="s">
        <v>300</v>
      </c>
    </row>
    <row r="3" spans="1:2" x14ac:dyDescent="0.25">
      <c r="A3" t="s">
        <v>301</v>
      </c>
      <c r="B3" t="s">
        <v>302</v>
      </c>
    </row>
    <row r="4" spans="1:2" x14ac:dyDescent="0.25">
      <c r="A4" t="s">
        <v>303</v>
      </c>
    </row>
    <row r="5" spans="1:2" x14ac:dyDescent="0.25">
      <c r="A5" t="s">
        <v>304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135E-A286-4BDB-AFE7-4D76A1CEF604}">
  <sheetPr codeName="Sheet7"/>
  <dimension ref="A2:K112"/>
  <sheetViews>
    <sheetView zoomScale="68" zoomScaleNormal="68" workbookViewId="0">
      <pane xSplit="1" ySplit="2" topLeftCell="G5" activePane="bottomRight" state="frozen"/>
      <selection pane="topRight" activeCell="B1" sqref="B1"/>
      <selection pane="bottomLeft" activeCell="A3" sqref="A3"/>
      <selection pane="bottomRight" activeCell="G7" sqref="G7"/>
    </sheetView>
  </sheetViews>
  <sheetFormatPr defaultColWidth="9.140625" defaultRowHeight="15" x14ac:dyDescent="0.25"/>
  <cols>
    <col min="1" max="1" width="8.7109375" hidden="1" customWidth="1"/>
    <col min="2" max="2" width="18.5703125" customWidth="1"/>
    <col min="3" max="3" width="22.5703125" customWidth="1"/>
    <col min="4" max="4" width="31.42578125" customWidth="1"/>
    <col min="5" max="5" width="30.7109375" customWidth="1"/>
    <col min="6" max="6" width="50.42578125" customWidth="1"/>
    <col min="7" max="7" width="40.7109375" customWidth="1"/>
    <col min="8" max="8" width="11.7109375" customWidth="1"/>
    <col min="9" max="9" width="16.5703125" customWidth="1"/>
    <col min="10" max="10" width="66.140625" customWidth="1"/>
    <col min="11" max="11" width="78" customWidth="1"/>
    <col min="12" max="16384" width="9.140625" style="130"/>
  </cols>
  <sheetData>
    <row r="2" spans="1:11" ht="47.25" x14ac:dyDescent="0.25">
      <c r="B2" s="282" t="s">
        <v>305</v>
      </c>
      <c r="C2" s="82" t="s">
        <v>306</v>
      </c>
      <c r="D2" s="282" t="s">
        <v>307</v>
      </c>
      <c r="E2" s="82" t="s">
        <v>9</v>
      </c>
      <c r="F2" s="282" t="s">
        <v>308</v>
      </c>
      <c r="G2" s="82" t="s">
        <v>10</v>
      </c>
      <c r="H2" s="282" t="s">
        <v>11</v>
      </c>
      <c r="I2" s="282" t="s">
        <v>12</v>
      </c>
      <c r="J2" s="82" t="s">
        <v>13</v>
      </c>
      <c r="K2" s="82" t="s">
        <v>14</v>
      </c>
    </row>
    <row r="3" spans="1:11" ht="19.5" customHeight="1" x14ac:dyDescent="0.25">
      <c r="A3" s="79"/>
      <c r="B3" s="83" t="s">
        <v>309</v>
      </c>
      <c r="C3" s="80"/>
      <c r="D3" s="80"/>
      <c r="E3" s="80"/>
      <c r="F3" s="81"/>
      <c r="G3" s="80"/>
      <c r="H3" s="80"/>
      <c r="I3" s="80"/>
      <c r="J3" s="80"/>
      <c r="K3" s="80"/>
    </row>
    <row r="4" spans="1:11" ht="83.25" customHeight="1" x14ac:dyDescent="0.25">
      <c r="A4" s="79"/>
      <c r="B4" s="74"/>
      <c r="C4" s="74" t="s">
        <v>310</v>
      </c>
      <c r="D4" s="74" t="s">
        <v>311</v>
      </c>
      <c r="E4" s="74" t="s">
        <v>312</v>
      </c>
      <c r="F4" s="74" t="s">
        <v>15</v>
      </c>
      <c r="G4" s="450" t="s">
        <v>313</v>
      </c>
      <c r="H4" s="450" t="s">
        <v>61</v>
      </c>
      <c r="I4" s="450"/>
      <c r="J4" s="91" t="s">
        <v>314</v>
      </c>
      <c r="K4" s="74"/>
    </row>
    <row r="5" spans="1:11" ht="83.25" customHeight="1" x14ac:dyDescent="0.25">
      <c r="A5" s="79"/>
      <c r="B5" s="74"/>
      <c r="C5" s="74" t="s">
        <v>310</v>
      </c>
      <c r="D5" s="74" t="s">
        <v>311</v>
      </c>
      <c r="E5" s="74" t="s">
        <v>312</v>
      </c>
      <c r="F5" s="74" t="s">
        <v>15</v>
      </c>
      <c r="G5" s="450" t="s">
        <v>313</v>
      </c>
      <c r="H5" s="450" t="s">
        <v>39</v>
      </c>
      <c r="I5" s="450"/>
      <c r="J5" s="91" t="s">
        <v>315</v>
      </c>
      <c r="K5" s="74"/>
    </row>
    <row r="6" spans="1:11" s="79" customFormat="1" ht="15.75" x14ac:dyDescent="0.25">
      <c r="B6" s="71" t="s">
        <v>316</v>
      </c>
      <c r="C6" s="72"/>
      <c r="D6" s="56"/>
      <c r="E6" s="56"/>
      <c r="F6" s="56"/>
      <c r="G6" s="56"/>
      <c r="H6" s="56"/>
      <c r="I6" s="56"/>
      <c r="J6" s="56"/>
      <c r="K6" s="9"/>
    </row>
    <row r="7" spans="1:11" s="79" customFormat="1" ht="38.25" x14ac:dyDescent="0.25">
      <c r="B7" s="76"/>
      <c r="C7" s="76" t="s">
        <v>317</v>
      </c>
      <c r="D7" s="74" t="s">
        <v>311</v>
      </c>
      <c r="E7" s="76"/>
      <c r="F7" s="74" t="s">
        <v>15</v>
      </c>
      <c r="G7" s="62" t="s">
        <v>318</v>
      </c>
      <c r="H7" s="62"/>
      <c r="I7" s="92"/>
      <c r="J7" s="92" t="s">
        <v>319</v>
      </c>
      <c r="K7" s="74"/>
    </row>
    <row r="8" spans="1:11" s="131" customFormat="1" ht="51" x14ac:dyDescent="0.25">
      <c r="A8" s="79"/>
      <c r="B8" s="75"/>
      <c r="C8" s="76" t="s">
        <v>317</v>
      </c>
      <c r="D8" s="74" t="s">
        <v>311</v>
      </c>
      <c r="E8" s="76"/>
      <c r="F8" s="74" t="s">
        <v>15</v>
      </c>
      <c r="G8" s="92" t="s">
        <v>320</v>
      </c>
      <c r="H8" s="92"/>
      <c r="I8" s="92"/>
      <c r="J8" s="92" t="s">
        <v>321</v>
      </c>
      <c r="K8" s="76"/>
    </row>
    <row r="9" spans="1:11" s="132" customFormat="1" ht="72" customHeight="1" x14ac:dyDescent="0.25">
      <c r="A9" s="113">
        <v>1</v>
      </c>
      <c r="B9" s="125" t="s">
        <v>322</v>
      </c>
      <c r="C9" s="113" t="s">
        <v>98</v>
      </c>
      <c r="D9" s="113" t="s">
        <v>20</v>
      </c>
      <c r="E9" s="116" t="s">
        <v>323</v>
      </c>
      <c r="F9" s="126" t="s">
        <v>23</v>
      </c>
      <c r="G9" s="127" t="s">
        <v>324</v>
      </c>
      <c r="H9" s="113" t="s">
        <v>61</v>
      </c>
      <c r="I9" s="113" t="s">
        <v>23</v>
      </c>
      <c r="J9" s="128" t="s">
        <v>325</v>
      </c>
      <c r="K9" s="113"/>
    </row>
    <row r="10" spans="1:11" s="132" customFormat="1" ht="72" customHeight="1" x14ac:dyDescent="0.25">
      <c r="A10" s="113">
        <v>1</v>
      </c>
      <c r="B10" s="125" t="s">
        <v>322</v>
      </c>
      <c r="C10" s="113" t="s">
        <v>98</v>
      </c>
      <c r="D10" s="113" t="s">
        <v>23</v>
      </c>
      <c r="E10" s="116" t="s">
        <v>323</v>
      </c>
      <c r="F10" s="126" t="s">
        <v>23</v>
      </c>
      <c r="G10" s="127" t="s">
        <v>324</v>
      </c>
      <c r="H10" s="113" t="s">
        <v>39</v>
      </c>
      <c r="I10" s="113" t="s">
        <v>23</v>
      </c>
      <c r="J10" s="128" t="s">
        <v>326</v>
      </c>
      <c r="K10" s="113"/>
    </row>
    <row r="11" spans="1:11" s="79" customFormat="1" ht="15.75" x14ac:dyDescent="0.25">
      <c r="B11" s="6" t="s">
        <v>327</v>
      </c>
      <c r="C11" s="10"/>
      <c r="D11" s="9"/>
      <c r="E11" s="9"/>
      <c r="F11" s="9"/>
      <c r="G11" s="9"/>
      <c r="H11" s="9"/>
      <c r="I11" s="9"/>
      <c r="J11" s="9"/>
      <c r="K11" s="9"/>
    </row>
    <row r="12" spans="1:11" s="79" customFormat="1" ht="63.75" x14ac:dyDescent="0.25">
      <c r="B12" s="77"/>
      <c r="C12" s="77" t="s">
        <v>328</v>
      </c>
      <c r="D12" s="77" t="s">
        <v>329</v>
      </c>
      <c r="E12" s="77" t="s">
        <v>330</v>
      </c>
      <c r="F12" s="77"/>
      <c r="G12" s="77" t="s">
        <v>331</v>
      </c>
      <c r="H12" s="77" t="s">
        <v>61</v>
      </c>
      <c r="I12" s="77" t="s">
        <v>20</v>
      </c>
      <c r="J12" s="77" t="s">
        <v>332</v>
      </c>
      <c r="K12" s="77"/>
    </row>
    <row r="13" spans="1:11" s="79" customFormat="1" ht="63.75" x14ac:dyDescent="0.25">
      <c r="B13" s="77"/>
      <c r="C13" s="77" t="s">
        <v>328</v>
      </c>
      <c r="D13" s="77" t="s">
        <v>329</v>
      </c>
      <c r="E13" s="77" t="s">
        <v>330</v>
      </c>
      <c r="F13" s="77"/>
      <c r="G13" s="77" t="s">
        <v>331</v>
      </c>
      <c r="H13" s="106" t="s">
        <v>333</v>
      </c>
      <c r="I13" s="106" t="s">
        <v>334</v>
      </c>
      <c r="J13" s="106" t="s">
        <v>335</v>
      </c>
      <c r="K13" s="77"/>
    </row>
    <row r="14" spans="1:11" s="79" customFormat="1" ht="51" x14ac:dyDescent="0.25">
      <c r="B14" s="77"/>
      <c r="C14" s="77" t="s">
        <v>328</v>
      </c>
      <c r="D14" s="77" t="s">
        <v>329</v>
      </c>
      <c r="E14" s="77" t="s">
        <v>336</v>
      </c>
      <c r="F14" s="77"/>
      <c r="G14" s="158" t="s">
        <v>337</v>
      </c>
      <c r="H14" s="161" t="s">
        <v>61</v>
      </c>
      <c r="I14" s="161"/>
      <c r="J14" s="161" t="s">
        <v>338</v>
      </c>
      <c r="K14" s="159"/>
    </row>
    <row r="15" spans="1:11" s="79" customFormat="1" ht="51" x14ac:dyDescent="0.25">
      <c r="B15" s="77"/>
      <c r="C15" s="77" t="s">
        <v>328</v>
      </c>
      <c r="D15" s="77" t="s">
        <v>329</v>
      </c>
      <c r="E15" s="77" t="s">
        <v>336</v>
      </c>
      <c r="F15" s="77"/>
      <c r="G15" s="158" t="s">
        <v>339</v>
      </c>
      <c r="H15" s="160" t="s">
        <v>95</v>
      </c>
      <c r="I15" s="160" t="s">
        <v>20</v>
      </c>
      <c r="J15" s="160" t="s">
        <v>340</v>
      </c>
      <c r="K15" s="77"/>
    </row>
    <row r="16" spans="1:11" s="79" customFormat="1" ht="51" x14ac:dyDescent="0.25">
      <c r="B16" s="77"/>
      <c r="C16" s="77" t="s">
        <v>328</v>
      </c>
      <c r="D16" s="77" t="s">
        <v>329</v>
      </c>
      <c r="E16" s="158" t="s">
        <v>341</v>
      </c>
      <c r="F16" s="160"/>
      <c r="G16" s="160" t="s">
        <v>115</v>
      </c>
      <c r="H16" s="160" t="s">
        <v>61</v>
      </c>
      <c r="I16" s="77" t="s">
        <v>23</v>
      </c>
      <c r="J16" s="77" t="s">
        <v>116</v>
      </c>
      <c r="K16" s="77"/>
    </row>
    <row r="17" spans="1:11" ht="51" x14ac:dyDescent="0.25">
      <c r="A17" s="77"/>
      <c r="B17" s="77"/>
      <c r="C17" s="77" t="s">
        <v>328</v>
      </c>
      <c r="D17" s="77" t="s">
        <v>329</v>
      </c>
      <c r="E17" s="158" t="s">
        <v>341</v>
      </c>
      <c r="F17" s="77"/>
      <c r="G17" s="160" t="s">
        <v>115</v>
      </c>
      <c r="H17" s="77" t="s">
        <v>39</v>
      </c>
      <c r="I17" s="77" t="s">
        <v>23</v>
      </c>
      <c r="J17" s="77" t="s">
        <v>118</v>
      </c>
      <c r="K17" s="77"/>
    </row>
    <row r="18" spans="1:11" ht="36" customHeight="1" x14ac:dyDescent="0.25">
      <c r="A18" s="170"/>
      <c r="B18" s="168"/>
      <c r="C18" s="168" t="s">
        <v>342</v>
      </c>
      <c r="D18" s="168" t="s">
        <v>311</v>
      </c>
      <c r="E18" s="171" t="s">
        <v>343</v>
      </c>
      <c r="F18" s="168"/>
      <c r="G18" s="172" t="s">
        <v>123</v>
      </c>
      <c r="H18" s="168" t="s">
        <v>33</v>
      </c>
      <c r="I18" s="168" t="s">
        <v>23</v>
      </c>
      <c r="J18" s="168" t="s">
        <v>338</v>
      </c>
      <c r="K18" s="170"/>
    </row>
    <row r="19" spans="1:11" ht="44.25" customHeight="1" x14ac:dyDescent="0.25">
      <c r="A19" s="170"/>
      <c r="B19" s="168"/>
      <c r="C19" s="168" t="s">
        <v>342</v>
      </c>
      <c r="D19" s="168" t="s">
        <v>311</v>
      </c>
      <c r="E19" s="171" t="s">
        <v>343</v>
      </c>
      <c r="F19" s="168"/>
      <c r="G19" s="172" t="s">
        <v>123</v>
      </c>
      <c r="H19" s="168" t="s">
        <v>39</v>
      </c>
      <c r="I19" s="168" t="s">
        <v>137</v>
      </c>
      <c r="J19" s="169" t="s">
        <v>344</v>
      </c>
      <c r="K19" s="170"/>
    </row>
    <row r="20" spans="1:11" ht="89.25" x14ac:dyDescent="0.25">
      <c r="A20" s="170"/>
      <c r="B20" s="168"/>
      <c r="C20" s="168" t="s">
        <v>342</v>
      </c>
      <c r="D20" s="168" t="s">
        <v>311</v>
      </c>
      <c r="E20" s="171" t="s">
        <v>343</v>
      </c>
      <c r="F20" s="168"/>
      <c r="G20" s="172" t="s">
        <v>123</v>
      </c>
      <c r="H20" s="168" t="s">
        <v>39</v>
      </c>
      <c r="I20" s="168" t="s">
        <v>345</v>
      </c>
      <c r="J20" s="169" t="s">
        <v>346</v>
      </c>
      <c r="K20" s="170"/>
    </row>
    <row r="21" spans="1:11" s="79" customFormat="1" ht="165.75" x14ac:dyDescent="0.25">
      <c r="B21" s="84"/>
      <c r="C21" s="84" t="s">
        <v>347</v>
      </c>
      <c r="D21" s="84" t="s">
        <v>311</v>
      </c>
      <c r="E21" s="84" t="s">
        <v>120</v>
      </c>
      <c r="F21" s="84"/>
      <c r="G21" s="84" t="s">
        <v>348</v>
      </c>
      <c r="H21" s="84" t="s">
        <v>61</v>
      </c>
      <c r="I21" s="84" t="s">
        <v>23</v>
      </c>
      <c r="J21" s="84" t="s">
        <v>332</v>
      </c>
      <c r="K21" s="85"/>
    </row>
    <row r="22" spans="1:11" s="79" customFormat="1" ht="97.5" customHeight="1" x14ac:dyDescent="0.25">
      <c r="B22" s="84"/>
      <c r="C22" s="84" t="s">
        <v>347</v>
      </c>
      <c r="D22" s="84" t="s">
        <v>311</v>
      </c>
      <c r="E22" s="84" t="s">
        <v>120</v>
      </c>
      <c r="F22" s="84"/>
      <c r="G22" s="84" t="s">
        <v>349</v>
      </c>
      <c r="H22" s="84" t="s">
        <v>39</v>
      </c>
      <c r="I22" s="84" t="s">
        <v>137</v>
      </c>
      <c r="J22" s="167" t="s">
        <v>350</v>
      </c>
      <c r="K22" s="85"/>
    </row>
    <row r="23" spans="1:11" s="79" customFormat="1" ht="165.75" x14ac:dyDescent="0.25">
      <c r="B23" s="84"/>
      <c r="C23" s="84" t="s">
        <v>347</v>
      </c>
      <c r="D23" s="84" t="s">
        <v>311</v>
      </c>
      <c r="E23" s="84" t="s">
        <v>120</v>
      </c>
      <c r="F23" s="84"/>
      <c r="G23" s="84" t="s">
        <v>351</v>
      </c>
      <c r="H23" s="168" t="s">
        <v>95</v>
      </c>
      <c r="I23" s="168" t="s">
        <v>345</v>
      </c>
      <c r="J23" s="169" t="s">
        <v>352</v>
      </c>
      <c r="K23" s="85"/>
    </row>
    <row r="24" spans="1:11" s="79" customFormat="1" ht="38.25" x14ac:dyDescent="0.25">
      <c r="B24" s="86"/>
      <c r="C24" s="86" t="s">
        <v>127</v>
      </c>
      <c r="D24" s="86" t="s">
        <v>311</v>
      </c>
      <c r="E24" s="86" t="s">
        <v>127</v>
      </c>
      <c r="F24" s="86"/>
      <c r="G24" s="86" t="s">
        <v>353</v>
      </c>
      <c r="H24" s="86" t="s">
        <v>61</v>
      </c>
      <c r="I24" s="86" t="s">
        <v>23</v>
      </c>
      <c r="J24" s="86" t="s">
        <v>332</v>
      </c>
      <c r="K24" s="87"/>
    </row>
    <row r="25" spans="1:11" s="79" customFormat="1" ht="38.25" x14ac:dyDescent="0.25">
      <c r="B25" s="86"/>
      <c r="C25" s="86" t="s">
        <v>127</v>
      </c>
      <c r="D25" s="86" t="s">
        <v>311</v>
      </c>
      <c r="E25" s="86" t="s">
        <v>127</v>
      </c>
      <c r="F25" s="86"/>
      <c r="G25" s="173" t="s">
        <v>353</v>
      </c>
      <c r="H25" s="173" t="s">
        <v>39</v>
      </c>
      <c r="I25" s="86" t="s">
        <v>137</v>
      </c>
      <c r="J25" s="174" t="s">
        <v>354</v>
      </c>
      <c r="K25" s="88"/>
    </row>
    <row r="26" spans="1:11" s="79" customFormat="1" ht="165.75" x14ac:dyDescent="0.25">
      <c r="B26" s="86"/>
      <c r="C26" s="86" t="s">
        <v>127</v>
      </c>
      <c r="D26" s="86" t="s">
        <v>311</v>
      </c>
      <c r="E26" s="86" t="s">
        <v>127</v>
      </c>
      <c r="F26" s="86"/>
      <c r="G26" s="173" t="s">
        <v>355</v>
      </c>
      <c r="H26" s="86" t="s">
        <v>39</v>
      </c>
      <c r="I26" s="86" t="s">
        <v>345</v>
      </c>
      <c r="J26" s="174" t="s">
        <v>356</v>
      </c>
      <c r="K26" s="87"/>
    </row>
    <row r="27" spans="1:11" s="79" customFormat="1" ht="25.5" x14ac:dyDescent="0.25">
      <c r="B27" s="89"/>
      <c r="C27" s="89" t="s">
        <v>357</v>
      </c>
      <c r="D27" s="89" t="s">
        <v>311</v>
      </c>
      <c r="E27" s="89" t="s">
        <v>129</v>
      </c>
      <c r="F27" s="89"/>
      <c r="G27" s="89" t="s">
        <v>133</v>
      </c>
      <c r="H27" s="89" t="s">
        <v>61</v>
      </c>
      <c r="I27" s="89" t="s">
        <v>358</v>
      </c>
      <c r="J27" s="89" t="s">
        <v>359</v>
      </c>
      <c r="K27" s="90"/>
    </row>
    <row r="28" spans="1:11" s="79" customFormat="1" ht="25.5" x14ac:dyDescent="0.25">
      <c r="B28" s="89"/>
      <c r="C28" s="89" t="s">
        <v>357</v>
      </c>
      <c r="D28" s="89" t="s">
        <v>311</v>
      </c>
      <c r="E28" s="89" t="s">
        <v>129</v>
      </c>
      <c r="F28" s="89"/>
      <c r="G28" s="89" t="s">
        <v>133</v>
      </c>
      <c r="H28" s="89" t="s">
        <v>61</v>
      </c>
      <c r="I28" s="89" t="s">
        <v>360</v>
      </c>
      <c r="J28" s="89" t="s">
        <v>332</v>
      </c>
      <c r="K28" s="90"/>
    </row>
    <row r="29" spans="1:11" s="79" customFormat="1" ht="165.75" x14ac:dyDescent="0.25">
      <c r="B29" s="89"/>
      <c r="C29" s="89" t="s">
        <v>357</v>
      </c>
      <c r="D29" s="89" t="s">
        <v>311</v>
      </c>
      <c r="E29" s="89" t="s">
        <v>129</v>
      </c>
      <c r="F29" s="89"/>
      <c r="G29" s="89" t="s">
        <v>133</v>
      </c>
      <c r="H29" s="89" t="s">
        <v>95</v>
      </c>
      <c r="I29" s="89" t="s">
        <v>20</v>
      </c>
      <c r="J29" s="89" t="s">
        <v>361</v>
      </c>
      <c r="K29" s="90"/>
    </row>
    <row r="30" spans="1:11" s="79" customFormat="1" ht="25.5" x14ac:dyDescent="0.25">
      <c r="B30" s="89"/>
      <c r="C30" s="89" t="s">
        <v>357</v>
      </c>
      <c r="D30" s="89" t="s">
        <v>311</v>
      </c>
      <c r="E30" s="89" t="s">
        <v>129</v>
      </c>
      <c r="F30" s="89"/>
      <c r="G30" s="89" t="s">
        <v>133</v>
      </c>
      <c r="H30" s="89" t="s">
        <v>39</v>
      </c>
      <c r="I30" s="89" t="s">
        <v>23</v>
      </c>
      <c r="J30" s="89" t="s">
        <v>362</v>
      </c>
      <c r="K30" s="90"/>
    </row>
    <row r="31" spans="1:11" s="79" customFormat="1" ht="38.25" x14ac:dyDescent="0.25">
      <c r="B31" s="89"/>
      <c r="C31" s="89" t="s">
        <v>357</v>
      </c>
      <c r="D31" s="89" t="s">
        <v>147</v>
      </c>
      <c r="E31" s="89" t="s">
        <v>140</v>
      </c>
      <c r="F31" s="89"/>
      <c r="G31" s="162" t="s">
        <v>363</v>
      </c>
      <c r="H31" s="162" t="s">
        <v>364</v>
      </c>
      <c r="I31" s="162" t="s">
        <v>365</v>
      </c>
      <c r="J31" s="162" t="s">
        <v>366</v>
      </c>
      <c r="K31" s="90"/>
    </row>
    <row r="32" spans="1:11" s="79" customFormat="1" ht="38.25" x14ac:dyDescent="0.25">
      <c r="B32" s="89"/>
      <c r="C32" s="89" t="s">
        <v>357</v>
      </c>
      <c r="D32" s="89" t="s">
        <v>147</v>
      </c>
      <c r="E32" s="89" t="s">
        <v>140</v>
      </c>
      <c r="F32" s="89"/>
      <c r="G32" s="162" t="s">
        <v>363</v>
      </c>
      <c r="H32" s="162" t="s">
        <v>364</v>
      </c>
      <c r="I32" s="162" t="s">
        <v>367</v>
      </c>
      <c r="J32" s="162" t="s">
        <v>149</v>
      </c>
    </row>
    <row r="33" spans="2:11" s="79" customFormat="1" ht="102" x14ac:dyDescent="0.25">
      <c r="B33" s="89"/>
      <c r="C33" s="89" t="s">
        <v>357</v>
      </c>
      <c r="D33" s="89" t="s">
        <v>147</v>
      </c>
      <c r="E33" s="89" t="s">
        <v>140</v>
      </c>
      <c r="F33" s="89"/>
      <c r="G33" s="162" t="s">
        <v>363</v>
      </c>
      <c r="H33" s="89" t="s">
        <v>95</v>
      </c>
      <c r="I33" s="89" t="s">
        <v>20</v>
      </c>
      <c r="J33" s="162" t="s">
        <v>368</v>
      </c>
      <c r="K33" s="90"/>
    </row>
    <row r="34" spans="2:11" s="79" customFormat="1" ht="127.5" x14ac:dyDescent="0.25">
      <c r="B34" s="89"/>
      <c r="C34" s="89" t="s">
        <v>357</v>
      </c>
      <c r="D34" s="89" t="s">
        <v>147</v>
      </c>
      <c r="E34" s="89" t="s">
        <v>140</v>
      </c>
      <c r="F34" s="89"/>
      <c r="G34" s="162" t="s">
        <v>363</v>
      </c>
      <c r="H34" s="89" t="s">
        <v>95</v>
      </c>
      <c r="I34" s="89" t="s">
        <v>369</v>
      </c>
      <c r="J34" s="162" t="s">
        <v>370</v>
      </c>
      <c r="K34" s="90"/>
    </row>
    <row r="35" spans="2:11" s="79" customFormat="1" ht="38.25" x14ac:dyDescent="0.25">
      <c r="B35" s="89"/>
      <c r="C35" s="89" t="s">
        <v>357</v>
      </c>
      <c r="D35" s="89" t="s">
        <v>371</v>
      </c>
      <c r="E35" s="89" t="s">
        <v>140</v>
      </c>
      <c r="F35" s="89"/>
      <c r="G35" s="162" t="s">
        <v>372</v>
      </c>
      <c r="H35" s="89" t="s">
        <v>33</v>
      </c>
      <c r="I35" s="89" t="s">
        <v>369</v>
      </c>
      <c r="J35" s="89" t="s">
        <v>373</v>
      </c>
      <c r="K35" s="90"/>
    </row>
    <row r="36" spans="2:11" s="79" customFormat="1" ht="38.25" x14ac:dyDescent="0.25">
      <c r="B36" s="89"/>
      <c r="C36" s="89" t="s">
        <v>357</v>
      </c>
      <c r="D36" s="89" t="s">
        <v>374</v>
      </c>
      <c r="E36" s="89" t="s">
        <v>140</v>
      </c>
      <c r="F36" s="89"/>
      <c r="G36" s="162" t="s">
        <v>372</v>
      </c>
      <c r="H36" s="89" t="s">
        <v>33</v>
      </c>
      <c r="I36" s="89" t="s">
        <v>375</v>
      </c>
      <c r="J36" s="89" t="s">
        <v>376</v>
      </c>
      <c r="K36" s="90"/>
    </row>
    <row r="37" spans="2:11" s="79" customFormat="1" ht="38.25" x14ac:dyDescent="0.25">
      <c r="B37" s="89"/>
      <c r="C37" s="89" t="s">
        <v>357</v>
      </c>
      <c r="D37" s="89" t="s">
        <v>377</v>
      </c>
      <c r="E37" s="89" t="s">
        <v>140</v>
      </c>
      <c r="F37" s="89"/>
      <c r="G37" s="162" t="s">
        <v>372</v>
      </c>
      <c r="H37" s="89" t="s">
        <v>19</v>
      </c>
      <c r="I37" s="89" t="s">
        <v>369</v>
      </c>
      <c r="J37" s="89" t="s">
        <v>378</v>
      </c>
      <c r="K37" s="90"/>
    </row>
    <row r="38" spans="2:11" s="79" customFormat="1" ht="38.25" x14ac:dyDescent="0.25">
      <c r="B38" s="89"/>
      <c r="C38" s="89" t="s">
        <v>357</v>
      </c>
      <c r="D38" s="89" t="s">
        <v>379</v>
      </c>
      <c r="E38" s="89" t="s">
        <v>140</v>
      </c>
      <c r="G38" s="162" t="s">
        <v>372</v>
      </c>
      <c r="H38" s="89" t="s">
        <v>19</v>
      </c>
      <c r="I38" s="89" t="s">
        <v>375</v>
      </c>
      <c r="J38" s="89" t="s">
        <v>380</v>
      </c>
      <c r="K38" s="90"/>
    </row>
    <row r="39" spans="2:11" s="79" customFormat="1" ht="89.25" x14ac:dyDescent="0.25">
      <c r="B39" s="89"/>
      <c r="C39" s="89" t="s">
        <v>357</v>
      </c>
      <c r="D39" s="89" t="s">
        <v>381</v>
      </c>
      <c r="E39" s="89" t="s">
        <v>153</v>
      </c>
      <c r="F39" s="89"/>
      <c r="G39" s="162" t="s">
        <v>160</v>
      </c>
      <c r="H39" s="89" t="s">
        <v>95</v>
      </c>
      <c r="I39" s="89" t="s">
        <v>358</v>
      </c>
      <c r="J39" s="162" t="s">
        <v>382</v>
      </c>
      <c r="K39" s="90"/>
    </row>
    <row r="40" spans="2:11" s="79" customFormat="1" ht="51" x14ac:dyDescent="0.25">
      <c r="B40" s="89"/>
      <c r="C40" s="89" t="s">
        <v>357</v>
      </c>
      <c r="D40" s="89" t="s">
        <v>381</v>
      </c>
      <c r="E40" s="89" t="s">
        <v>153</v>
      </c>
      <c r="F40" s="89"/>
      <c r="G40" s="162" t="s">
        <v>160</v>
      </c>
      <c r="H40" s="89" t="s">
        <v>95</v>
      </c>
      <c r="I40" s="89" t="s">
        <v>383</v>
      </c>
      <c r="J40" s="162" t="s">
        <v>163</v>
      </c>
      <c r="K40" s="90"/>
    </row>
    <row r="41" spans="2:11" s="79" customFormat="1" ht="51" x14ac:dyDescent="0.25">
      <c r="B41" s="89"/>
      <c r="C41" s="89" t="s">
        <v>357</v>
      </c>
      <c r="D41" s="89" t="s">
        <v>381</v>
      </c>
      <c r="E41" s="89" t="s">
        <v>153</v>
      </c>
      <c r="F41" s="89"/>
      <c r="G41" s="162" t="s">
        <v>160</v>
      </c>
      <c r="H41" s="89" t="s">
        <v>61</v>
      </c>
      <c r="I41" s="89" t="s">
        <v>137</v>
      </c>
      <c r="J41" s="89" t="s">
        <v>326</v>
      </c>
      <c r="K41" s="90"/>
    </row>
    <row r="42" spans="2:11" s="79" customFormat="1" ht="51" x14ac:dyDescent="0.25">
      <c r="B42" s="89"/>
      <c r="C42" s="89" t="s">
        <v>357</v>
      </c>
      <c r="D42" s="89" t="s">
        <v>381</v>
      </c>
      <c r="E42" s="89" t="s">
        <v>157</v>
      </c>
      <c r="F42" s="89"/>
      <c r="G42" s="162" t="s">
        <v>160</v>
      </c>
      <c r="H42" s="89" t="s">
        <v>61</v>
      </c>
      <c r="I42" s="89" t="s">
        <v>384</v>
      </c>
      <c r="J42" s="162" t="s">
        <v>164</v>
      </c>
      <c r="K42" s="90"/>
    </row>
    <row r="43" spans="2:11" s="79" customFormat="1" ht="191.25" x14ac:dyDescent="0.25">
      <c r="B43" s="89"/>
      <c r="C43" s="89" t="s">
        <v>357</v>
      </c>
      <c r="D43" s="89" t="s">
        <v>311</v>
      </c>
      <c r="E43" s="89" t="s">
        <v>165</v>
      </c>
      <c r="F43" s="89"/>
      <c r="G43" s="89" t="s">
        <v>385</v>
      </c>
      <c r="H43" s="89" t="s">
        <v>22</v>
      </c>
      <c r="I43" s="89" t="s">
        <v>20</v>
      </c>
      <c r="J43" s="162" t="s">
        <v>386</v>
      </c>
      <c r="K43" s="90"/>
    </row>
    <row r="44" spans="2:11" s="79" customFormat="1" ht="38.25" x14ac:dyDescent="0.25">
      <c r="B44" s="89"/>
      <c r="C44" s="89" t="s">
        <v>357</v>
      </c>
      <c r="D44" s="89" t="s">
        <v>311</v>
      </c>
      <c r="E44" s="89" t="s">
        <v>165</v>
      </c>
      <c r="F44" s="89"/>
      <c r="G44" s="89" t="s">
        <v>387</v>
      </c>
      <c r="H44" s="162" t="s">
        <v>19</v>
      </c>
      <c r="I44" s="89" t="s">
        <v>20</v>
      </c>
      <c r="J44" s="162" t="s">
        <v>388</v>
      </c>
      <c r="K44" s="90"/>
    </row>
    <row r="45" spans="2:11" s="79" customFormat="1" ht="76.5" x14ac:dyDescent="0.25">
      <c r="B45" s="89"/>
      <c r="C45" s="89" t="s">
        <v>357</v>
      </c>
      <c r="D45" s="89" t="s">
        <v>311</v>
      </c>
      <c r="E45" s="89" t="s">
        <v>165</v>
      </c>
      <c r="F45" s="89"/>
      <c r="G45" s="89" t="s">
        <v>387</v>
      </c>
      <c r="H45" s="89" t="s">
        <v>95</v>
      </c>
      <c r="I45" s="89" t="s">
        <v>369</v>
      </c>
      <c r="J45" s="89" t="s">
        <v>389</v>
      </c>
      <c r="K45" s="90"/>
    </row>
    <row r="46" spans="2:11" s="79" customFormat="1" ht="25.5" x14ac:dyDescent="0.25">
      <c r="B46" s="89"/>
      <c r="C46" s="89" t="s">
        <v>357</v>
      </c>
      <c r="D46" s="89" t="s">
        <v>311</v>
      </c>
      <c r="E46" s="89" t="s">
        <v>165</v>
      </c>
      <c r="F46" s="166"/>
      <c r="G46" s="89" t="s">
        <v>387</v>
      </c>
      <c r="H46" s="89" t="s">
        <v>95</v>
      </c>
      <c r="I46" s="89" t="s">
        <v>390</v>
      </c>
      <c r="J46" s="89" t="s">
        <v>326</v>
      </c>
      <c r="K46" s="90"/>
    </row>
    <row r="47" spans="2:11" s="165" customFormat="1" ht="25.5" x14ac:dyDescent="0.25">
      <c r="B47" s="73"/>
      <c r="C47" s="76" t="s">
        <v>391</v>
      </c>
      <c r="D47" s="76" t="s">
        <v>392</v>
      </c>
      <c r="E47" s="76" t="s">
        <v>174</v>
      </c>
      <c r="F47" s="76" t="s">
        <v>393</v>
      </c>
      <c r="G47" s="76" t="s">
        <v>394</v>
      </c>
      <c r="H47" s="76" t="s">
        <v>39</v>
      </c>
      <c r="I47" s="76" t="s">
        <v>23</v>
      </c>
      <c r="J47" s="76" t="s">
        <v>332</v>
      </c>
      <c r="K47" s="164"/>
    </row>
    <row r="48" spans="2:11" s="165" customFormat="1" ht="38.25" x14ac:dyDescent="0.25">
      <c r="B48" s="73"/>
      <c r="C48" s="76" t="s">
        <v>391</v>
      </c>
      <c r="D48" s="76" t="s">
        <v>392</v>
      </c>
      <c r="E48" s="76" t="s">
        <v>174</v>
      </c>
      <c r="F48" s="76" t="s">
        <v>393</v>
      </c>
      <c r="G48" s="76" t="s">
        <v>394</v>
      </c>
      <c r="H48" s="76" t="s">
        <v>61</v>
      </c>
      <c r="I48" s="76" t="s">
        <v>20</v>
      </c>
      <c r="J48" s="76" t="s">
        <v>395</v>
      </c>
      <c r="K48" s="164"/>
    </row>
    <row r="49" spans="2:11" s="165" customFormat="1" ht="229.5" x14ac:dyDescent="0.25">
      <c r="B49" s="73"/>
      <c r="C49" s="76" t="s">
        <v>391</v>
      </c>
      <c r="D49" s="76" t="s">
        <v>392</v>
      </c>
      <c r="E49" s="76" t="s">
        <v>174</v>
      </c>
      <c r="F49" s="76" t="s">
        <v>393</v>
      </c>
      <c r="G49" s="76" t="s">
        <v>394</v>
      </c>
      <c r="H49" s="76" t="s">
        <v>61</v>
      </c>
      <c r="I49" s="76" t="s">
        <v>369</v>
      </c>
      <c r="J49" s="76" t="s">
        <v>396</v>
      </c>
      <c r="K49" s="164"/>
    </row>
    <row r="50" spans="2:11" s="165" customFormat="1" ht="15.75" x14ac:dyDescent="0.25">
      <c r="B50" s="73"/>
      <c r="C50" s="76"/>
      <c r="D50" s="76" t="s">
        <v>392</v>
      </c>
      <c r="E50" s="76" t="s">
        <v>183</v>
      </c>
      <c r="F50" s="76" t="s">
        <v>393</v>
      </c>
      <c r="G50" s="76" t="s">
        <v>186</v>
      </c>
      <c r="H50" s="76" t="s">
        <v>39</v>
      </c>
      <c r="I50" s="76" t="s">
        <v>23</v>
      </c>
      <c r="J50" s="76" t="s">
        <v>397</v>
      </c>
      <c r="K50" s="164"/>
    </row>
    <row r="51" spans="2:11" s="165" customFormat="1" ht="127.5" x14ac:dyDescent="0.25">
      <c r="B51" s="73"/>
      <c r="C51" s="76" t="s">
        <v>391</v>
      </c>
      <c r="D51" s="76" t="s">
        <v>392</v>
      </c>
      <c r="E51" s="76" t="s">
        <v>183</v>
      </c>
      <c r="F51" s="76" t="s">
        <v>393</v>
      </c>
      <c r="G51" s="76" t="s">
        <v>186</v>
      </c>
      <c r="H51" s="76" t="s">
        <v>61</v>
      </c>
      <c r="I51" s="76" t="s">
        <v>23</v>
      </c>
      <c r="J51" s="76" t="s">
        <v>398</v>
      </c>
      <c r="K51" s="164"/>
    </row>
    <row r="52" spans="2:11" s="165" customFormat="1" ht="102" x14ac:dyDescent="0.25">
      <c r="B52" s="73"/>
      <c r="C52" s="76"/>
      <c r="D52" s="76" t="s">
        <v>392</v>
      </c>
      <c r="E52" s="76" t="s">
        <v>183</v>
      </c>
      <c r="F52" s="76" t="s">
        <v>393</v>
      </c>
      <c r="G52" s="76" t="s">
        <v>186</v>
      </c>
      <c r="H52" s="76" t="s">
        <v>61</v>
      </c>
      <c r="I52" s="76" t="s">
        <v>369</v>
      </c>
      <c r="J52" s="76" t="s">
        <v>399</v>
      </c>
      <c r="K52" s="164"/>
    </row>
    <row r="53" spans="2:11" s="165" customFormat="1" ht="25.5" x14ac:dyDescent="0.25">
      <c r="B53" s="73"/>
      <c r="C53" s="76" t="s">
        <v>391</v>
      </c>
      <c r="D53" s="76" t="s">
        <v>392</v>
      </c>
      <c r="E53" s="76" t="s">
        <v>188</v>
      </c>
      <c r="F53" s="76" t="s">
        <v>393</v>
      </c>
      <c r="G53" s="76" t="s">
        <v>400</v>
      </c>
      <c r="H53" s="76" t="s">
        <v>95</v>
      </c>
      <c r="I53" s="76" t="s">
        <v>23</v>
      </c>
      <c r="J53" s="76" t="s">
        <v>326</v>
      </c>
      <c r="K53" s="164"/>
    </row>
    <row r="54" spans="2:11" s="165" customFormat="1" ht="89.25" x14ac:dyDescent="0.25">
      <c r="B54" s="73"/>
      <c r="C54" s="76" t="s">
        <v>391</v>
      </c>
      <c r="D54" s="76" t="s">
        <v>392</v>
      </c>
      <c r="E54" s="76" t="s">
        <v>188</v>
      </c>
      <c r="F54" s="76" t="s">
        <v>393</v>
      </c>
      <c r="G54" s="76" t="s">
        <v>400</v>
      </c>
      <c r="H54" s="76" t="s">
        <v>61</v>
      </c>
      <c r="I54" s="76" t="s">
        <v>23</v>
      </c>
      <c r="J54" s="76" t="s">
        <v>401</v>
      </c>
      <c r="K54" s="164"/>
    </row>
    <row r="55" spans="2:11" s="165" customFormat="1" ht="38.25" x14ac:dyDescent="0.25">
      <c r="B55" s="73"/>
      <c r="C55" s="76" t="s">
        <v>391</v>
      </c>
      <c r="D55" s="76" t="s">
        <v>392</v>
      </c>
      <c r="E55" s="76" t="s">
        <v>188</v>
      </c>
      <c r="F55" s="76" t="s">
        <v>393</v>
      </c>
      <c r="G55" s="76" t="s">
        <v>400</v>
      </c>
      <c r="H55" s="76" t="s">
        <v>61</v>
      </c>
      <c r="I55" s="76" t="s">
        <v>369</v>
      </c>
      <c r="J55" s="76" t="s">
        <v>402</v>
      </c>
      <c r="K55" s="164"/>
    </row>
    <row r="56" spans="2:11" s="165" customFormat="1" ht="51" x14ac:dyDescent="0.25">
      <c r="B56" s="73"/>
      <c r="C56" s="76" t="s">
        <v>391</v>
      </c>
      <c r="D56" s="76" t="s">
        <v>403</v>
      </c>
      <c r="E56" s="76" t="s">
        <v>192</v>
      </c>
      <c r="F56" s="76" t="s">
        <v>393</v>
      </c>
      <c r="G56" s="76" t="s">
        <v>404</v>
      </c>
      <c r="H56" s="76" t="s">
        <v>39</v>
      </c>
      <c r="I56" s="76" t="s">
        <v>23</v>
      </c>
      <c r="J56" s="76" t="s">
        <v>405</v>
      </c>
      <c r="K56" s="164"/>
    </row>
    <row r="57" spans="2:11" s="165" customFormat="1" ht="89.25" x14ac:dyDescent="0.25">
      <c r="B57" s="73"/>
      <c r="C57" s="76" t="s">
        <v>391</v>
      </c>
      <c r="D57" s="76" t="s">
        <v>403</v>
      </c>
      <c r="E57" s="76" t="s">
        <v>192</v>
      </c>
      <c r="F57" s="76" t="s">
        <v>393</v>
      </c>
      <c r="G57" s="76" t="s">
        <v>404</v>
      </c>
      <c r="H57" s="76" t="s">
        <v>61</v>
      </c>
      <c r="I57" s="76" t="s">
        <v>23</v>
      </c>
      <c r="J57" s="76" t="s">
        <v>406</v>
      </c>
      <c r="K57" s="164"/>
    </row>
    <row r="58" spans="2:11" s="165" customFormat="1" ht="51" x14ac:dyDescent="0.25">
      <c r="B58" s="73"/>
      <c r="C58" s="76" t="s">
        <v>391</v>
      </c>
      <c r="D58" s="76" t="s">
        <v>403</v>
      </c>
      <c r="E58" s="76" t="s">
        <v>192</v>
      </c>
      <c r="F58" s="76" t="s">
        <v>393</v>
      </c>
      <c r="G58" s="76" t="s">
        <v>404</v>
      </c>
      <c r="H58" s="76" t="s">
        <v>61</v>
      </c>
      <c r="I58" s="76" t="s">
        <v>369</v>
      </c>
      <c r="J58" s="76" t="s">
        <v>407</v>
      </c>
      <c r="K58" s="164"/>
    </row>
    <row r="59" spans="2:11" s="165" customFormat="1" ht="51" x14ac:dyDescent="0.25">
      <c r="B59" s="73"/>
      <c r="C59" s="76" t="s">
        <v>391</v>
      </c>
      <c r="D59" s="76" t="s">
        <v>403</v>
      </c>
      <c r="E59" s="76" t="s">
        <v>195</v>
      </c>
      <c r="F59" s="76" t="s">
        <v>393</v>
      </c>
      <c r="G59" s="76" t="s">
        <v>196</v>
      </c>
      <c r="H59" s="76" t="s">
        <v>39</v>
      </c>
      <c r="I59" s="76" t="s">
        <v>23</v>
      </c>
      <c r="J59" s="76" t="s">
        <v>397</v>
      </c>
      <c r="K59" s="164"/>
    </row>
    <row r="60" spans="2:11" s="165" customFormat="1" ht="51" x14ac:dyDescent="0.25">
      <c r="B60" s="73"/>
      <c r="C60" s="76" t="s">
        <v>391</v>
      </c>
      <c r="D60" s="76" t="s">
        <v>403</v>
      </c>
      <c r="E60" s="76" t="s">
        <v>195</v>
      </c>
      <c r="F60" s="76" t="s">
        <v>393</v>
      </c>
      <c r="G60" s="76" t="s">
        <v>196</v>
      </c>
      <c r="H60" s="76" t="s">
        <v>61</v>
      </c>
      <c r="I60" s="76" t="s">
        <v>23</v>
      </c>
      <c r="J60" s="76" t="s">
        <v>408</v>
      </c>
      <c r="K60" s="164"/>
    </row>
    <row r="61" spans="2:11" s="165" customFormat="1" ht="76.5" x14ac:dyDescent="0.25">
      <c r="B61" s="73"/>
      <c r="C61" s="76" t="s">
        <v>391</v>
      </c>
      <c r="D61" s="76" t="s">
        <v>403</v>
      </c>
      <c r="E61" s="76" t="s">
        <v>195</v>
      </c>
      <c r="F61" s="76" t="s">
        <v>393</v>
      </c>
      <c r="G61" s="76" t="s">
        <v>196</v>
      </c>
      <c r="H61" s="76" t="s">
        <v>61</v>
      </c>
      <c r="I61" s="76" t="s">
        <v>369</v>
      </c>
      <c r="J61" s="76" t="s">
        <v>409</v>
      </c>
      <c r="K61" s="164"/>
    </row>
    <row r="62" spans="2:11" s="79" customFormat="1" ht="38.25" x14ac:dyDescent="0.25">
      <c r="B62" s="77"/>
      <c r="C62" s="77" t="s">
        <v>410</v>
      </c>
      <c r="D62" s="77"/>
      <c r="E62" s="77"/>
      <c r="F62" s="78" t="s">
        <v>411</v>
      </c>
      <c r="G62" s="175" t="s">
        <v>412</v>
      </c>
      <c r="H62" s="175"/>
      <c r="I62" s="175" t="s">
        <v>20</v>
      </c>
      <c r="J62" s="175" t="s">
        <v>413</v>
      </c>
      <c r="K62" s="175"/>
    </row>
    <row r="63" spans="2:11" s="79" customFormat="1" ht="51" x14ac:dyDescent="0.25">
      <c r="B63" s="77"/>
      <c r="C63" s="77" t="s">
        <v>410</v>
      </c>
      <c r="D63" s="77"/>
      <c r="E63" s="77"/>
      <c r="F63" s="78" t="s">
        <v>411</v>
      </c>
      <c r="G63" s="175" t="s">
        <v>414</v>
      </c>
      <c r="H63" s="175"/>
      <c r="I63" s="175" t="s">
        <v>20</v>
      </c>
      <c r="J63" s="175" t="s">
        <v>415</v>
      </c>
      <c r="K63" s="175" t="s">
        <v>416</v>
      </c>
    </row>
    <row r="64" spans="2:11" s="79" customFormat="1" ht="38.25" x14ac:dyDescent="0.25">
      <c r="B64" s="77"/>
      <c r="C64" s="77" t="s">
        <v>410</v>
      </c>
      <c r="D64" s="77"/>
      <c r="E64" s="77"/>
      <c r="F64" s="78" t="s">
        <v>411</v>
      </c>
      <c r="G64" s="175" t="s">
        <v>417</v>
      </c>
      <c r="H64" s="175"/>
      <c r="I64" s="175" t="s">
        <v>20</v>
      </c>
      <c r="J64" s="175" t="s">
        <v>415</v>
      </c>
      <c r="K64" s="175"/>
    </row>
    <row r="65" spans="2:11" s="79" customFormat="1" ht="51" x14ac:dyDescent="0.25">
      <c r="B65" s="77"/>
      <c r="C65" s="77" t="s">
        <v>410</v>
      </c>
      <c r="D65" s="77"/>
      <c r="E65" s="77"/>
      <c r="F65" s="78" t="s">
        <v>411</v>
      </c>
      <c r="G65" s="175" t="s">
        <v>414</v>
      </c>
      <c r="H65" s="175" t="s">
        <v>418</v>
      </c>
      <c r="I65" s="175" t="s">
        <v>20</v>
      </c>
      <c r="J65" s="175" t="s">
        <v>419</v>
      </c>
      <c r="K65" s="175" t="s">
        <v>420</v>
      </c>
    </row>
    <row r="66" spans="2:11" s="79" customFormat="1" ht="38.25" x14ac:dyDescent="0.25">
      <c r="B66" s="77"/>
      <c r="C66" s="77" t="s">
        <v>410</v>
      </c>
      <c r="D66" s="77"/>
      <c r="E66" s="77"/>
      <c r="F66" s="78" t="s">
        <v>411</v>
      </c>
      <c r="G66" s="199" t="s">
        <v>421</v>
      </c>
      <c r="H66" s="175" t="s">
        <v>418</v>
      </c>
      <c r="I66" s="175" t="s">
        <v>20</v>
      </c>
      <c r="J66" s="175" t="s">
        <v>422</v>
      </c>
      <c r="K66" s="175" t="s">
        <v>423</v>
      </c>
    </row>
    <row r="67" spans="2:11" s="79" customFormat="1" ht="89.25" x14ac:dyDescent="0.25">
      <c r="B67" s="77"/>
      <c r="C67" s="77" t="s">
        <v>410</v>
      </c>
      <c r="D67" s="77"/>
      <c r="E67" s="77"/>
      <c r="F67" s="78" t="s">
        <v>411</v>
      </c>
      <c r="G67" s="175" t="s">
        <v>424</v>
      </c>
      <c r="H67" s="175" t="s">
        <v>418</v>
      </c>
      <c r="I67" s="175" t="s">
        <v>20</v>
      </c>
      <c r="J67" s="175" t="s">
        <v>425</v>
      </c>
      <c r="K67" s="175"/>
    </row>
    <row r="68" spans="2:11" s="79" customFormat="1" ht="51" x14ac:dyDescent="0.25">
      <c r="B68" s="77"/>
      <c r="C68" s="77" t="s">
        <v>410</v>
      </c>
      <c r="D68" s="77"/>
      <c r="E68" s="77"/>
      <c r="F68" s="78" t="s">
        <v>411</v>
      </c>
      <c r="G68" s="175" t="s">
        <v>426</v>
      </c>
      <c r="H68" s="175" t="s">
        <v>418</v>
      </c>
      <c r="I68" s="175" t="s">
        <v>20</v>
      </c>
      <c r="J68" s="175" t="s">
        <v>419</v>
      </c>
      <c r="K68" s="175"/>
    </row>
    <row r="69" spans="2:11" s="79" customFormat="1" ht="51" x14ac:dyDescent="0.25">
      <c r="B69" s="77"/>
      <c r="C69" s="77" t="s">
        <v>410</v>
      </c>
      <c r="D69" s="77"/>
      <c r="E69" s="77"/>
      <c r="F69" s="78" t="s">
        <v>411</v>
      </c>
      <c r="G69" s="175" t="s">
        <v>427</v>
      </c>
      <c r="H69" s="175" t="s">
        <v>418</v>
      </c>
      <c r="I69" s="175" t="s">
        <v>20</v>
      </c>
      <c r="J69" s="175" t="s">
        <v>419</v>
      </c>
      <c r="K69" s="175" t="s">
        <v>428</v>
      </c>
    </row>
    <row r="70" spans="2:11" s="79" customFormat="1" ht="38.25" x14ac:dyDescent="0.25">
      <c r="B70" s="77"/>
      <c r="C70" s="77" t="s">
        <v>410</v>
      </c>
      <c r="D70" s="77"/>
      <c r="E70" s="77"/>
      <c r="F70" s="78" t="s">
        <v>411</v>
      </c>
      <c r="G70" s="175" t="s">
        <v>429</v>
      </c>
      <c r="H70" s="175" t="s">
        <v>418</v>
      </c>
      <c r="I70" s="175" t="s">
        <v>20</v>
      </c>
      <c r="J70" s="175" t="s">
        <v>419</v>
      </c>
      <c r="K70" s="175"/>
    </row>
    <row r="71" spans="2:11" s="79" customFormat="1" ht="38.25" x14ac:dyDescent="0.25">
      <c r="B71" s="77"/>
      <c r="C71" s="77" t="s">
        <v>410</v>
      </c>
      <c r="D71" s="77"/>
      <c r="E71" s="77"/>
      <c r="F71" s="78" t="s">
        <v>411</v>
      </c>
      <c r="G71" s="175" t="s">
        <v>430</v>
      </c>
      <c r="H71" s="175" t="s">
        <v>418</v>
      </c>
      <c r="I71" s="175" t="s">
        <v>20</v>
      </c>
      <c r="J71" s="175" t="s">
        <v>419</v>
      </c>
      <c r="K71" s="175"/>
    </row>
    <row r="72" spans="2:11" s="79" customFormat="1" ht="51" x14ac:dyDescent="0.25">
      <c r="B72" s="77"/>
      <c r="C72" s="77" t="s">
        <v>410</v>
      </c>
      <c r="D72" s="77"/>
      <c r="E72" s="77"/>
      <c r="F72" s="78" t="s">
        <v>411</v>
      </c>
      <c r="G72" s="175" t="s">
        <v>431</v>
      </c>
      <c r="H72" s="175" t="s">
        <v>418</v>
      </c>
      <c r="I72" s="175" t="s">
        <v>20</v>
      </c>
      <c r="J72" s="175" t="s">
        <v>419</v>
      </c>
      <c r="K72" s="175"/>
    </row>
    <row r="73" spans="2:11" s="79" customFormat="1" ht="25.5" x14ac:dyDescent="0.25">
      <c r="B73" s="77"/>
      <c r="C73" s="77" t="s">
        <v>410</v>
      </c>
      <c r="D73" s="77"/>
      <c r="E73" s="77"/>
      <c r="F73" s="78" t="s">
        <v>411</v>
      </c>
      <c r="G73" s="175" t="s">
        <v>432</v>
      </c>
      <c r="H73" s="175" t="s">
        <v>418</v>
      </c>
      <c r="I73" s="175" t="s">
        <v>20</v>
      </c>
      <c r="J73" s="175" t="s">
        <v>419</v>
      </c>
      <c r="K73" s="175"/>
    </row>
    <row r="74" spans="2:11" s="79" customFormat="1" ht="79.5" customHeight="1" x14ac:dyDescent="0.25">
      <c r="B74" s="77"/>
      <c r="C74" s="77" t="s">
        <v>410</v>
      </c>
      <c r="D74" s="77"/>
      <c r="E74" s="77"/>
      <c r="F74" s="78" t="s">
        <v>411</v>
      </c>
      <c r="G74" s="175" t="s">
        <v>433</v>
      </c>
      <c r="H74" s="175" t="s">
        <v>418</v>
      </c>
      <c r="I74" s="175" t="s">
        <v>20</v>
      </c>
      <c r="J74" s="175" t="s">
        <v>434</v>
      </c>
      <c r="K74" s="175"/>
    </row>
    <row r="75" spans="2:11" s="79" customFormat="1" ht="63.75" x14ac:dyDescent="0.25">
      <c r="B75" s="77"/>
      <c r="C75" s="77" t="s">
        <v>410</v>
      </c>
      <c r="D75" s="77"/>
      <c r="E75" s="77"/>
      <c r="F75" s="78" t="s">
        <v>411</v>
      </c>
      <c r="G75" s="175" t="s">
        <v>435</v>
      </c>
      <c r="H75" s="175" t="s">
        <v>418</v>
      </c>
      <c r="I75" s="175" t="s">
        <v>20</v>
      </c>
      <c r="J75" s="175" t="s">
        <v>436</v>
      </c>
      <c r="K75" s="175"/>
    </row>
    <row r="76" spans="2:11" s="79" customFormat="1" ht="89.25" x14ac:dyDescent="0.25">
      <c r="B76" s="77"/>
      <c r="C76" s="77" t="s">
        <v>410</v>
      </c>
      <c r="D76" s="77"/>
      <c r="E76" s="77"/>
      <c r="F76" s="78" t="s">
        <v>411</v>
      </c>
      <c r="G76" s="175" t="s">
        <v>437</v>
      </c>
      <c r="H76" s="175" t="s">
        <v>418</v>
      </c>
      <c r="I76" s="175" t="s">
        <v>20</v>
      </c>
      <c r="J76" s="175" t="s">
        <v>438</v>
      </c>
      <c r="K76" s="175"/>
    </row>
    <row r="77" spans="2:11" s="79" customFormat="1" ht="89.25" x14ac:dyDescent="0.25">
      <c r="B77" s="77"/>
      <c r="C77" s="77" t="s">
        <v>410</v>
      </c>
      <c r="D77" s="77"/>
      <c r="E77" s="77"/>
      <c r="F77" s="78" t="s">
        <v>411</v>
      </c>
      <c r="G77" s="175" t="s">
        <v>439</v>
      </c>
      <c r="H77" s="175" t="s">
        <v>418</v>
      </c>
      <c r="I77" s="175" t="s">
        <v>20</v>
      </c>
      <c r="J77" s="175" t="s">
        <v>440</v>
      </c>
      <c r="K77" s="175" t="s">
        <v>441</v>
      </c>
    </row>
    <row r="78" spans="2:11" s="79" customFormat="1" ht="38.25" x14ac:dyDescent="0.25">
      <c r="B78" s="77"/>
      <c r="C78" s="77" t="s">
        <v>442</v>
      </c>
      <c r="D78" s="77" t="s">
        <v>23</v>
      </c>
      <c r="E78" s="77" t="s">
        <v>443</v>
      </c>
      <c r="F78" s="77" t="s">
        <v>23</v>
      </c>
      <c r="G78" s="175" t="s">
        <v>444</v>
      </c>
      <c r="H78" s="175" t="s">
        <v>33</v>
      </c>
      <c r="I78" s="175" t="s">
        <v>20</v>
      </c>
      <c r="J78" s="175" t="s">
        <v>326</v>
      </c>
      <c r="K78" s="175"/>
    </row>
    <row r="79" spans="2:11" s="79" customFormat="1" ht="140.25" x14ac:dyDescent="0.25">
      <c r="B79" s="77"/>
      <c r="C79" s="77" t="s">
        <v>442</v>
      </c>
      <c r="D79" s="77" t="s">
        <v>23</v>
      </c>
      <c r="E79" s="77" t="s">
        <v>443</v>
      </c>
      <c r="F79" s="77" t="s">
        <v>23</v>
      </c>
      <c r="G79" s="175" t="s">
        <v>444</v>
      </c>
      <c r="H79" s="175" t="s">
        <v>39</v>
      </c>
      <c r="I79" s="175" t="s">
        <v>20</v>
      </c>
      <c r="J79" s="175" t="s">
        <v>445</v>
      </c>
      <c r="K79" s="175"/>
    </row>
    <row r="80" spans="2:11" s="79" customFormat="1" ht="38.25" x14ac:dyDescent="0.25">
      <c r="B80" s="77"/>
      <c r="C80" s="77" t="s">
        <v>442</v>
      </c>
      <c r="D80" s="77" t="s">
        <v>23</v>
      </c>
      <c r="E80" s="77" t="s">
        <v>199</v>
      </c>
      <c r="F80" s="77" t="s">
        <v>23</v>
      </c>
      <c r="G80" s="175" t="s">
        <v>446</v>
      </c>
      <c r="H80" s="175" t="s">
        <v>33</v>
      </c>
      <c r="I80" s="175" t="s">
        <v>20</v>
      </c>
      <c r="J80" s="175" t="s">
        <v>326</v>
      </c>
      <c r="K80" s="175"/>
    </row>
    <row r="81" spans="1:11" s="79" customFormat="1" ht="114.75" x14ac:dyDescent="0.25">
      <c r="B81" s="77"/>
      <c r="C81" s="77" t="s">
        <v>442</v>
      </c>
      <c r="D81" s="77" t="s">
        <v>23</v>
      </c>
      <c r="E81" s="77" t="s">
        <v>199</v>
      </c>
      <c r="F81" s="77" t="s">
        <v>23</v>
      </c>
      <c r="G81" s="175" t="s">
        <v>446</v>
      </c>
      <c r="H81" s="175" t="s">
        <v>39</v>
      </c>
      <c r="I81" s="175" t="s">
        <v>20</v>
      </c>
      <c r="J81" s="175" t="s">
        <v>447</v>
      </c>
      <c r="K81" s="175"/>
    </row>
    <row r="82" spans="1:11" s="79" customFormat="1" ht="51" x14ac:dyDescent="0.25">
      <c r="B82" s="77"/>
      <c r="C82" s="77" t="s">
        <v>442</v>
      </c>
      <c r="D82" s="77"/>
      <c r="E82" s="77" t="s">
        <v>207</v>
      </c>
      <c r="F82" s="77" t="s">
        <v>23</v>
      </c>
      <c r="G82" s="175" t="s">
        <v>448</v>
      </c>
      <c r="H82" s="175" t="s">
        <v>33</v>
      </c>
      <c r="I82" s="175" t="s">
        <v>20</v>
      </c>
      <c r="J82" s="175" t="s">
        <v>326</v>
      </c>
      <c r="K82" s="175"/>
    </row>
    <row r="83" spans="1:11" s="79" customFormat="1" ht="114.75" x14ac:dyDescent="0.25">
      <c r="B83" s="77"/>
      <c r="C83" s="77" t="s">
        <v>442</v>
      </c>
      <c r="D83" s="77"/>
      <c r="E83" s="77" t="s">
        <v>207</v>
      </c>
      <c r="F83" s="77" t="s">
        <v>23</v>
      </c>
      <c r="G83" s="175" t="s">
        <v>448</v>
      </c>
      <c r="H83" s="175" t="s">
        <v>19</v>
      </c>
      <c r="I83" s="175" t="s">
        <v>23</v>
      </c>
      <c r="J83" s="176" t="s">
        <v>449</v>
      </c>
      <c r="K83" s="175"/>
    </row>
    <row r="84" spans="1:11" s="79" customFormat="1" ht="38.25" x14ac:dyDescent="0.25">
      <c r="B84" s="77"/>
      <c r="C84" s="77" t="s">
        <v>442</v>
      </c>
      <c r="D84" s="77"/>
      <c r="E84" s="77"/>
      <c r="F84" s="77" t="s">
        <v>23</v>
      </c>
      <c r="G84" s="175" t="s">
        <v>450</v>
      </c>
      <c r="H84" s="175" t="s">
        <v>451</v>
      </c>
      <c r="I84" s="175" t="s">
        <v>23</v>
      </c>
      <c r="J84" s="176" t="s">
        <v>422</v>
      </c>
      <c r="K84" s="175"/>
    </row>
    <row r="85" spans="1:11" s="79" customFormat="1" ht="15.75" x14ac:dyDescent="0.25">
      <c r="A85" s="2"/>
      <c r="B85" s="118" t="s">
        <v>452</v>
      </c>
      <c r="C85" s="119"/>
      <c r="D85" s="120"/>
      <c r="E85" s="120"/>
      <c r="F85" s="120"/>
      <c r="G85" s="120"/>
      <c r="H85" s="120"/>
      <c r="I85" s="120"/>
      <c r="J85" s="120"/>
      <c r="K85" s="154"/>
    </row>
    <row r="86" spans="1:11" s="3" customFormat="1" ht="48" customHeight="1" x14ac:dyDescent="0.25">
      <c r="A86" s="729">
        <v>1</v>
      </c>
      <c r="C86" s="107" t="s">
        <v>453</v>
      </c>
      <c r="D86" s="103" t="s">
        <v>23</v>
      </c>
      <c r="E86" s="148" t="s">
        <v>17</v>
      </c>
      <c r="F86" s="75" t="s">
        <v>23</v>
      </c>
      <c r="G86" s="77" t="s">
        <v>27</v>
      </c>
      <c r="H86" s="76" t="s">
        <v>19</v>
      </c>
      <c r="I86" s="466" t="s">
        <v>20</v>
      </c>
      <c r="J86" s="150" t="s">
        <v>332</v>
      </c>
      <c r="K86" s="131"/>
    </row>
    <row r="87" spans="1:11" s="3" customFormat="1" ht="63.75" customHeight="1" x14ac:dyDescent="0.25">
      <c r="A87" s="730"/>
      <c r="C87" s="266" t="s">
        <v>453</v>
      </c>
      <c r="D87" s="446" t="s">
        <v>23</v>
      </c>
      <c r="E87" s="149" t="s">
        <v>17</v>
      </c>
      <c r="F87" s="75" t="s">
        <v>23</v>
      </c>
      <c r="G87" s="77" t="s">
        <v>27</v>
      </c>
      <c r="H87" s="77" t="s">
        <v>22</v>
      </c>
      <c r="I87" s="147" t="s">
        <v>23</v>
      </c>
      <c r="J87" s="151" t="s">
        <v>454</v>
      </c>
      <c r="K87" s="131"/>
    </row>
    <row r="88" spans="1:11" s="133" customFormat="1" ht="30" x14ac:dyDescent="0.25">
      <c r="A88" s="109"/>
      <c r="B88" s="110" t="s">
        <v>322</v>
      </c>
      <c r="C88" s="110" t="s">
        <v>455</v>
      </c>
      <c r="D88" s="111" t="s">
        <v>456</v>
      </c>
      <c r="E88" s="142" t="s">
        <v>457</v>
      </c>
      <c r="F88" s="152" t="s">
        <v>393</v>
      </c>
      <c r="G88" s="153"/>
      <c r="H88" s="152" t="s">
        <v>33</v>
      </c>
      <c r="I88" s="152" t="s">
        <v>458</v>
      </c>
      <c r="J88" s="163">
        <v>0.3</v>
      </c>
      <c r="K88" s="155"/>
    </row>
    <row r="89" spans="1:11" s="133" customFormat="1" ht="51" x14ac:dyDescent="0.25">
      <c r="A89" s="109"/>
      <c r="B89" s="110" t="s">
        <v>322</v>
      </c>
      <c r="C89" s="110" t="s">
        <v>455</v>
      </c>
      <c r="D89" s="135"/>
      <c r="E89" s="135" t="s">
        <v>457</v>
      </c>
      <c r="F89" s="112"/>
      <c r="G89" s="137" t="s">
        <v>459</v>
      </c>
      <c r="H89" s="98" t="s">
        <v>460</v>
      </c>
      <c r="I89" s="98"/>
      <c r="J89" s="98" t="s">
        <v>461</v>
      </c>
      <c r="K89" s="77" t="s">
        <v>462</v>
      </c>
    </row>
    <row r="90" spans="1:11" s="133" customFormat="1" ht="76.5" x14ac:dyDescent="0.25">
      <c r="A90" s="109"/>
      <c r="B90" s="110" t="s">
        <v>322</v>
      </c>
      <c r="C90" s="110" t="s">
        <v>455</v>
      </c>
      <c r="D90" s="135"/>
      <c r="E90" s="135" t="s">
        <v>457</v>
      </c>
      <c r="F90" s="112"/>
      <c r="G90" s="137" t="s">
        <v>463</v>
      </c>
      <c r="H90" s="98" t="s">
        <v>460</v>
      </c>
      <c r="I90" s="98"/>
      <c r="J90" s="98" t="s">
        <v>464</v>
      </c>
      <c r="K90" s="77" t="s">
        <v>462</v>
      </c>
    </row>
    <row r="91" spans="1:11" s="133" customFormat="1" ht="89.25" x14ac:dyDescent="0.25">
      <c r="A91" s="109"/>
      <c r="B91" s="110" t="s">
        <v>322</v>
      </c>
      <c r="C91" s="110" t="s">
        <v>455</v>
      </c>
      <c r="D91" s="135"/>
      <c r="E91" s="135" t="s">
        <v>457</v>
      </c>
      <c r="F91" s="112"/>
      <c r="G91" s="138" t="s">
        <v>235</v>
      </c>
      <c r="H91" s="73" t="s">
        <v>460</v>
      </c>
      <c r="I91" s="73"/>
      <c r="J91" s="73" t="s">
        <v>236</v>
      </c>
      <c r="K91" s="156"/>
    </row>
    <row r="92" spans="1:11" s="133" customFormat="1" ht="89.25" x14ac:dyDescent="0.25">
      <c r="A92" s="109"/>
      <c r="B92" s="110" t="s">
        <v>322</v>
      </c>
      <c r="C92" s="110" t="s">
        <v>455</v>
      </c>
      <c r="D92" s="135"/>
      <c r="E92" s="142" t="s">
        <v>457</v>
      </c>
      <c r="F92" s="145"/>
      <c r="G92" s="138" t="s">
        <v>465</v>
      </c>
      <c r="H92" s="73" t="s">
        <v>460</v>
      </c>
      <c r="I92" s="73"/>
      <c r="J92" s="73" t="s">
        <v>466</v>
      </c>
      <c r="K92" s="156"/>
    </row>
    <row r="93" spans="1:11" s="133" customFormat="1" ht="167.25" customHeight="1" x14ac:dyDescent="0.25">
      <c r="A93" s="109"/>
      <c r="B93" s="110" t="s">
        <v>322</v>
      </c>
      <c r="C93" s="110" t="s">
        <v>455</v>
      </c>
      <c r="D93" s="135"/>
      <c r="E93" s="110" t="s">
        <v>457</v>
      </c>
      <c r="F93" s="112"/>
      <c r="G93" s="139" t="s">
        <v>467</v>
      </c>
      <c r="H93" s="98" t="s">
        <v>460</v>
      </c>
      <c r="I93" s="98"/>
      <c r="J93" s="98" t="s">
        <v>468</v>
      </c>
      <c r="K93" s="156"/>
    </row>
    <row r="94" spans="1:11" s="133" customFormat="1" ht="72" customHeight="1" x14ac:dyDescent="0.25">
      <c r="A94" s="115">
        <v>1</v>
      </c>
      <c r="B94" s="112" t="s">
        <v>322</v>
      </c>
      <c r="C94" s="121" t="s">
        <v>469</v>
      </c>
      <c r="D94" s="136" t="s">
        <v>23</v>
      </c>
      <c r="E94" s="146" t="s">
        <v>470</v>
      </c>
      <c r="F94" s="141" t="s">
        <v>23</v>
      </c>
      <c r="G94" s="140" t="s">
        <v>471</v>
      </c>
      <c r="H94" s="121" t="s">
        <v>61</v>
      </c>
      <c r="I94" s="121" t="s">
        <v>23</v>
      </c>
      <c r="J94" s="108" t="s">
        <v>472</v>
      </c>
      <c r="K94" s="129"/>
    </row>
    <row r="95" spans="1:11" s="133" customFormat="1" ht="72" customHeight="1" x14ac:dyDescent="0.25">
      <c r="A95" s="115">
        <v>1</v>
      </c>
      <c r="B95" s="112" t="s">
        <v>322</v>
      </c>
      <c r="C95" s="121" t="s">
        <v>469</v>
      </c>
      <c r="D95" s="136" t="s">
        <v>23</v>
      </c>
      <c r="E95" s="136" t="s">
        <v>470</v>
      </c>
      <c r="F95" s="112" t="s">
        <v>23</v>
      </c>
      <c r="G95" s="140" t="s">
        <v>471</v>
      </c>
      <c r="H95" s="121" t="s">
        <v>39</v>
      </c>
      <c r="I95" s="121" t="s">
        <v>23</v>
      </c>
      <c r="J95" s="104" t="s">
        <v>473</v>
      </c>
      <c r="K95" s="129"/>
    </row>
    <row r="96" spans="1:11" s="133" customFormat="1" ht="72" customHeight="1" x14ac:dyDescent="0.25">
      <c r="A96" s="116">
        <v>1</v>
      </c>
      <c r="B96" s="122" t="s">
        <v>322</v>
      </c>
      <c r="C96" s="111" t="s">
        <v>474</v>
      </c>
      <c r="D96" s="111" t="s">
        <v>475</v>
      </c>
      <c r="E96" s="143" t="s">
        <v>264</v>
      </c>
      <c r="F96" s="112" t="s">
        <v>23</v>
      </c>
      <c r="G96" s="144" t="s">
        <v>476</v>
      </c>
      <c r="H96" s="111" t="s">
        <v>61</v>
      </c>
      <c r="I96" s="111" t="s">
        <v>23</v>
      </c>
      <c r="J96" s="105" t="s">
        <v>326</v>
      </c>
      <c r="K96" s="129"/>
    </row>
    <row r="97" spans="1:11" s="133" customFormat="1" ht="72" customHeight="1" x14ac:dyDescent="0.25">
      <c r="A97" s="116">
        <v>1</v>
      </c>
      <c r="B97" s="122" t="s">
        <v>322</v>
      </c>
      <c r="C97" s="111" t="s">
        <v>474</v>
      </c>
      <c r="D97" s="111" t="s">
        <v>475</v>
      </c>
      <c r="E97" s="111" t="s">
        <v>264</v>
      </c>
      <c r="F97" s="141" t="s">
        <v>23</v>
      </c>
      <c r="G97" s="111" t="s">
        <v>476</v>
      </c>
      <c r="H97" s="111" t="s">
        <v>39</v>
      </c>
      <c r="I97" s="111" t="s">
        <v>23</v>
      </c>
      <c r="J97" s="105" t="s">
        <v>267</v>
      </c>
      <c r="K97" s="129"/>
    </row>
    <row r="98" spans="1:11" s="133" customFormat="1" ht="72" customHeight="1" x14ac:dyDescent="0.25">
      <c r="A98" s="116">
        <v>2</v>
      </c>
      <c r="B98" s="122" t="s">
        <v>322</v>
      </c>
      <c r="C98" s="111" t="s">
        <v>474</v>
      </c>
      <c r="D98" s="111" t="s">
        <v>477</v>
      </c>
      <c r="E98" s="111" t="s">
        <v>270</v>
      </c>
      <c r="F98" s="112" t="s">
        <v>23</v>
      </c>
      <c r="G98" s="111" t="s">
        <v>478</v>
      </c>
      <c r="H98" s="111" t="s">
        <v>61</v>
      </c>
      <c r="I98" s="111" t="s">
        <v>23</v>
      </c>
      <c r="J98" s="105" t="s">
        <v>272</v>
      </c>
      <c r="K98" s="129"/>
    </row>
    <row r="99" spans="1:11" s="133" customFormat="1" ht="72" customHeight="1" x14ac:dyDescent="0.25">
      <c r="A99" s="116">
        <v>2</v>
      </c>
      <c r="B99" s="122" t="s">
        <v>322</v>
      </c>
      <c r="C99" s="111" t="s">
        <v>474</v>
      </c>
      <c r="D99" s="111" t="s">
        <v>477</v>
      </c>
      <c r="E99" s="111" t="s">
        <v>270</v>
      </c>
      <c r="F99" s="112" t="s">
        <v>23</v>
      </c>
      <c r="G99" s="111" t="s">
        <v>478</v>
      </c>
      <c r="H99" s="111" t="s">
        <v>39</v>
      </c>
      <c r="I99" s="111" t="s">
        <v>23</v>
      </c>
      <c r="J99" s="105" t="s">
        <v>326</v>
      </c>
      <c r="K99" s="129"/>
    </row>
    <row r="100" spans="1:11" s="133" customFormat="1" ht="72" customHeight="1" x14ac:dyDescent="0.25">
      <c r="A100" s="115">
        <v>3</v>
      </c>
      <c r="B100" s="112" t="s">
        <v>322</v>
      </c>
      <c r="C100" s="111" t="s">
        <v>474</v>
      </c>
      <c r="D100" s="111" t="s">
        <v>479</v>
      </c>
      <c r="E100" s="111" t="s">
        <v>276</v>
      </c>
      <c r="F100" s="112" t="s">
        <v>23</v>
      </c>
      <c r="G100" s="111" t="s">
        <v>480</v>
      </c>
      <c r="H100" s="111" t="s">
        <v>61</v>
      </c>
      <c r="I100" s="111" t="s">
        <v>23</v>
      </c>
      <c r="J100" s="105" t="s">
        <v>278</v>
      </c>
      <c r="K100" s="129"/>
    </row>
    <row r="101" spans="1:11" s="133" customFormat="1" ht="72" customHeight="1" x14ac:dyDescent="0.25">
      <c r="A101" s="115">
        <v>3</v>
      </c>
      <c r="B101" s="112" t="s">
        <v>322</v>
      </c>
      <c r="C101" s="111" t="s">
        <v>474</v>
      </c>
      <c r="D101" s="111" t="s">
        <v>479</v>
      </c>
      <c r="E101" s="111" t="s">
        <v>276</v>
      </c>
      <c r="F101" s="112" t="s">
        <v>23</v>
      </c>
      <c r="G101" s="111" t="s">
        <v>480</v>
      </c>
      <c r="H101" s="111" t="s">
        <v>39</v>
      </c>
      <c r="I101" s="111" t="s">
        <v>23</v>
      </c>
      <c r="J101" s="105" t="s">
        <v>280</v>
      </c>
      <c r="K101" s="129"/>
    </row>
    <row r="102" spans="1:11" s="134" customFormat="1" ht="72" customHeight="1" x14ac:dyDescent="0.25">
      <c r="A102" s="117">
        <v>4</v>
      </c>
      <c r="B102" s="124" t="s">
        <v>322</v>
      </c>
      <c r="C102" s="111" t="s">
        <v>474</v>
      </c>
      <c r="D102" s="111" t="s">
        <v>481</v>
      </c>
      <c r="E102" s="111" t="s">
        <v>282</v>
      </c>
      <c r="F102" s="112" t="s">
        <v>23</v>
      </c>
      <c r="G102" s="111" t="s">
        <v>482</v>
      </c>
      <c r="H102" s="111" t="s">
        <v>61</v>
      </c>
      <c r="I102" s="111" t="s">
        <v>23</v>
      </c>
      <c r="J102" s="105" t="s">
        <v>326</v>
      </c>
      <c r="K102" s="157"/>
    </row>
    <row r="103" spans="1:11" s="134" customFormat="1" ht="72" customHeight="1" x14ac:dyDescent="0.25">
      <c r="A103" s="117">
        <v>4</v>
      </c>
      <c r="B103" s="124" t="s">
        <v>322</v>
      </c>
      <c r="C103" s="111" t="s">
        <v>474</v>
      </c>
      <c r="D103" s="111" t="s">
        <v>481</v>
      </c>
      <c r="E103" s="111" t="s">
        <v>282</v>
      </c>
      <c r="F103" s="112" t="s">
        <v>23</v>
      </c>
      <c r="G103" s="111" t="s">
        <v>482</v>
      </c>
      <c r="H103" s="111" t="s">
        <v>39</v>
      </c>
      <c r="I103" s="111" t="s">
        <v>23</v>
      </c>
      <c r="J103" s="105" t="s">
        <v>286</v>
      </c>
      <c r="K103" s="157"/>
    </row>
    <row r="104" spans="1:11" s="133" customFormat="1" ht="72" customHeight="1" x14ac:dyDescent="0.25">
      <c r="A104" s="115">
        <v>5</v>
      </c>
      <c r="B104" s="112" t="s">
        <v>322</v>
      </c>
      <c r="C104" s="121" t="s">
        <v>474</v>
      </c>
      <c r="D104" s="121" t="s">
        <v>483</v>
      </c>
      <c r="E104" s="121" t="s">
        <v>246</v>
      </c>
      <c r="F104" s="112" t="s">
        <v>23</v>
      </c>
      <c r="G104" s="121" t="s">
        <v>484</v>
      </c>
      <c r="H104" s="121" t="s">
        <v>61</v>
      </c>
      <c r="I104" s="121" t="s">
        <v>23</v>
      </c>
      <c r="J104" s="104" t="s">
        <v>326</v>
      </c>
      <c r="K104" s="129"/>
    </row>
    <row r="105" spans="1:11" s="133" customFormat="1" ht="72" customHeight="1" x14ac:dyDescent="0.25">
      <c r="A105" s="115">
        <v>5</v>
      </c>
      <c r="B105" s="112" t="s">
        <v>322</v>
      </c>
      <c r="C105" s="121" t="s">
        <v>474</v>
      </c>
      <c r="D105" s="121" t="s">
        <v>483</v>
      </c>
      <c r="E105" s="121" t="s">
        <v>246</v>
      </c>
      <c r="F105" s="112" t="s">
        <v>23</v>
      </c>
      <c r="G105" s="121" t="s">
        <v>484</v>
      </c>
      <c r="H105" s="121" t="s">
        <v>39</v>
      </c>
      <c r="I105" s="121" t="s">
        <v>23</v>
      </c>
      <c r="J105" s="104" t="s">
        <v>485</v>
      </c>
      <c r="K105" s="129"/>
    </row>
    <row r="106" spans="1:11" s="133" customFormat="1" ht="72" customHeight="1" x14ac:dyDescent="0.25">
      <c r="A106" s="116">
        <v>1</v>
      </c>
      <c r="B106" s="122" t="s">
        <v>322</v>
      </c>
      <c r="C106" s="111" t="s">
        <v>486</v>
      </c>
      <c r="D106" s="111" t="s">
        <v>475</v>
      </c>
      <c r="E106" s="111" t="s">
        <v>487</v>
      </c>
      <c r="F106" s="112" t="s">
        <v>23</v>
      </c>
      <c r="G106" s="111" t="s">
        <v>488</v>
      </c>
      <c r="H106" s="111" t="s">
        <v>39</v>
      </c>
      <c r="I106" s="111" t="s">
        <v>23</v>
      </c>
      <c r="J106" s="123" t="s">
        <v>326</v>
      </c>
      <c r="K106" s="114"/>
    </row>
    <row r="107" spans="1:11" s="133" customFormat="1" ht="72" customHeight="1" x14ac:dyDescent="0.25">
      <c r="A107" s="116">
        <v>1</v>
      </c>
      <c r="B107" s="122" t="s">
        <v>322</v>
      </c>
      <c r="C107" s="111" t="s">
        <v>486</v>
      </c>
      <c r="D107" s="111" t="s">
        <v>475</v>
      </c>
      <c r="E107" s="111" t="s">
        <v>487</v>
      </c>
      <c r="F107" s="112" t="s">
        <v>23</v>
      </c>
      <c r="G107" s="111" t="s">
        <v>488</v>
      </c>
      <c r="H107" s="111" t="s">
        <v>61</v>
      </c>
      <c r="I107" s="111" t="s">
        <v>23</v>
      </c>
      <c r="J107" s="123" t="s">
        <v>489</v>
      </c>
      <c r="K107" s="114"/>
    </row>
    <row r="108" spans="1:11" ht="38.25" x14ac:dyDescent="0.25">
      <c r="B108" s="74"/>
      <c r="C108" s="728" t="s">
        <v>287</v>
      </c>
      <c r="D108" s="293" t="s">
        <v>23</v>
      </c>
      <c r="E108" s="294"/>
      <c r="F108" s="74"/>
      <c r="G108" s="460" t="s">
        <v>490</v>
      </c>
      <c r="H108" s="460" t="s">
        <v>491</v>
      </c>
      <c r="I108" s="293" t="s">
        <v>23</v>
      </c>
      <c r="J108" s="460" t="s">
        <v>492</v>
      </c>
    </row>
    <row r="109" spans="1:11" ht="51" x14ac:dyDescent="0.25">
      <c r="B109" s="74"/>
      <c r="C109" s="728"/>
      <c r="D109" s="293" t="s">
        <v>23</v>
      </c>
      <c r="E109" s="294"/>
      <c r="F109" s="74"/>
      <c r="G109" s="460" t="s">
        <v>493</v>
      </c>
      <c r="H109" s="460" t="s">
        <v>491</v>
      </c>
      <c r="I109" s="293" t="s">
        <v>23</v>
      </c>
      <c r="J109" s="460" t="s">
        <v>494</v>
      </c>
    </row>
    <row r="110" spans="1:11" ht="76.5" x14ac:dyDescent="0.25">
      <c r="B110" s="74"/>
      <c r="C110" s="728"/>
      <c r="D110" s="293" t="s">
        <v>23</v>
      </c>
      <c r="E110" s="294"/>
      <c r="F110" s="74"/>
      <c r="G110" s="460" t="s">
        <v>495</v>
      </c>
      <c r="H110" s="460" t="s">
        <v>491</v>
      </c>
      <c r="I110" s="293" t="s">
        <v>23</v>
      </c>
      <c r="J110" s="460" t="s">
        <v>496</v>
      </c>
    </row>
    <row r="111" spans="1:11" ht="38.25" x14ac:dyDescent="0.25">
      <c r="B111" s="74"/>
      <c r="C111" s="728"/>
      <c r="D111" s="293" t="s">
        <v>23</v>
      </c>
      <c r="E111" s="294"/>
      <c r="F111" s="74"/>
      <c r="G111" s="460" t="s">
        <v>497</v>
      </c>
      <c r="H111" s="460" t="s">
        <v>491</v>
      </c>
      <c r="I111" s="293" t="s">
        <v>23</v>
      </c>
      <c r="J111" s="460" t="s">
        <v>296</v>
      </c>
    </row>
    <row r="112" spans="1:11" ht="38.25" x14ac:dyDescent="0.25">
      <c r="B112" s="74"/>
      <c r="C112" s="728"/>
      <c r="D112" s="293" t="s">
        <v>23</v>
      </c>
      <c r="E112" s="294"/>
      <c r="F112" s="74"/>
      <c r="G112" s="460" t="s">
        <v>297</v>
      </c>
      <c r="H112" s="460" t="s">
        <v>491</v>
      </c>
      <c r="I112" s="293" t="s">
        <v>23</v>
      </c>
      <c r="J112" s="460" t="s">
        <v>298</v>
      </c>
    </row>
  </sheetData>
  <mergeCells count="2">
    <mergeCell ref="C108:C112"/>
    <mergeCell ref="A86:A87"/>
  </mergeCells>
  <phoneticPr fontId="21" type="noConversion"/>
  <pageMargins left="0.7" right="0.7" top="0.75" bottom="0.75" header="0.3" footer="0.3"/>
  <pageSetup orientation="portrait" horizontalDpi="360" verticalDpi="36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B7A9-0591-4C95-A958-7B93F9E9769D}">
  <sheetPr codeName="Sheet8"/>
  <dimension ref="A2:Q64"/>
  <sheetViews>
    <sheetView topLeftCell="A33" workbookViewId="0"/>
  </sheetViews>
  <sheetFormatPr defaultColWidth="9.140625" defaultRowHeight="12.75" x14ac:dyDescent="0.2"/>
  <cols>
    <col min="1" max="1" width="14.5703125" style="1" customWidth="1"/>
    <col min="2" max="2" width="4.7109375" style="32" customWidth="1"/>
    <col min="3" max="4" width="48.85546875" style="34" customWidth="1"/>
    <col min="5" max="5" width="15.7109375" style="34" customWidth="1"/>
    <col min="6" max="6" width="69.28515625" style="34" customWidth="1"/>
    <col min="7" max="7" width="14" style="34" customWidth="1"/>
    <col min="8" max="8" width="78.85546875" style="34" customWidth="1"/>
    <col min="9" max="9" width="49.7109375" style="1" customWidth="1"/>
    <col min="10" max="12" width="50.7109375" style="1" customWidth="1"/>
    <col min="13" max="13" width="50.7109375" style="28" customWidth="1"/>
    <col min="14" max="14" width="9.7109375" style="17" customWidth="1"/>
    <col min="15" max="16" width="9.7109375" style="35" customWidth="1"/>
    <col min="17" max="17" width="9.7109375" style="17" customWidth="1"/>
    <col min="18" max="16384" width="9.140625" style="1"/>
  </cols>
  <sheetData>
    <row r="2" spans="1:17" x14ac:dyDescent="0.2">
      <c r="A2" s="766" t="s">
        <v>498</v>
      </c>
      <c r="B2" s="766"/>
      <c r="C2" s="766"/>
      <c r="D2" s="766"/>
      <c r="E2" s="766"/>
      <c r="F2" s="766"/>
      <c r="G2" s="766"/>
      <c r="H2" s="766"/>
      <c r="I2" s="766"/>
      <c r="J2" s="766"/>
      <c r="K2" s="766"/>
      <c r="L2" s="766"/>
      <c r="N2" s="97"/>
      <c r="Q2" s="97"/>
    </row>
    <row r="3" spans="1:17" x14ac:dyDescent="0.2">
      <c r="A3" s="766"/>
      <c r="B3" s="766"/>
      <c r="C3" s="766"/>
      <c r="D3" s="766"/>
      <c r="E3" s="766"/>
      <c r="F3" s="766"/>
      <c r="G3" s="766"/>
      <c r="H3" s="766"/>
      <c r="I3" s="766"/>
      <c r="J3" s="766"/>
      <c r="K3" s="766"/>
      <c r="L3" s="766"/>
      <c r="N3" s="97"/>
      <c r="Q3" s="97"/>
    </row>
    <row r="4" spans="1:17" ht="65.25" customHeight="1" x14ac:dyDescent="0.2">
      <c r="A4" s="767"/>
      <c r="B4" s="767"/>
      <c r="C4" s="767"/>
      <c r="D4" s="767"/>
      <c r="E4" s="767"/>
      <c r="F4" s="767"/>
      <c r="G4" s="767"/>
      <c r="H4" s="767"/>
      <c r="I4" s="767"/>
      <c r="J4" s="767"/>
      <c r="K4" s="767"/>
      <c r="L4" s="767"/>
      <c r="N4" s="97"/>
      <c r="Q4" s="97"/>
    </row>
    <row r="5" spans="1:17" s="4" customFormat="1" ht="26.25" customHeight="1" x14ac:dyDescent="0.2">
      <c r="A5" s="52"/>
      <c r="B5" s="768" t="s">
        <v>499</v>
      </c>
      <c r="C5" s="769"/>
      <c r="D5" s="44" t="s">
        <v>500</v>
      </c>
      <c r="E5" s="44" t="s">
        <v>501</v>
      </c>
      <c r="F5" s="44" t="s">
        <v>502</v>
      </c>
      <c r="G5" s="44"/>
      <c r="H5" s="44"/>
      <c r="I5" s="5" t="s">
        <v>503</v>
      </c>
      <c r="J5" s="5" t="s">
        <v>504</v>
      </c>
      <c r="K5" s="5" t="s">
        <v>505</v>
      </c>
      <c r="L5" s="5" t="s">
        <v>506</v>
      </c>
      <c r="M5" s="27"/>
      <c r="N5" s="15"/>
      <c r="O5" s="36"/>
      <c r="P5" s="36"/>
      <c r="Q5" s="15"/>
    </row>
    <row r="6" spans="1:17" s="2" customFormat="1" ht="159.75" customHeight="1" x14ac:dyDescent="0.2">
      <c r="A6" s="52"/>
      <c r="B6" s="770" t="s">
        <v>507</v>
      </c>
      <c r="C6" s="771"/>
      <c r="D6" s="45" t="s">
        <v>508</v>
      </c>
      <c r="E6" s="45"/>
      <c r="F6" s="45" t="s">
        <v>509</v>
      </c>
      <c r="G6" s="45"/>
      <c r="H6" s="45"/>
      <c r="I6" s="772" t="s">
        <v>510</v>
      </c>
      <c r="J6" s="774" t="s">
        <v>511</v>
      </c>
      <c r="K6" s="776" t="s">
        <v>512</v>
      </c>
      <c r="L6" s="778" t="s">
        <v>513</v>
      </c>
      <c r="M6" s="29" t="s">
        <v>514</v>
      </c>
      <c r="N6" s="14"/>
      <c r="O6" s="18"/>
      <c r="P6" s="18"/>
      <c r="Q6" s="14"/>
    </row>
    <row r="7" spans="1:17" s="2" customFormat="1" ht="21" customHeight="1" x14ac:dyDescent="0.25">
      <c r="A7" s="52"/>
      <c r="B7" s="52"/>
      <c r="C7" s="52"/>
      <c r="D7" s="46"/>
      <c r="E7" s="46"/>
      <c r="F7" s="46"/>
      <c r="G7" s="46"/>
      <c r="H7" s="46"/>
      <c r="I7" s="773"/>
      <c r="J7" s="775"/>
      <c r="K7" s="777"/>
      <c r="L7" s="779"/>
      <c r="M7" s="30">
        <f>COUNTA(N9:N64)</f>
        <v>13</v>
      </c>
      <c r="N7" s="14"/>
      <c r="O7" s="18"/>
      <c r="P7" s="18"/>
      <c r="Q7" s="14"/>
    </row>
    <row r="8" spans="1:17" s="2" customFormat="1" ht="73.5" customHeight="1" x14ac:dyDescent="0.25">
      <c r="A8" s="6" t="s">
        <v>515</v>
      </c>
      <c r="B8" s="9"/>
      <c r="C8" s="10" t="s">
        <v>516</v>
      </c>
      <c r="D8" s="48" t="s">
        <v>517</v>
      </c>
      <c r="E8" s="48"/>
      <c r="F8" s="9" t="s">
        <v>5</v>
      </c>
      <c r="G8" s="9" t="s">
        <v>418</v>
      </c>
      <c r="H8" s="9" t="s">
        <v>518</v>
      </c>
      <c r="I8" s="7"/>
      <c r="J8" s="7"/>
      <c r="K8" s="7"/>
      <c r="L8" s="8"/>
      <c r="M8" s="31" t="s">
        <v>519</v>
      </c>
      <c r="N8" s="20" t="s">
        <v>520</v>
      </c>
      <c r="O8" s="19" t="s">
        <v>521</v>
      </c>
      <c r="P8" s="19">
        <f>AVERAGE(P9:P64)</f>
        <v>0.38430769230769241</v>
      </c>
      <c r="Q8" s="20" t="s">
        <v>522</v>
      </c>
    </row>
    <row r="9" spans="1:17" s="2" customFormat="1" ht="42" hidden="1" customHeight="1" x14ac:dyDescent="0.25">
      <c r="A9" s="738" t="s">
        <v>523</v>
      </c>
      <c r="B9" s="746">
        <v>1</v>
      </c>
      <c r="C9" s="780" t="s">
        <v>524</v>
      </c>
      <c r="D9" s="53"/>
      <c r="E9" s="53"/>
      <c r="F9" s="53"/>
      <c r="G9" s="53"/>
      <c r="H9" s="53"/>
      <c r="I9" s="26"/>
      <c r="J9" s="26"/>
      <c r="K9" s="26"/>
      <c r="L9" s="26"/>
      <c r="M9" s="752"/>
      <c r="N9" s="14"/>
      <c r="O9" s="18"/>
      <c r="P9" s="18"/>
      <c r="Q9" s="14"/>
    </row>
    <row r="10" spans="1:17" s="2" customFormat="1" ht="36" hidden="1" customHeight="1" x14ac:dyDescent="0.25">
      <c r="A10" s="745"/>
      <c r="B10" s="748"/>
      <c r="C10" s="781"/>
      <c r="D10" s="53"/>
      <c r="E10" s="53"/>
      <c r="F10" s="53"/>
      <c r="G10" s="53"/>
      <c r="H10" s="53"/>
      <c r="I10" s="24"/>
      <c r="J10" s="23"/>
      <c r="K10" s="23"/>
      <c r="L10" s="25"/>
      <c r="M10" s="754"/>
      <c r="N10" s="14">
        <v>4</v>
      </c>
      <c r="O10" s="18">
        <f>IF(N10=1,0)+IF(N10=2,0.333)+IF(N10=3,0.666)+IF(N10=4,100%)</f>
        <v>1</v>
      </c>
      <c r="P10" s="18">
        <f>O10*Q10/100</f>
        <v>1</v>
      </c>
      <c r="Q10" s="14">
        <v>100</v>
      </c>
    </row>
    <row r="11" spans="1:17" s="2" customFormat="1" ht="42" hidden="1" customHeight="1" x14ac:dyDescent="0.25">
      <c r="A11" s="65" t="s">
        <v>523</v>
      </c>
      <c r="B11" s="67">
        <v>2</v>
      </c>
      <c r="C11" s="457" t="s">
        <v>525</v>
      </c>
      <c r="D11" s="53"/>
      <c r="E11" s="53"/>
      <c r="F11" s="53"/>
      <c r="G11" s="53"/>
      <c r="H11" s="53"/>
      <c r="I11" s="21"/>
      <c r="J11" s="26"/>
      <c r="K11" s="26"/>
      <c r="L11" s="26"/>
      <c r="M11" s="752"/>
      <c r="N11" s="14"/>
      <c r="O11" s="18"/>
      <c r="P11" s="18"/>
      <c r="Q11" s="14"/>
    </row>
    <row r="12" spans="1:17" s="2" customFormat="1" ht="60.75" customHeight="1" x14ac:dyDescent="0.25">
      <c r="A12" s="65" t="s">
        <v>523</v>
      </c>
      <c r="B12" s="68">
        <v>3</v>
      </c>
      <c r="C12" s="457" t="s">
        <v>310</v>
      </c>
      <c r="D12" s="53" t="s">
        <v>526</v>
      </c>
      <c r="E12" s="53"/>
      <c r="F12" s="53" t="s">
        <v>527</v>
      </c>
      <c r="G12" s="53"/>
      <c r="H12" s="53" t="s">
        <v>528</v>
      </c>
      <c r="I12" s="70"/>
      <c r="J12" s="47"/>
      <c r="K12" s="47"/>
      <c r="L12" s="458"/>
      <c r="M12" s="753"/>
      <c r="N12" s="14"/>
      <c r="O12" s="18"/>
      <c r="P12" s="18"/>
      <c r="Q12" s="14"/>
    </row>
    <row r="13" spans="1:17" s="2" customFormat="1" ht="24.95" customHeight="1" x14ac:dyDescent="0.25">
      <c r="A13" s="6" t="s">
        <v>316</v>
      </c>
      <c r="B13" s="9"/>
      <c r="C13" s="10"/>
      <c r="D13" s="9"/>
      <c r="E13" s="9"/>
      <c r="F13" s="9"/>
      <c r="G13" s="9"/>
      <c r="H13" s="9"/>
      <c r="I13" s="7"/>
      <c r="J13" s="7"/>
      <c r="K13" s="7"/>
      <c r="L13" s="8"/>
      <c r="M13" s="31" t="s">
        <v>519</v>
      </c>
      <c r="N13" s="20" t="s">
        <v>520</v>
      </c>
      <c r="O13" s="19" t="s">
        <v>521</v>
      </c>
      <c r="P13" s="19">
        <f>AVERAGE(P14:P71)</f>
        <v>0.33300000000000007</v>
      </c>
      <c r="Q13" s="20" t="s">
        <v>522</v>
      </c>
    </row>
    <row r="14" spans="1:17" s="3" customFormat="1" ht="91.5" customHeight="1" x14ac:dyDescent="0.25">
      <c r="A14" s="454" t="s">
        <v>529</v>
      </c>
      <c r="B14" s="455">
        <v>4</v>
      </c>
      <c r="C14" s="50" t="s">
        <v>530</v>
      </c>
      <c r="D14" s="55" t="s">
        <v>531</v>
      </c>
      <c r="E14" s="55"/>
      <c r="F14" s="55" t="s">
        <v>532</v>
      </c>
      <c r="G14" s="55"/>
      <c r="H14" s="55" t="s">
        <v>533</v>
      </c>
      <c r="I14" s="451"/>
      <c r="J14" s="451"/>
      <c r="K14" s="451"/>
      <c r="L14" s="451"/>
      <c r="M14" s="49"/>
      <c r="N14" s="16"/>
      <c r="O14" s="37"/>
      <c r="P14" s="37"/>
      <c r="Q14" s="14"/>
    </row>
    <row r="15" spans="1:17" s="3" customFormat="1" ht="36" customHeight="1" x14ac:dyDescent="0.25">
      <c r="A15" s="738" t="s">
        <v>529</v>
      </c>
      <c r="B15" s="740">
        <v>5</v>
      </c>
      <c r="C15" s="749"/>
      <c r="D15" s="54"/>
      <c r="E15" s="54"/>
      <c r="F15" s="54"/>
      <c r="G15" s="54"/>
      <c r="H15" s="54"/>
      <c r="I15" s="451"/>
      <c r="J15" s="451"/>
      <c r="K15" s="451"/>
      <c r="L15" s="451"/>
      <c r="M15" s="764"/>
      <c r="N15" s="16"/>
      <c r="O15" s="16"/>
      <c r="P15" s="16"/>
      <c r="Q15" s="16"/>
    </row>
    <row r="16" spans="1:17" s="3" customFormat="1" ht="36" customHeight="1" x14ac:dyDescent="0.25">
      <c r="A16" s="739"/>
      <c r="B16" s="763"/>
      <c r="C16" s="751"/>
      <c r="D16" s="54"/>
      <c r="E16" s="54"/>
      <c r="F16" s="54"/>
      <c r="G16" s="54"/>
      <c r="H16" s="54"/>
      <c r="I16" s="22"/>
      <c r="J16" s="23"/>
      <c r="K16" s="23"/>
      <c r="L16" s="25"/>
      <c r="M16" s="765"/>
      <c r="N16" s="16">
        <v>2</v>
      </c>
      <c r="O16" s="18">
        <f>IF(N16=1,0)+IF(N16=2,0.333)+IF(N16=3,0.666)+IF(N16=4,100%)</f>
        <v>0.33300000000000002</v>
      </c>
      <c r="P16" s="18">
        <f>O16*Q16/100</f>
        <v>0.33300000000000002</v>
      </c>
      <c r="Q16" s="14">
        <v>100</v>
      </c>
    </row>
    <row r="17" spans="1:17" s="2" customFormat="1" ht="42" customHeight="1" x14ac:dyDescent="0.25">
      <c r="A17" s="738" t="s">
        <v>529</v>
      </c>
      <c r="B17" s="746">
        <v>6</v>
      </c>
      <c r="C17" s="749"/>
      <c r="D17" s="54"/>
      <c r="E17" s="54"/>
      <c r="F17" s="54"/>
      <c r="G17" s="54"/>
      <c r="H17" s="54"/>
      <c r="I17" s="26"/>
      <c r="J17" s="26"/>
      <c r="K17" s="26"/>
      <c r="L17" s="26"/>
      <c r="M17" s="752"/>
      <c r="N17" s="14"/>
      <c r="O17" s="18"/>
      <c r="P17" s="18"/>
      <c r="Q17" s="14"/>
    </row>
    <row r="18" spans="1:17" s="2" customFormat="1" ht="36" customHeight="1" x14ac:dyDescent="0.25">
      <c r="A18" s="739"/>
      <c r="B18" s="748"/>
      <c r="C18" s="751"/>
      <c r="D18" s="54"/>
      <c r="E18" s="54"/>
      <c r="F18" s="54"/>
      <c r="G18" s="54"/>
      <c r="H18" s="54"/>
      <c r="I18" s="22"/>
      <c r="J18" s="23"/>
      <c r="K18" s="23"/>
      <c r="L18" s="25"/>
      <c r="M18" s="754"/>
      <c r="N18" s="14">
        <v>2</v>
      </c>
      <c r="O18" s="18">
        <f>IF(N18=1,0)+IF(N18=2,0.333)+IF(N18=3,0.666)+IF(N18=4,100%)</f>
        <v>0.33300000000000002</v>
      </c>
      <c r="P18" s="18">
        <f>O18*Q18/100</f>
        <v>0.33300000000000002</v>
      </c>
      <c r="Q18" s="14">
        <v>100</v>
      </c>
    </row>
    <row r="19" spans="1:17" s="2" customFormat="1" ht="24.95" customHeight="1" x14ac:dyDescent="0.25">
      <c r="A19" s="6" t="s">
        <v>534</v>
      </c>
      <c r="B19" s="9"/>
      <c r="C19" s="10"/>
      <c r="D19" s="9"/>
      <c r="E19" s="9"/>
      <c r="F19" s="9"/>
      <c r="G19" s="9"/>
      <c r="H19" s="9"/>
      <c r="I19" s="7"/>
      <c r="J19" s="7"/>
      <c r="K19" s="7"/>
      <c r="L19" s="8"/>
      <c r="M19" s="31" t="s">
        <v>519</v>
      </c>
      <c r="N19" s="20" t="s">
        <v>520</v>
      </c>
      <c r="O19" s="19" t="s">
        <v>521</v>
      </c>
      <c r="P19" s="19">
        <f>AVERAGE(P20:P78)</f>
        <v>0.33300000000000002</v>
      </c>
      <c r="Q19" s="20" t="s">
        <v>522</v>
      </c>
    </row>
    <row r="20" spans="1:17" s="2" customFormat="1" ht="48.75" customHeight="1" x14ac:dyDescent="0.25">
      <c r="A20" s="738" t="s">
        <v>535</v>
      </c>
      <c r="B20" s="746">
        <v>7</v>
      </c>
      <c r="C20" s="749" t="s">
        <v>342</v>
      </c>
      <c r="D20" s="54" t="s">
        <v>536</v>
      </c>
      <c r="E20" s="54"/>
      <c r="F20" s="57" t="s">
        <v>537</v>
      </c>
      <c r="G20" s="57"/>
      <c r="H20" s="57" t="s">
        <v>538</v>
      </c>
      <c r="I20" s="457"/>
      <c r="J20" s="26"/>
      <c r="K20" s="26"/>
      <c r="L20" s="26"/>
      <c r="M20" s="752"/>
      <c r="N20" s="14"/>
      <c r="O20" s="18"/>
      <c r="P20" s="18"/>
      <c r="Q20" s="14"/>
    </row>
    <row r="21" spans="1:17" s="2" customFormat="1" ht="48.75" customHeight="1" x14ac:dyDescent="0.25">
      <c r="A21" s="739"/>
      <c r="B21" s="747"/>
      <c r="C21" s="750"/>
      <c r="D21" s="54" t="s">
        <v>536</v>
      </c>
      <c r="E21" s="54"/>
      <c r="F21" s="58" t="s">
        <v>539</v>
      </c>
      <c r="G21" s="58"/>
      <c r="H21" s="58"/>
      <c r="I21" s="47"/>
      <c r="J21" s="47"/>
      <c r="K21" s="47"/>
      <c r="L21" s="458"/>
      <c r="M21" s="753"/>
      <c r="N21" s="14"/>
      <c r="O21" s="18"/>
      <c r="P21" s="18"/>
      <c r="Q21" s="14"/>
    </row>
    <row r="22" spans="1:17" s="2" customFormat="1" ht="48.75" customHeight="1" x14ac:dyDescent="0.25">
      <c r="A22" s="739"/>
      <c r="B22" s="747"/>
      <c r="C22" s="750"/>
      <c r="D22" s="54" t="s">
        <v>526</v>
      </c>
      <c r="E22" s="54"/>
      <c r="F22" s="57" t="s">
        <v>540</v>
      </c>
      <c r="G22" s="57"/>
      <c r="H22" s="57" t="s">
        <v>541</v>
      </c>
      <c r="I22" s="47"/>
      <c r="J22" s="47"/>
      <c r="K22" s="47"/>
      <c r="L22" s="458"/>
      <c r="M22" s="753"/>
      <c r="N22" s="14"/>
      <c r="O22" s="18"/>
      <c r="P22" s="18"/>
      <c r="Q22" s="14"/>
    </row>
    <row r="23" spans="1:17" s="2" customFormat="1" ht="64.5" customHeight="1" x14ac:dyDescent="0.25">
      <c r="A23" s="739"/>
      <c r="B23" s="747"/>
      <c r="C23" s="750"/>
      <c r="D23" s="54" t="s">
        <v>536</v>
      </c>
      <c r="E23" s="54"/>
      <c r="F23" s="58" t="s">
        <v>542</v>
      </c>
      <c r="G23" s="58"/>
      <c r="H23" s="58"/>
      <c r="I23" s="47"/>
      <c r="J23" s="47"/>
      <c r="K23" s="47"/>
      <c r="L23" s="458"/>
      <c r="M23" s="753"/>
      <c r="N23" s="14"/>
      <c r="O23" s="18"/>
      <c r="P23" s="18"/>
      <c r="Q23" s="14"/>
    </row>
    <row r="24" spans="1:17" s="2" customFormat="1" ht="37.5" customHeight="1" x14ac:dyDescent="0.25">
      <c r="A24" s="738" t="s">
        <v>535</v>
      </c>
      <c r="B24" s="746">
        <v>8</v>
      </c>
      <c r="C24" s="749" t="s">
        <v>543</v>
      </c>
      <c r="D24" s="54" t="s">
        <v>536</v>
      </c>
      <c r="E24" s="54"/>
      <c r="F24" s="57" t="s">
        <v>544</v>
      </c>
      <c r="G24" s="57"/>
      <c r="H24" s="57" t="s">
        <v>545</v>
      </c>
      <c r="I24" s="457"/>
      <c r="J24" s="26"/>
      <c r="K24" s="26"/>
      <c r="L24" s="26"/>
      <c r="M24" s="752"/>
      <c r="N24" s="14"/>
      <c r="O24" s="18"/>
      <c r="P24" s="18"/>
      <c r="Q24" s="14"/>
    </row>
    <row r="25" spans="1:17" s="2" customFormat="1" ht="85.5" customHeight="1" x14ac:dyDescent="0.25">
      <c r="A25" s="739"/>
      <c r="B25" s="747"/>
      <c r="C25" s="750"/>
      <c r="D25" s="54" t="s">
        <v>536</v>
      </c>
      <c r="E25" s="54"/>
      <c r="F25" s="57" t="s">
        <v>546</v>
      </c>
      <c r="G25" s="57"/>
      <c r="H25" s="57" t="s">
        <v>547</v>
      </c>
      <c r="I25" s="47"/>
      <c r="J25" s="47"/>
      <c r="K25" s="47"/>
      <c r="L25" s="458"/>
      <c r="M25" s="753"/>
      <c r="N25" s="14"/>
      <c r="O25" s="18"/>
      <c r="P25" s="18"/>
      <c r="Q25" s="14"/>
    </row>
    <row r="26" spans="1:17" s="2" customFormat="1" ht="37.5" customHeight="1" x14ac:dyDescent="0.25">
      <c r="A26" s="739"/>
      <c r="B26" s="747"/>
      <c r="C26" s="750"/>
      <c r="D26" s="54" t="s">
        <v>536</v>
      </c>
      <c r="E26" s="54"/>
      <c r="F26" s="57" t="s">
        <v>548</v>
      </c>
      <c r="G26" s="57"/>
      <c r="H26" s="57" t="s">
        <v>549</v>
      </c>
      <c r="I26" s="47"/>
      <c r="J26" s="47"/>
      <c r="K26" s="47"/>
      <c r="L26" s="458"/>
      <c r="M26" s="753"/>
      <c r="N26" s="14"/>
      <c r="O26" s="18"/>
      <c r="P26" s="18"/>
      <c r="Q26" s="14"/>
    </row>
    <row r="27" spans="1:17" s="2" customFormat="1" ht="37.5" customHeight="1" x14ac:dyDescent="0.25">
      <c r="A27" s="739"/>
      <c r="B27" s="747"/>
      <c r="C27" s="750"/>
      <c r="D27" s="54" t="s">
        <v>536</v>
      </c>
      <c r="E27" s="54"/>
      <c r="F27" s="57" t="s">
        <v>550</v>
      </c>
      <c r="G27" s="57"/>
      <c r="H27" s="57" t="s">
        <v>551</v>
      </c>
      <c r="I27" s="47"/>
      <c r="J27" s="47"/>
      <c r="K27" s="47"/>
      <c r="L27" s="458"/>
      <c r="M27" s="753"/>
      <c r="N27" s="14"/>
      <c r="O27" s="18"/>
      <c r="P27" s="18"/>
      <c r="Q27" s="14"/>
    </row>
    <row r="28" spans="1:17" s="2" customFormat="1" ht="37.5" customHeight="1" x14ac:dyDescent="0.25">
      <c r="A28" s="739"/>
      <c r="B28" s="747"/>
      <c r="C28" s="750"/>
      <c r="D28" s="54" t="s">
        <v>536</v>
      </c>
      <c r="E28" s="54"/>
      <c r="F28" s="57" t="s">
        <v>552</v>
      </c>
      <c r="G28" s="57"/>
      <c r="H28" s="57" t="s">
        <v>551</v>
      </c>
      <c r="I28" s="47"/>
      <c r="J28" s="47"/>
      <c r="K28" s="47"/>
      <c r="L28" s="458"/>
      <c r="M28" s="753"/>
      <c r="N28" s="14"/>
      <c r="O28" s="18"/>
      <c r="P28" s="18"/>
      <c r="Q28" s="14"/>
    </row>
    <row r="29" spans="1:17" s="2" customFormat="1" ht="37.5" customHeight="1" x14ac:dyDescent="0.25">
      <c r="A29" s="739"/>
      <c r="B29" s="747"/>
      <c r="C29" s="750"/>
      <c r="D29" s="54" t="s">
        <v>536</v>
      </c>
      <c r="E29" s="54"/>
      <c r="F29" s="57" t="s">
        <v>553</v>
      </c>
      <c r="G29" s="57"/>
      <c r="H29" s="57" t="s">
        <v>554</v>
      </c>
      <c r="I29" s="47"/>
      <c r="J29" s="47"/>
      <c r="K29" s="47"/>
      <c r="L29" s="458"/>
      <c r="M29" s="753"/>
      <c r="N29" s="14"/>
      <c r="O29" s="18"/>
      <c r="P29" s="18"/>
      <c r="Q29" s="14"/>
    </row>
    <row r="30" spans="1:17" s="2" customFormat="1" ht="37.5" customHeight="1" x14ac:dyDescent="0.25">
      <c r="A30" s="739"/>
      <c r="B30" s="747"/>
      <c r="C30" s="750"/>
      <c r="D30" s="54" t="s">
        <v>536</v>
      </c>
      <c r="E30" s="54"/>
      <c r="F30" s="57" t="s">
        <v>555</v>
      </c>
      <c r="G30" s="57"/>
      <c r="H30" s="57" t="s">
        <v>556</v>
      </c>
      <c r="I30" s="47"/>
      <c r="J30" s="47"/>
      <c r="K30" s="47"/>
      <c r="L30" s="458"/>
      <c r="M30" s="753"/>
      <c r="N30" s="14"/>
      <c r="O30" s="18"/>
      <c r="P30" s="18"/>
      <c r="Q30" s="14"/>
    </row>
    <row r="31" spans="1:17" s="2" customFormat="1" ht="37.5" customHeight="1" x14ac:dyDescent="0.25">
      <c r="A31" s="739"/>
      <c r="B31" s="747"/>
      <c r="C31" s="750"/>
      <c r="D31" s="54" t="s">
        <v>536</v>
      </c>
      <c r="E31" s="54"/>
      <c r="F31" s="57" t="s">
        <v>557</v>
      </c>
      <c r="G31" s="57"/>
      <c r="H31" s="57" t="s">
        <v>558</v>
      </c>
      <c r="I31" s="47"/>
      <c r="J31" s="47"/>
      <c r="K31" s="47"/>
      <c r="L31" s="458"/>
      <c r="M31" s="753"/>
      <c r="N31" s="14"/>
      <c r="O31" s="18"/>
      <c r="P31" s="18"/>
      <c r="Q31" s="14"/>
    </row>
    <row r="32" spans="1:17" ht="120.75" customHeight="1" x14ac:dyDescent="0.2">
      <c r="A32" s="745"/>
      <c r="B32" s="747"/>
      <c r="C32" s="750"/>
      <c r="D32" s="54" t="s">
        <v>536</v>
      </c>
      <c r="E32" s="54"/>
      <c r="F32" s="57" t="s">
        <v>559</v>
      </c>
      <c r="G32" s="57"/>
      <c r="H32" s="57" t="s">
        <v>560</v>
      </c>
      <c r="I32" s="23"/>
      <c r="J32" s="23"/>
      <c r="K32" s="23"/>
      <c r="L32" s="25"/>
      <c r="M32" s="754"/>
      <c r="N32" s="14">
        <v>2</v>
      </c>
      <c r="O32" s="18">
        <f>IF(N32=1,0)+IF(N32=2,0.333)+IF(N32=3,0.666)+IF(N32=4,100%)</f>
        <v>0.33300000000000002</v>
      </c>
      <c r="P32" s="18">
        <f>O32*Q32/100</f>
        <v>0.33300000000000002</v>
      </c>
      <c r="Q32" s="14">
        <v>100</v>
      </c>
    </row>
    <row r="33" spans="1:17" s="2" customFormat="1" ht="69" customHeight="1" x14ac:dyDescent="0.25">
      <c r="A33" s="738" t="s">
        <v>535</v>
      </c>
      <c r="B33" s="746">
        <v>9</v>
      </c>
      <c r="C33" s="749" t="s">
        <v>561</v>
      </c>
      <c r="D33" s="54"/>
      <c r="E33" s="54"/>
      <c r="F33" s="762" t="s">
        <v>562</v>
      </c>
      <c r="G33" s="459"/>
      <c r="H33" s="459" t="s">
        <v>563</v>
      </c>
      <c r="I33" s="457"/>
      <c r="J33" s="26"/>
      <c r="K33" s="26"/>
      <c r="L33" s="26"/>
      <c r="M33" s="752"/>
      <c r="N33" s="14"/>
      <c r="O33" s="18"/>
      <c r="P33" s="18"/>
      <c r="Q33" s="14"/>
    </row>
    <row r="34" spans="1:17" s="2" customFormat="1" ht="69" customHeight="1" x14ac:dyDescent="0.25">
      <c r="A34" s="739"/>
      <c r="B34" s="747"/>
      <c r="C34" s="750"/>
      <c r="D34" s="54"/>
      <c r="E34" s="54"/>
      <c r="F34" s="762"/>
      <c r="G34" s="459"/>
      <c r="H34" s="459" t="s">
        <v>564</v>
      </c>
      <c r="I34" s="47"/>
      <c r="J34" s="47"/>
      <c r="K34" s="47"/>
      <c r="L34" s="458"/>
      <c r="M34" s="753"/>
      <c r="N34" s="14"/>
      <c r="O34" s="18"/>
      <c r="P34" s="18"/>
      <c r="Q34" s="14"/>
    </row>
    <row r="35" spans="1:17" s="2" customFormat="1" ht="69" customHeight="1" x14ac:dyDescent="0.25">
      <c r="A35" s="739"/>
      <c r="B35" s="747"/>
      <c r="C35" s="750"/>
      <c r="D35" s="54"/>
      <c r="E35" s="54"/>
      <c r="F35" s="59" t="s">
        <v>565</v>
      </c>
      <c r="G35" s="59"/>
      <c r="H35" s="59" t="s">
        <v>566</v>
      </c>
      <c r="I35" s="47"/>
      <c r="J35" s="47"/>
      <c r="K35" s="47"/>
      <c r="L35" s="458"/>
      <c r="M35" s="753"/>
      <c r="N35" s="14"/>
      <c r="O35" s="18"/>
      <c r="P35" s="18"/>
      <c r="Q35" s="14"/>
    </row>
    <row r="36" spans="1:17" s="2" customFormat="1" ht="69" customHeight="1" x14ac:dyDescent="0.25">
      <c r="A36" s="739"/>
      <c r="B36" s="747"/>
      <c r="C36" s="750"/>
      <c r="D36" s="54"/>
      <c r="E36" s="54"/>
      <c r="F36" s="57" t="s">
        <v>567</v>
      </c>
      <c r="G36" s="57"/>
      <c r="H36" s="57" t="s">
        <v>568</v>
      </c>
      <c r="I36" s="47"/>
      <c r="J36" s="47"/>
      <c r="K36" s="47"/>
      <c r="L36" s="458"/>
      <c r="M36" s="753"/>
      <c r="N36" s="14"/>
      <c r="O36" s="18"/>
      <c r="P36" s="18"/>
      <c r="Q36" s="14"/>
    </row>
    <row r="37" spans="1:17" s="2" customFormat="1" ht="69" customHeight="1" x14ac:dyDescent="0.25">
      <c r="A37" s="739"/>
      <c r="B37" s="747"/>
      <c r="C37" s="750"/>
      <c r="D37" s="54"/>
      <c r="E37" s="54"/>
      <c r="F37" s="60" t="s">
        <v>569</v>
      </c>
      <c r="G37" s="60"/>
      <c r="H37" s="59" t="s">
        <v>570</v>
      </c>
      <c r="I37" s="47"/>
      <c r="J37" s="47"/>
      <c r="K37" s="47"/>
      <c r="L37" s="458"/>
      <c r="M37" s="753"/>
      <c r="N37" s="14"/>
      <c r="O37" s="18"/>
      <c r="P37" s="18"/>
      <c r="Q37" s="14"/>
    </row>
    <row r="38" spans="1:17" ht="46.5" customHeight="1" x14ac:dyDescent="0.2">
      <c r="A38" s="745"/>
      <c r="B38" s="748"/>
      <c r="C38" s="751"/>
      <c r="D38" s="54"/>
      <c r="E38" s="54"/>
      <c r="F38" s="57" t="s">
        <v>571</v>
      </c>
      <c r="G38" s="57"/>
      <c r="H38" s="57" t="s">
        <v>570</v>
      </c>
      <c r="I38" s="23"/>
      <c r="J38" s="23"/>
      <c r="K38" s="23"/>
      <c r="L38" s="25"/>
      <c r="M38" s="754"/>
      <c r="N38" s="14">
        <v>2</v>
      </c>
      <c r="O38" s="18">
        <f>IF(N38=1,0)+IF(N38=2,0.333)+IF(N38=3,0.666)+IF(N38=4,100%)</f>
        <v>0.33300000000000002</v>
      </c>
      <c r="P38" s="18">
        <f>O38*Q38/100</f>
        <v>0.33300000000000002</v>
      </c>
      <c r="Q38" s="14">
        <v>100</v>
      </c>
    </row>
    <row r="39" spans="1:17" s="2" customFormat="1" ht="57" customHeight="1" x14ac:dyDescent="0.25">
      <c r="A39" s="738" t="s">
        <v>535</v>
      </c>
      <c r="B39" s="746">
        <v>10</v>
      </c>
      <c r="C39" s="749" t="s">
        <v>572</v>
      </c>
      <c r="D39" s="54"/>
      <c r="E39" s="54"/>
      <c r="F39" s="59" t="s">
        <v>573</v>
      </c>
      <c r="G39" s="59"/>
      <c r="H39" s="59" t="s">
        <v>574</v>
      </c>
      <c r="I39" s="457"/>
      <c r="J39" s="26"/>
      <c r="K39" s="26"/>
      <c r="L39" s="26"/>
      <c r="M39" s="752"/>
      <c r="N39" s="14"/>
      <c r="O39" s="18"/>
      <c r="P39" s="18"/>
      <c r="Q39" s="14"/>
    </row>
    <row r="40" spans="1:17" s="2" customFormat="1" ht="57" customHeight="1" x14ac:dyDescent="0.25">
      <c r="A40" s="739"/>
      <c r="B40" s="747"/>
      <c r="C40" s="750"/>
      <c r="D40" s="54"/>
      <c r="E40" s="54"/>
      <c r="F40" s="57" t="s">
        <v>575</v>
      </c>
      <c r="G40" s="57"/>
      <c r="H40" s="57" t="s">
        <v>576</v>
      </c>
      <c r="I40" s="47"/>
      <c r="J40" s="47"/>
      <c r="K40" s="47"/>
      <c r="L40" s="458"/>
      <c r="M40" s="753"/>
      <c r="N40" s="14"/>
      <c r="O40" s="18"/>
      <c r="P40" s="18"/>
      <c r="Q40" s="14"/>
    </row>
    <row r="41" spans="1:17" s="2" customFormat="1" ht="57" customHeight="1" x14ac:dyDescent="0.25">
      <c r="A41" s="739"/>
      <c r="B41" s="747"/>
      <c r="C41" s="750"/>
      <c r="D41" s="54"/>
      <c r="E41" s="54"/>
      <c r="F41" s="59" t="s">
        <v>577</v>
      </c>
      <c r="G41" s="59"/>
      <c r="H41" s="59" t="s">
        <v>578</v>
      </c>
      <c r="I41" s="47"/>
      <c r="J41" s="47"/>
      <c r="K41" s="47"/>
      <c r="L41" s="458"/>
      <c r="M41" s="753"/>
      <c r="N41" s="14"/>
      <c r="O41" s="18"/>
      <c r="P41" s="18"/>
      <c r="Q41" s="14"/>
    </row>
    <row r="42" spans="1:17" s="2" customFormat="1" ht="57" customHeight="1" x14ac:dyDescent="0.25">
      <c r="A42" s="739"/>
      <c r="B42" s="747"/>
      <c r="C42" s="750"/>
      <c r="D42" s="54"/>
      <c r="E42" s="54"/>
      <c r="F42" s="57" t="s">
        <v>579</v>
      </c>
      <c r="G42" s="57"/>
      <c r="H42" s="57" t="s">
        <v>580</v>
      </c>
      <c r="I42" s="47"/>
      <c r="J42" s="47"/>
      <c r="K42" s="47"/>
      <c r="L42" s="458"/>
      <c r="M42" s="753"/>
      <c r="N42" s="14"/>
      <c r="O42" s="18"/>
      <c r="P42" s="18"/>
      <c r="Q42" s="14"/>
    </row>
    <row r="43" spans="1:17" ht="45.75" customHeight="1" x14ac:dyDescent="0.2">
      <c r="A43" s="745"/>
      <c r="B43" s="748"/>
      <c r="C43" s="751"/>
      <c r="D43" s="54"/>
      <c r="E43" s="54"/>
      <c r="F43" s="59" t="s">
        <v>581</v>
      </c>
      <c r="G43" s="59"/>
      <c r="H43" s="59" t="s">
        <v>582</v>
      </c>
      <c r="I43" s="23"/>
      <c r="J43" s="23"/>
      <c r="K43" s="23"/>
      <c r="L43" s="25"/>
      <c r="M43" s="754"/>
      <c r="N43" s="14">
        <v>2</v>
      </c>
      <c r="O43" s="18">
        <f>IF(N43=1,0)+IF(N43=2,0.333)+IF(N43=3,0.666)+IF(N43=4,100%)</f>
        <v>0.33300000000000002</v>
      </c>
      <c r="P43" s="18">
        <f>O43*Q43/100</f>
        <v>0.33300000000000002</v>
      </c>
      <c r="Q43" s="14">
        <v>100</v>
      </c>
    </row>
    <row r="44" spans="1:17" s="2" customFormat="1" ht="57.75" customHeight="1" x14ac:dyDescent="0.25">
      <c r="A44" s="738" t="s">
        <v>535</v>
      </c>
      <c r="B44" s="746">
        <v>11</v>
      </c>
      <c r="C44" s="755" t="s">
        <v>23</v>
      </c>
      <c r="D44" s="54"/>
      <c r="E44" s="54"/>
      <c r="F44" s="57" t="s">
        <v>583</v>
      </c>
      <c r="G44" s="57"/>
      <c r="H44" s="61" t="s">
        <v>584</v>
      </c>
      <c r="I44" s="457"/>
      <c r="J44" s="26"/>
      <c r="K44" s="26"/>
      <c r="L44" s="26"/>
      <c r="M44" s="752"/>
      <c r="N44" s="14"/>
      <c r="O44" s="18"/>
      <c r="P44" s="18"/>
      <c r="Q44" s="14"/>
    </row>
    <row r="45" spans="1:17" s="2" customFormat="1" ht="46.5" customHeight="1" x14ac:dyDescent="0.25">
      <c r="A45" s="739"/>
      <c r="B45" s="747"/>
      <c r="C45" s="756"/>
      <c r="D45" s="54"/>
      <c r="E45" s="54"/>
      <c r="F45" s="60" t="s">
        <v>585</v>
      </c>
      <c r="G45" s="60"/>
      <c r="H45" s="60" t="s">
        <v>586</v>
      </c>
      <c r="I45" s="23"/>
      <c r="J45" s="23"/>
      <c r="K45" s="23"/>
      <c r="L45" s="25"/>
      <c r="M45" s="753"/>
      <c r="N45" s="14">
        <v>2</v>
      </c>
      <c r="O45" s="18">
        <f>IF(N45=1,0)+IF(N45=2,0.333)+IF(N45=3,0.666)+IF(N45=4,100%)</f>
        <v>0.33300000000000002</v>
      </c>
      <c r="P45" s="18">
        <f>O45*Q45/100</f>
        <v>0.33300000000000002</v>
      </c>
      <c r="Q45" s="14">
        <v>100</v>
      </c>
    </row>
    <row r="46" spans="1:17" s="2" customFormat="1" ht="46.5" customHeight="1" x14ac:dyDescent="0.25">
      <c r="A46" s="739" t="s">
        <v>587</v>
      </c>
      <c r="B46" s="747">
        <v>12</v>
      </c>
      <c r="C46" s="756" t="s">
        <v>442</v>
      </c>
      <c r="D46" s="758" t="s">
        <v>526</v>
      </c>
      <c r="E46" s="54"/>
      <c r="F46" s="760" t="s">
        <v>588</v>
      </c>
      <c r="G46" s="60" t="s">
        <v>39</v>
      </c>
      <c r="H46" s="60" t="s">
        <v>589</v>
      </c>
      <c r="I46" s="23"/>
      <c r="J46" s="23"/>
      <c r="K46" s="23"/>
      <c r="L46" s="25"/>
      <c r="M46" s="753"/>
      <c r="N46" s="14"/>
      <c r="O46" s="18"/>
      <c r="P46" s="18"/>
      <c r="Q46" s="14"/>
    </row>
    <row r="47" spans="1:17" s="2" customFormat="1" ht="46.5" customHeight="1" x14ac:dyDescent="0.25">
      <c r="A47" s="739"/>
      <c r="B47" s="747"/>
      <c r="C47" s="756"/>
      <c r="D47" s="759"/>
      <c r="E47" s="54"/>
      <c r="F47" s="761"/>
      <c r="G47" s="60" t="s">
        <v>61</v>
      </c>
      <c r="H47" s="60" t="s">
        <v>590</v>
      </c>
      <c r="I47" s="23"/>
      <c r="J47" s="23"/>
      <c r="K47" s="23"/>
      <c r="L47" s="25"/>
      <c r="M47" s="753"/>
      <c r="N47" s="14"/>
      <c r="O47" s="18"/>
      <c r="P47" s="18"/>
      <c r="Q47" s="14"/>
    </row>
    <row r="48" spans="1:17" s="2" customFormat="1" ht="46.5" customHeight="1" x14ac:dyDescent="0.25">
      <c r="A48" s="739"/>
      <c r="B48" s="747"/>
      <c r="C48" s="756"/>
      <c r="D48" s="758" t="s">
        <v>526</v>
      </c>
      <c r="E48" s="54"/>
      <c r="F48" s="62" t="s">
        <v>591</v>
      </c>
      <c r="G48" s="60"/>
      <c r="H48" s="69" t="s">
        <v>592</v>
      </c>
      <c r="I48" s="23"/>
      <c r="J48" s="23"/>
      <c r="K48" s="23"/>
      <c r="L48" s="25"/>
      <c r="M48" s="753"/>
      <c r="N48" s="14"/>
      <c r="O48" s="18"/>
      <c r="P48" s="18"/>
      <c r="Q48" s="14"/>
    </row>
    <row r="49" spans="1:17" s="2" customFormat="1" ht="74.25" customHeight="1" x14ac:dyDescent="0.25">
      <c r="A49" s="739"/>
      <c r="B49" s="747"/>
      <c r="C49" s="756"/>
      <c r="D49" s="759"/>
      <c r="E49" s="54"/>
      <c r="F49" s="62" t="s">
        <v>593</v>
      </c>
      <c r="G49" s="60"/>
      <c r="H49" s="62" t="s">
        <v>594</v>
      </c>
      <c r="I49" s="23"/>
      <c r="J49" s="23"/>
      <c r="K49" s="23"/>
      <c r="L49" s="25"/>
      <c r="M49" s="753"/>
      <c r="N49" s="14"/>
      <c r="O49" s="18"/>
      <c r="P49" s="18"/>
      <c r="Q49" s="14"/>
    </row>
    <row r="50" spans="1:17" s="2" customFormat="1" ht="46.5" customHeight="1" x14ac:dyDescent="0.25">
      <c r="A50" s="739"/>
      <c r="B50" s="747"/>
      <c r="C50" s="756"/>
      <c r="D50" s="54" t="s">
        <v>526</v>
      </c>
      <c r="E50" s="54"/>
      <c r="F50" s="62" t="s">
        <v>595</v>
      </c>
      <c r="G50" s="60"/>
      <c r="H50" s="62" t="s">
        <v>596</v>
      </c>
      <c r="I50" s="23"/>
      <c r="J50" s="23"/>
      <c r="K50" s="23"/>
      <c r="L50" s="25"/>
      <c r="M50" s="753"/>
      <c r="N50" s="14"/>
      <c r="O50" s="18"/>
      <c r="P50" s="18"/>
      <c r="Q50" s="14"/>
    </row>
    <row r="51" spans="1:17" s="2" customFormat="1" ht="46.5" customHeight="1" x14ac:dyDescent="0.25">
      <c r="A51" s="739"/>
      <c r="B51" s="747"/>
      <c r="C51" s="756"/>
      <c r="D51" s="54" t="s">
        <v>526</v>
      </c>
      <c r="E51" s="54"/>
      <c r="F51" s="62" t="s">
        <v>597</v>
      </c>
      <c r="G51" s="60"/>
      <c r="H51" s="62" t="s">
        <v>598</v>
      </c>
      <c r="I51" s="23"/>
      <c r="J51" s="23"/>
      <c r="K51" s="23"/>
      <c r="L51" s="25"/>
      <c r="M51" s="753"/>
      <c r="N51" s="14"/>
      <c r="O51" s="18"/>
      <c r="P51" s="18"/>
      <c r="Q51" s="14"/>
    </row>
    <row r="52" spans="1:17" s="2" customFormat="1" ht="46.5" customHeight="1" x14ac:dyDescent="0.25">
      <c r="A52" s="739"/>
      <c r="B52" s="747"/>
      <c r="C52" s="756"/>
      <c r="D52" s="54" t="s">
        <v>599</v>
      </c>
      <c r="E52" s="54"/>
      <c r="F52" s="62" t="s">
        <v>600</v>
      </c>
      <c r="G52" s="60"/>
      <c r="H52" s="62" t="s">
        <v>601</v>
      </c>
      <c r="I52" s="23"/>
      <c r="J52" s="23"/>
      <c r="K52" s="23"/>
      <c r="L52" s="25"/>
      <c r="M52" s="753"/>
      <c r="N52" s="14"/>
      <c r="O52" s="18"/>
      <c r="P52" s="18"/>
      <c r="Q52" s="14"/>
    </row>
    <row r="53" spans="1:17" s="2" customFormat="1" ht="46.5" customHeight="1" x14ac:dyDescent="0.25">
      <c r="A53" s="739"/>
      <c r="B53" s="747"/>
      <c r="C53" s="756"/>
      <c r="D53" s="54" t="s">
        <v>526</v>
      </c>
      <c r="E53" s="54"/>
      <c r="F53" s="62" t="s">
        <v>602</v>
      </c>
      <c r="G53" s="60"/>
      <c r="H53" s="62" t="s">
        <v>603</v>
      </c>
      <c r="I53" s="23"/>
      <c r="J53" s="23"/>
      <c r="K53" s="23"/>
      <c r="L53" s="25"/>
      <c r="M53" s="753"/>
      <c r="N53" s="14"/>
      <c r="O53" s="18"/>
      <c r="P53" s="18"/>
      <c r="Q53" s="14"/>
    </row>
    <row r="54" spans="1:17" s="2" customFormat="1" ht="46.5" customHeight="1" x14ac:dyDescent="0.25">
      <c r="A54" s="739"/>
      <c r="B54" s="747"/>
      <c r="C54" s="756"/>
      <c r="D54" s="54" t="s">
        <v>536</v>
      </c>
      <c r="E54" s="54"/>
      <c r="F54" s="62" t="s">
        <v>604</v>
      </c>
      <c r="G54" s="60"/>
      <c r="H54" s="62" t="s">
        <v>605</v>
      </c>
      <c r="I54" s="23"/>
      <c r="J54" s="23"/>
      <c r="K54" s="23"/>
      <c r="L54" s="25"/>
      <c r="M54" s="753"/>
      <c r="N54" s="14"/>
      <c r="O54" s="18"/>
      <c r="P54" s="18"/>
      <c r="Q54" s="14"/>
    </row>
    <row r="55" spans="1:17" s="2" customFormat="1" ht="46.5" customHeight="1" x14ac:dyDescent="0.25">
      <c r="A55" s="739"/>
      <c r="B55" s="747"/>
      <c r="C55" s="756"/>
      <c r="D55" s="54" t="s">
        <v>526</v>
      </c>
      <c r="E55" s="54"/>
      <c r="F55" s="62" t="s">
        <v>606</v>
      </c>
      <c r="G55" s="60"/>
      <c r="H55" s="62" t="s">
        <v>607</v>
      </c>
      <c r="I55" s="23"/>
      <c r="J55" s="23"/>
      <c r="K55" s="23"/>
      <c r="L55" s="25"/>
      <c r="M55" s="753"/>
      <c r="N55" s="14"/>
      <c r="O55" s="18"/>
      <c r="P55" s="18"/>
      <c r="Q55" s="14"/>
    </row>
    <row r="56" spans="1:17" s="2" customFormat="1" ht="46.5" customHeight="1" x14ac:dyDescent="0.25">
      <c r="A56" s="739"/>
      <c r="B56" s="747"/>
      <c r="C56" s="756"/>
      <c r="D56" s="54" t="s">
        <v>536</v>
      </c>
      <c r="E56" s="54"/>
      <c r="F56" s="62" t="s">
        <v>608</v>
      </c>
      <c r="G56" s="60"/>
      <c r="H56" s="62" t="s">
        <v>609</v>
      </c>
      <c r="I56" s="23"/>
      <c r="J56" s="23"/>
      <c r="K56" s="23"/>
      <c r="L56" s="25"/>
      <c r="M56" s="753"/>
      <c r="N56" s="14"/>
      <c r="O56" s="18"/>
      <c r="P56" s="18"/>
      <c r="Q56" s="14"/>
    </row>
    <row r="57" spans="1:17" s="2" customFormat="1" ht="62.25" customHeight="1" x14ac:dyDescent="0.25">
      <c r="A57" s="745"/>
      <c r="B57" s="748"/>
      <c r="C57" s="757"/>
      <c r="D57" s="54" t="s">
        <v>526</v>
      </c>
      <c r="E57" s="54"/>
      <c r="F57" s="62" t="s">
        <v>610</v>
      </c>
      <c r="G57" s="60"/>
      <c r="H57" s="62" t="s">
        <v>611</v>
      </c>
      <c r="I57" s="23"/>
      <c r="J57" s="23"/>
      <c r="K57" s="23"/>
      <c r="L57" s="25"/>
      <c r="M57" s="754"/>
      <c r="N57" s="14">
        <v>2</v>
      </c>
      <c r="O57" s="18">
        <f>IF(N57=1,0)+IF(N57=2,0.333)+IF(N57=3,0.666)+IF(N57=4,100%)</f>
        <v>0.33300000000000002</v>
      </c>
      <c r="P57" s="18">
        <f>O57*Q57/100</f>
        <v>0.33300000000000002</v>
      </c>
      <c r="Q57" s="14">
        <v>100</v>
      </c>
    </row>
    <row r="58" spans="1:17" s="2" customFormat="1" ht="24.95" customHeight="1" x14ac:dyDescent="0.25">
      <c r="A58" s="6" t="s">
        <v>452</v>
      </c>
      <c r="B58" s="9"/>
      <c r="C58" s="10"/>
      <c r="D58" s="56"/>
      <c r="E58" s="56"/>
      <c r="F58" s="56"/>
      <c r="G58" s="56"/>
      <c r="H58" s="56"/>
      <c r="I58" s="7"/>
      <c r="J58" s="7"/>
      <c r="K58" s="7"/>
      <c r="L58" s="8"/>
      <c r="M58" s="31" t="s">
        <v>519</v>
      </c>
      <c r="N58" s="20" t="s">
        <v>520</v>
      </c>
      <c r="O58" s="19" t="s">
        <v>521</v>
      </c>
      <c r="P58" s="19">
        <f>AVERAGE(P59:P89)</f>
        <v>0.33300000000000002</v>
      </c>
      <c r="Q58" s="20" t="s">
        <v>522</v>
      </c>
    </row>
    <row r="59" spans="1:17" s="3" customFormat="1" ht="51.75" customHeight="1" x14ac:dyDescent="0.25">
      <c r="A59" s="738" t="s">
        <v>612</v>
      </c>
      <c r="B59" s="740">
        <v>12</v>
      </c>
      <c r="C59" s="742" t="s">
        <v>613</v>
      </c>
      <c r="D59" s="62" t="s">
        <v>614</v>
      </c>
      <c r="E59" s="453"/>
      <c r="F59" s="63" t="s">
        <v>615</v>
      </c>
      <c r="G59" s="62"/>
      <c r="H59" s="62"/>
      <c r="I59" s="734"/>
      <c r="J59" s="734"/>
      <c r="K59" s="451"/>
      <c r="L59" s="451"/>
      <c r="M59" s="731"/>
      <c r="N59" s="16"/>
      <c r="O59" s="37"/>
      <c r="P59" s="37"/>
      <c r="Q59" s="14"/>
    </row>
    <row r="60" spans="1:17" s="3" customFormat="1" ht="39.950000000000003" customHeight="1" x14ac:dyDescent="0.25">
      <c r="A60" s="739"/>
      <c r="B60" s="741"/>
      <c r="C60" s="743"/>
      <c r="D60" s="62" t="s">
        <v>616</v>
      </c>
      <c r="E60" s="62"/>
      <c r="F60" s="62" t="s">
        <v>617</v>
      </c>
      <c r="G60" s="62"/>
      <c r="H60" s="62" t="s">
        <v>618</v>
      </c>
      <c r="I60" s="744"/>
      <c r="J60" s="744"/>
      <c r="K60" s="456"/>
      <c r="L60" s="456"/>
      <c r="M60" s="732"/>
      <c r="N60" s="16"/>
      <c r="O60" s="37"/>
      <c r="P60" s="37"/>
      <c r="Q60" s="14"/>
    </row>
    <row r="61" spans="1:17" s="3" customFormat="1" ht="36" customHeight="1" x14ac:dyDescent="0.25">
      <c r="A61" s="739"/>
      <c r="B61" s="741"/>
      <c r="C61" s="743"/>
      <c r="D61" s="62" t="s">
        <v>616</v>
      </c>
      <c r="E61" s="62"/>
      <c r="F61" s="62" t="s">
        <v>619</v>
      </c>
      <c r="G61" s="62"/>
      <c r="H61" s="62" t="s">
        <v>620</v>
      </c>
      <c r="I61" s="22"/>
      <c r="J61" s="23"/>
      <c r="K61" s="23"/>
      <c r="L61" s="25"/>
      <c r="M61" s="733"/>
      <c r="N61" s="14">
        <v>2</v>
      </c>
      <c r="O61" s="18">
        <f>IF(N61=1,0)+IF(N61=2,0.333)+IF(N61=3,0.666)+IF(N61=4,100%)</f>
        <v>0.33300000000000002</v>
      </c>
      <c r="P61" s="18">
        <f>O61*Q61/100</f>
        <v>0.33300000000000002</v>
      </c>
      <c r="Q61" s="14">
        <v>100</v>
      </c>
    </row>
    <row r="62" spans="1:17" s="3" customFormat="1" ht="30" customHeight="1" x14ac:dyDescent="0.25">
      <c r="A62" s="739"/>
      <c r="B62" s="741"/>
      <c r="C62" s="743"/>
      <c r="D62" s="62" t="s">
        <v>616</v>
      </c>
      <c r="E62" s="55"/>
      <c r="F62" s="62" t="s">
        <v>621</v>
      </c>
      <c r="G62" s="62"/>
      <c r="H62" s="62" t="s">
        <v>622</v>
      </c>
      <c r="I62" s="734"/>
      <c r="J62" s="736"/>
      <c r="K62" s="451"/>
      <c r="L62" s="451"/>
      <c r="M62" s="731"/>
      <c r="N62" s="14"/>
      <c r="O62" s="18"/>
      <c r="P62" s="18"/>
      <c r="Q62" s="14"/>
    </row>
    <row r="63" spans="1:17" s="3" customFormat="1" ht="39.75" customHeight="1" x14ac:dyDescent="0.25">
      <c r="A63" s="739"/>
      <c r="B63" s="741"/>
      <c r="C63" s="743"/>
      <c r="D63" s="62" t="s">
        <v>616</v>
      </c>
      <c r="E63" s="55"/>
      <c r="F63" s="55" t="s">
        <v>623</v>
      </c>
      <c r="G63" s="55"/>
      <c r="H63" s="55" t="s">
        <v>624</v>
      </c>
      <c r="I63" s="735"/>
      <c r="J63" s="737"/>
      <c r="K63" s="452"/>
      <c r="L63" s="452"/>
      <c r="M63" s="732"/>
      <c r="N63" s="16"/>
      <c r="O63" s="37"/>
      <c r="P63" s="37"/>
      <c r="Q63" s="14"/>
    </row>
    <row r="64" spans="1:17" s="3" customFormat="1" ht="36" customHeight="1" x14ac:dyDescent="0.25">
      <c r="A64" s="66"/>
      <c r="B64" s="64"/>
      <c r="C64" s="51"/>
      <c r="D64" s="55"/>
      <c r="E64" s="55"/>
      <c r="F64" s="55"/>
      <c r="G64" s="55"/>
      <c r="H64" s="55"/>
      <c r="I64" s="22"/>
      <c r="J64" s="23"/>
      <c r="K64" s="23"/>
      <c r="L64" s="25"/>
      <c r="M64" s="733"/>
      <c r="N64" s="14">
        <v>2</v>
      </c>
      <c r="O64" s="18">
        <f>IF(N64=1,0)+IF(N64=2,0.333)+IF(N64=3,0.666)+IF(N64=4,100%)</f>
        <v>0.33300000000000002</v>
      </c>
      <c r="P64" s="18">
        <f>O64*Q64/100</f>
        <v>0.33300000000000002</v>
      </c>
      <c r="Q64" s="14">
        <v>100</v>
      </c>
    </row>
  </sheetData>
  <mergeCells count="56">
    <mergeCell ref="A15:A16"/>
    <mergeCell ref="B15:B16"/>
    <mergeCell ref="C15:C16"/>
    <mergeCell ref="M15:M16"/>
    <mergeCell ref="A2:L4"/>
    <mergeCell ref="B5:C5"/>
    <mergeCell ref="B6:C6"/>
    <mergeCell ref="I6:I7"/>
    <mergeCell ref="J6:J7"/>
    <mergeCell ref="K6:K7"/>
    <mergeCell ref="L6:L7"/>
    <mergeCell ref="A9:A10"/>
    <mergeCell ref="B9:B10"/>
    <mergeCell ref="C9:C10"/>
    <mergeCell ref="M9:M10"/>
    <mergeCell ref="M11:M12"/>
    <mergeCell ref="A17:A18"/>
    <mergeCell ref="B17:B18"/>
    <mergeCell ref="C17:C18"/>
    <mergeCell ref="M17:M18"/>
    <mergeCell ref="A20:A23"/>
    <mergeCell ref="B20:B23"/>
    <mergeCell ref="C20:C23"/>
    <mergeCell ref="M20:M23"/>
    <mergeCell ref="A24:A32"/>
    <mergeCell ref="B24:B32"/>
    <mergeCell ref="C24:C32"/>
    <mergeCell ref="M24:M32"/>
    <mergeCell ref="A33:A38"/>
    <mergeCell ref="B33:B38"/>
    <mergeCell ref="C33:C38"/>
    <mergeCell ref="F33:F34"/>
    <mergeCell ref="M33:M38"/>
    <mergeCell ref="A39:A43"/>
    <mergeCell ref="B39:B43"/>
    <mergeCell ref="C39:C43"/>
    <mergeCell ref="M39:M43"/>
    <mergeCell ref="A44:A45"/>
    <mergeCell ref="B44:B45"/>
    <mergeCell ref="C44:C45"/>
    <mergeCell ref="M44:M57"/>
    <mergeCell ref="A46:A57"/>
    <mergeCell ref="B46:B57"/>
    <mergeCell ref="C46:C57"/>
    <mergeCell ref="D46:D47"/>
    <mergeCell ref="F46:F47"/>
    <mergeCell ref="D48:D49"/>
    <mergeCell ref="M59:M61"/>
    <mergeCell ref="I62:I63"/>
    <mergeCell ref="J62:J63"/>
    <mergeCell ref="M62:M64"/>
    <mergeCell ref="A59:A63"/>
    <mergeCell ref="B59:B63"/>
    <mergeCell ref="C59:C63"/>
    <mergeCell ref="I59:I60"/>
    <mergeCell ref="J59:J6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02E6-D885-4C9A-91C4-DAA9325365C9}">
  <sheetPr codeName="Sheet9"/>
  <dimension ref="A1:B13"/>
  <sheetViews>
    <sheetView workbookViewId="0">
      <selection activeCell="B16" sqref="B16"/>
    </sheetView>
  </sheetViews>
  <sheetFormatPr defaultRowHeight="15" x14ac:dyDescent="0.25"/>
  <sheetData>
    <row r="1" spans="1:2" x14ac:dyDescent="0.25">
      <c r="A1" t="s">
        <v>625</v>
      </c>
    </row>
    <row r="2" spans="1:2" x14ac:dyDescent="0.25">
      <c r="A2" t="s">
        <v>626</v>
      </c>
    </row>
    <row r="3" spans="1:2" x14ac:dyDescent="0.25">
      <c r="A3" t="s">
        <v>627</v>
      </c>
    </row>
    <row r="4" spans="1:2" x14ac:dyDescent="0.25">
      <c r="A4" t="s">
        <v>628</v>
      </c>
    </row>
    <row r="5" spans="1:2" x14ac:dyDescent="0.25">
      <c r="A5" t="s">
        <v>629</v>
      </c>
    </row>
    <row r="6" spans="1:2" x14ac:dyDescent="0.25">
      <c r="A6" t="s">
        <v>630</v>
      </c>
    </row>
    <row r="7" spans="1:2" x14ac:dyDescent="0.25">
      <c r="A7" t="s">
        <v>631</v>
      </c>
    </row>
    <row r="8" spans="1:2" x14ac:dyDescent="0.25">
      <c r="A8" t="s">
        <v>632</v>
      </c>
    </row>
    <row r="10" spans="1:2" x14ac:dyDescent="0.25">
      <c r="A10" s="11" t="s">
        <v>633</v>
      </c>
      <c r="B10" t="s">
        <v>634</v>
      </c>
    </row>
    <row r="11" spans="1:2" x14ac:dyDescent="0.25">
      <c r="A11" s="12" t="s">
        <v>635</v>
      </c>
      <c r="B11" t="s">
        <v>636</v>
      </c>
    </row>
    <row r="12" spans="1:2" x14ac:dyDescent="0.25">
      <c r="A12" t="s">
        <v>637</v>
      </c>
      <c r="B12" t="s">
        <v>638</v>
      </c>
    </row>
    <row r="13" spans="1:2" x14ac:dyDescent="0.25">
      <c r="A13" s="13" t="s">
        <v>639</v>
      </c>
      <c r="B13" t="s">
        <v>640</v>
      </c>
    </row>
  </sheetData>
  <sheetProtection algorithmName="SHA-512" hashValue="ZIzplLsM/RyLemyEZ85P467zRiIsrs4mbg+dNmgBOK0hMHMerVrK17+cO8InyVR7sA3il7ygIz/JiVqxVbUfCw==" saltValue="u+T6242mih3RHvA3TjwP/A==" spinCount="100000" sheet="1" objects="1" scenarios="1"/>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7E29-DD7C-465F-8C69-F302499E275C}">
  <sheetPr codeName="Sheet1"/>
  <dimension ref="A1:J137"/>
  <sheetViews>
    <sheetView zoomScale="80" zoomScaleNormal="80" workbookViewId="0">
      <pane xSplit="1" ySplit="1" topLeftCell="B2" activePane="bottomRight" state="frozen"/>
      <selection pane="topRight" activeCell="C1" sqref="C1"/>
      <selection pane="bottomLeft" activeCell="A8" sqref="A8"/>
      <selection pane="bottomRight" activeCell="F19" sqref="F19"/>
    </sheetView>
  </sheetViews>
  <sheetFormatPr defaultColWidth="9.140625" defaultRowHeight="12.75" x14ac:dyDescent="0.2"/>
  <cols>
    <col min="1" max="1" width="9.85546875" style="94" customWidth="1"/>
    <col min="2" max="3" width="18.42578125" style="102" customWidth="1"/>
    <col min="4" max="4" width="23.140625" style="102" customWidth="1"/>
    <col min="5" max="5" width="15.42578125" style="102" customWidth="1"/>
    <col min="6" max="6" width="58.85546875" style="94" customWidth="1"/>
    <col min="7" max="7" width="11.5703125" style="94" customWidth="1"/>
    <col min="8" max="8" width="15.85546875" style="94" customWidth="1"/>
    <col min="9" max="9" width="91.28515625" style="94" customWidth="1"/>
    <col min="10" max="10" width="27" style="94" customWidth="1"/>
    <col min="11" max="16384" width="9.140625" style="94"/>
  </cols>
  <sheetData>
    <row r="1" spans="1:10" ht="47.25" x14ac:dyDescent="0.2">
      <c r="A1" s="95" t="s">
        <v>5</v>
      </c>
      <c r="B1" s="101" t="s">
        <v>306</v>
      </c>
      <c r="C1" s="99" t="s">
        <v>641</v>
      </c>
      <c r="D1" s="99" t="s">
        <v>642</v>
      </c>
      <c r="E1" s="101" t="s">
        <v>9</v>
      </c>
      <c r="F1" s="96" t="s">
        <v>10</v>
      </c>
      <c r="G1" s="95" t="s">
        <v>11</v>
      </c>
      <c r="H1" s="95" t="s">
        <v>12</v>
      </c>
      <c r="I1" s="96" t="s">
        <v>13</v>
      </c>
      <c r="J1" s="82" t="s">
        <v>14</v>
      </c>
    </row>
    <row r="2" spans="1:10" s="76" customFormat="1" ht="73.5" customHeight="1" x14ac:dyDescent="0.25">
      <c r="A2" s="177"/>
      <c r="B2" s="178" t="s">
        <v>15</v>
      </c>
      <c r="C2" s="178"/>
      <c r="D2" s="178"/>
      <c r="E2" s="179"/>
      <c r="F2" s="177"/>
      <c r="G2" s="177"/>
      <c r="H2" s="177"/>
      <c r="I2" s="177"/>
      <c r="J2" s="80"/>
    </row>
    <row r="3" spans="1:10" s="76" customFormat="1" ht="24" customHeight="1" x14ac:dyDescent="0.25">
      <c r="A3" s="728">
        <v>1</v>
      </c>
      <c r="B3" s="788" t="s">
        <v>524</v>
      </c>
      <c r="C3" s="464" t="s">
        <v>16</v>
      </c>
      <c r="D3" s="464" t="s">
        <v>643</v>
      </c>
      <c r="E3" s="789" t="s">
        <v>644</v>
      </c>
      <c r="F3" s="788" t="s">
        <v>645</v>
      </c>
      <c r="G3" s="463"/>
      <c r="H3" s="180" t="s">
        <v>20</v>
      </c>
      <c r="I3" s="464">
        <v>1</v>
      </c>
      <c r="J3" s="464"/>
    </row>
    <row r="4" spans="1:10" s="76" customFormat="1" ht="25.5" customHeight="1" x14ac:dyDescent="0.25">
      <c r="A4" s="728"/>
      <c r="B4" s="788"/>
      <c r="C4" s="464" t="s">
        <v>16</v>
      </c>
      <c r="D4" s="464" t="s">
        <v>643</v>
      </c>
      <c r="E4" s="789"/>
      <c r="F4" s="788"/>
      <c r="G4" s="463"/>
      <c r="H4" s="180" t="s">
        <v>20</v>
      </c>
      <c r="I4" s="464">
        <v>2</v>
      </c>
      <c r="J4" s="464"/>
    </row>
    <row r="5" spans="1:10" s="76" customFormat="1" ht="22.5" customHeight="1" x14ac:dyDescent="0.25">
      <c r="A5" s="728"/>
      <c r="B5" s="788"/>
      <c r="C5" s="464" t="s">
        <v>16</v>
      </c>
      <c r="D5" s="464" t="s">
        <v>643</v>
      </c>
      <c r="E5" s="789"/>
      <c r="F5" s="788"/>
      <c r="G5" s="463"/>
      <c r="H5" s="180" t="s">
        <v>20</v>
      </c>
      <c r="I5" s="464">
        <v>3</v>
      </c>
      <c r="J5" s="464"/>
    </row>
    <row r="6" spans="1:10" s="76" customFormat="1" ht="22.5" customHeight="1" x14ac:dyDescent="0.25">
      <c r="A6" s="728"/>
      <c r="B6" s="788"/>
      <c r="C6" s="464" t="s">
        <v>16</v>
      </c>
      <c r="D6" s="464" t="s">
        <v>643</v>
      </c>
      <c r="E6" s="789"/>
      <c r="F6" s="788"/>
      <c r="G6" s="463"/>
      <c r="H6" s="180" t="s">
        <v>20</v>
      </c>
      <c r="I6" s="464">
        <v>4</v>
      </c>
      <c r="J6" s="464"/>
    </row>
    <row r="7" spans="1:10" s="76" customFormat="1" ht="21" customHeight="1" x14ac:dyDescent="0.25">
      <c r="A7" s="728"/>
      <c r="B7" s="788"/>
      <c r="C7" s="464" t="s">
        <v>16</v>
      </c>
      <c r="D7" s="464" t="s">
        <v>643</v>
      </c>
      <c r="E7" s="789"/>
      <c r="F7" s="788"/>
      <c r="G7" s="463"/>
      <c r="H7" s="180" t="s">
        <v>20</v>
      </c>
      <c r="I7" s="464">
        <v>5</v>
      </c>
      <c r="J7" s="464"/>
    </row>
    <row r="8" spans="1:10" s="76" customFormat="1" ht="21" customHeight="1" x14ac:dyDescent="0.25">
      <c r="A8" s="728"/>
      <c r="B8" s="788"/>
      <c r="C8" s="464" t="s">
        <v>16</v>
      </c>
      <c r="D8" s="464" t="s">
        <v>643</v>
      </c>
      <c r="E8" s="789"/>
      <c r="F8" s="788"/>
      <c r="G8" s="463"/>
      <c r="H8" s="180" t="s">
        <v>20</v>
      </c>
      <c r="I8" s="464">
        <v>6</v>
      </c>
      <c r="J8" s="464"/>
    </row>
    <row r="9" spans="1:10" s="76" customFormat="1" ht="21.75" customHeight="1" x14ac:dyDescent="0.25">
      <c r="A9" s="728"/>
      <c r="B9" s="788"/>
      <c r="C9" s="464" t="s">
        <v>16</v>
      </c>
      <c r="D9" s="464" t="s">
        <v>643</v>
      </c>
      <c r="E9" s="789"/>
      <c r="F9" s="788"/>
      <c r="G9" s="463"/>
      <c r="H9" s="180" t="s">
        <v>20</v>
      </c>
      <c r="I9" s="464">
        <v>7</v>
      </c>
      <c r="J9" s="464"/>
    </row>
    <row r="10" spans="1:10" s="73" customFormat="1" ht="51.75" customHeight="1" x14ac:dyDescent="0.25">
      <c r="A10" s="728">
        <v>1</v>
      </c>
      <c r="B10" s="691" t="s">
        <v>310</v>
      </c>
      <c r="C10" s="464" t="s">
        <v>16</v>
      </c>
      <c r="D10" s="464" t="s">
        <v>643</v>
      </c>
      <c r="E10" s="464" t="s">
        <v>31</v>
      </c>
      <c r="F10" s="464" t="s">
        <v>646</v>
      </c>
      <c r="G10" s="464" t="s">
        <v>33</v>
      </c>
      <c r="H10" s="183" t="s">
        <v>20</v>
      </c>
      <c r="I10" s="181" t="s">
        <v>647</v>
      </c>
      <c r="J10" s="464"/>
    </row>
    <row r="11" spans="1:10" s="76" customFormat="1" ht="25.5" customHeight="1" x14ac:dyDescent="0.25">
      <c r="A11" s="728"/>
      <c r="B11" s="695"/>
      <c r="C11" s="464" t="s">
        <v>16</v>
      </c>
      <c r="D11" s="464" t="s">
        <v>643</v>
      </c>
      <c r="E11" s="464" t="s">
        <v>31</v>
      </c>
      <c r="F11" s="464" t="s">
        <v>646</v>
      </c>
      <c r="G11" s="464" t="s">
        <v>19</v>
      </c>
      <c r="H11" s="180" t="s">
        <v>20</v>
      </c>
      <c r="I11" s="181" t="s">
        <v>47</v>
      </c>
      <c r="J11" s="464"/>
    </row>
    <row r="12" spans="1:10" s="76" customFormat="1" ht="24.75" customHeight="1" x14ac:dyDescent="0.25">
      <c r="A12" s="728">
        <v>1</v>
      </c>
      <c r="B12" s="695"/>
      <c r="C12" s="464" t="s">
        <v>16</v>
      </c>
      <c r="D12" s="464" t="s">
        <v>643</v>
      </c>
      <c r="E12" s="464" t="s">
        <v>41</v>
      </c>
      <c r="F12" s="181" t="s">
        <v>42</v>
      </c>
      <c r="G12" s="464" t="s">
        <v>33</v>
      </c>
      <c r="H12" s="180" t="s">
        <v>20</v>
      </c>
      <c r="I12" s="181" t="s">
        <v>648</v>
      </c>
      <c r="J12" s="464"/>
    </row>
    <row r="13" spans="1:10" s="76" customFormat="1" ht="25.5" customHeight="1" x14ac:dyDescent="0.25">
      <c r="A13" s="728"/>
      <c r="B13" s="695"/>
      <c r="C13" s="464" t="s">
        <v>16</v>
      </c>
      <c r="D13" s="464" t="s">
        <v>643</v>
      </c>
      <c r="E13" s="464" t="s">
        <v>41</v>
      </c>
      <c r="F13" s="181" t="s">
        <v>649</v>
      </c>
      <c r="G13" s="464" t="s">
        <v>19</v>
      </c>
      <c r="H13" s="180" t="s">
        <v>20</v>
      </c>
      <c r="I13" s="181" t="s">
        <v>47</v>
      </c>
      <c r="J13" s="464"/>
    </row>
    <row r="14" spans="1:10" s="76" customFormat="1" ht="42" customHeight="1" x14ac:dyDescent="0.25">
      <c r="A14" s="728">
        <v>1</v>
      </c>
      <c r="B14" s="695"/>
      <c r="C14" s="464" t="s">
        <v>650</v>
      </c>
      <c r="D14" s="464" t="s">
        <v>20</v>
      </c>
      <c r="E14" s="464" t="s">
        <v>45</v>
      </c>
      <c r="F14" s="464" t="s">
        <v>46</v>
      </c>
      <c r="G14" s="464" t="s">
        <v>33</v>
      </c>
      <c r="H14" s="180" t="s">
        <v>20</v>
      </c>
      <c r="I14" s="464" t="s">
        <v>47</v>
      </c>
      <c r="J14" s="464"/>
    </row>
    <row r="15" spans="1:10" s="76" customFormat="1" ht="42" customHeight="1" x14ac:dyDescent="0.25">
      <c r="A15" s="728"/>
      <c r="B15" s="695"/>
      <c r="C15" s="464" t="s">
        <v>650</v>
      </c>
      <c r="D15" s="464" t="s">
        <v>20</v>
      </c>
      <c r="E15" s="464" t="s">
        <v>45</v>
      </c>
      <c r="F15" s="464" t="s">
        <v>46</v>
      </c>
      <c r="G15" s="464" t="s">
        <v>19</v>
      </c>
      <c r="H15" s="180" t="s">
        <v>20</v>
      </c>
      <c r="I15" s="464" t="s">
        <v>651</v>
      </c>
      <c r="J15" s="464"/>
    </row>
    <row r="16" spans="1:10" s="76" customFormat="1" ht="42" customHeight="1" x14ac:dyDescent="0.25">
      <c r="A16" s="728">
        <v>1</v>
      </c>
      <c r="B16" s="695"/>
      <c r="C16" s="464" t="s">
        <v>16</v>
      </c>
      <c r="D16" s="464" t="s">
        <v>643</v>
      </c>
      <c r="E16" s="464" t="s">
        <v>652</v>
      </c>
      <c r="F16" s="464" t="s">
        <v>653</v>
      </c>
      <c r="G16" s="464" t="s">
        <v>33</v>
      </c>
      <c r="H16" s="180" t="s">
        <v>23</v>
      </c>
      <c r="I16" s="464" t="s">
        <v>654</v>
      </c>
      <c r="J16" s="464"/>
    </row>
    <row r="17" spans="1:10" s="76" customFormat="1" ht="42" customHeight="1" x14ac:dyDescent="0.25">
      <c r="A17" s="728"/>
      <c r="B17" s="695"/>
      <c r="C17" s="464" t="s">
        <v>16</v>
      </c>
      <c r="D17" s="464" t="s">
        <v>643</v>
      </c>
      <c r="E17" s="464" t="s">
        <v>652</v>
      </c>
      <c r="F17" s="464" t="s">
        <v>653</v>
      </c>
      <c r="G17" s="464" t="s">
        <v>19</v>
      </c>
      <c r="H17" s="180" t="s">
        <v>23</v>
      </c>
      <c r="I17" s="464" t="s">
        <v>47</v>
      </c>
      <c r="J17" s="464"/>
    </row>
    <row r="18" spans="1:10" s="76" customFormat="1" ht="42" customHeight="1" x14ac:dyDescent="0.25">
      <c r="A18" s="728">
        <v>1</v>
      </c>
      <c r="B18" s="695"/>
      <c r="C18" s="464" t="s">
        <v>16</v>
      </c>
      <c r="D18" s="464" t="s">
        <v>643</v>
      </c>
      <c r="E18" s="464" t="s">
        <v>41</v>
      </c>
      <c r="F18" s="464" t="s">
        <v>49</v>
      </c>
      <c r="G18" s="464" t="s">
        <v>33</v>
      </c>
      <c r="H18" s="180" t="s">
        <v>23</v>
      </c>
      <c r="I18" s="464" t="s">
        <v>655</v>
      </c>
      <c r="J18" s="464"/>
    </row>
    <row r="19" spans="1:10" s="76" customFormat="1" ht="42" customHeight="1" x14ac:dyDescent="0.25">
      <c r="A19" s="728"/>
      <c r="B19" s="695"/>
      <c r="C19" s="464" t="s">
        <v>16</v>
      </c>
      <c r="D19" s="464" t="s">
        <v>643</v>
      </c>
      <c r="E19" s="464" t="s">
        <v>41</v>
      </c>
      <c r="F19" s="464" t="s">
        <v>49</v>
      </c>
      <c r="G19" s="464" t="s">
        <v>19</v>
      </c>
      <c r="H19" s="180" t="s">
        <v>23</v>
      </c>
      <c r="I19" s="464" t="s">
        <v>47</v>
      </c>
      <c r="J19" s="464"/>
    </row>
    <row r="20" spans="1:10" s="76" customFormat="1" ht="42" customHeight="1" x14ac:dyDescent="0.25">
      <c r="A20" s="728">
        <v>1</v>
      </c>
      <c r="B20" s="695"/>
      <c r="C20" s="464" t="s">
        <v>16</v>
      </c>
      <c r="D20" s="464" t="s">
        <v>643</v>
      </c>
      <c r="E20" s="464" t="s">
        <v>45</v>
      </c>
      <c r="F20" s="464" t="s">
        <v>53</v>
      </c>
      <c r="G20" s="464" t="s">
        <v>33</v>
      </c>
      <c r="H20" s="180" t="s">
        <v>54</v>
      </c>
      <c r="I20" s="464" t="s">
        <v>656</v>
      </c>
      <c r="J20" s="464"/>
    </row>
    <row r="21" spans="1:10" s="76" customFormat="1" ht="42" customHeight="1" x14ac:dyDescent="0.25">
      <c r="A21" s="728"/>
      <c r="B21" s="695"/>
      <c r="C21" s="464" t="s">
        <v>16</v>
      </c>
      <c r="D21" s="464" t="s">
        <v>643</v>
      </c>
      <c r="E21" s="464" t="s">
        <v>45</v>
      </c>
      <c r="F21" s="464" t="s">
        <v>53</v>
      </c>
      <c r="G21" s="464" t="s">
        <v>19</v>
      </c>
      <c r="H21" s="180" t="s">
        <v>23</v>
      </c>
      <c r="I21" s="464" t="s">
        <v>47</v>
      </c>
      <c r="J21" s="464"/>
    </row>
    <row r="22" spans="1:10" s="76" customFormat="1" ht="42" customHeight="1" x14ac:dyDescent="0.25">
      <c r="A22" s="656">
        <v>1</v>
      </c>
      <c r="B22" s="695"/>
      <c r="C22" s="464" t="s">
        <v>650</v>
      </c>
      <c r="D22" s="464" t="s">
        <v>20</v>
      </c>
      <c r="E22" s="464" t="s">
        <v>45</v>
      </c>
      <c r="F22" s="464" t="s">
        <v>657</v>
      </c>
      <c r="G22" s="464" t="s">
        <v>33</v>
      </c>
      <c r="H22" s="180" t="s">
        <v>23</v>
      </c>
      <c r="I22" s="464" t="s">
        <v>658</v>
      </c>
      <c r="J22" s="464"/>
    </row>
    <row r="23" spans="1:10" s="76" customFormat="1" ht="42" customHeight="1" x14ac:dyDescent="0.25">
      <c r="A23" s="657"/>
      <c r="B23" s="692"/>
      <c r="C23" s="464" t="s">
        <v>650</v>
      </c>
      <c r="D23" s="464" t="s">
        <v>20</v>
      </c>
      <c r="E23" s="464" t="s">
        <v>45</v>
      </c>
      <c r="F23" s="464" t="s">
        <v>657</v>
      </c>
      <c r="G23" s="464" t="s">
        <v>19</v>
      </c>
      <c r="H23" s="180" t="s">
        <v>23</v>
      </c>
      <c r="I23" s="464" t="s">
        <v>47</v>
      </c>
      <c r="J23" s="464"/>
    </row>
    <row r="24" spans="1:10" s="76" customFormat="1" ht="24.95" customHeight="1" x14ac:dyDescent="0.25">
      <c r="A24" s="177"/>
      <c r="B24" s="178" t="s">
        <v>73</v>
      </c>
      <c r="C24" s="178"/>
      <c r="D24" s="178"/>
      <c r="E24" s="178"/>
      <c r="F24" s="177"/>
      <c r="G24" s="177"/>
      <c r="H24" s="177"/>
      <c r="I24" s="177"/>
      <c r="J24" s="80"/>
    </row>
    <row r="25" spans="1:10" s="75" customFormat="1" ht="91.5" customHeight="1" x14ac:dyDescent="0.25">
      <c r="A25" s="728">
        <v>1</v>
      </c>
      <c r="B25" s="651" t="s">
        <v>530</v>
      </c>
      <c r="C25" s="443"/>
      <c r="D25" s="464" t="s">
        <v>643</v>
      </c>
      <c r="E25" s="195" t="s">
        <v>659</v>
      </c>
      <c r="F25" s="182" t="s">
        <v>660</v>
      </c>
      <c r="G25" s="464" t="s">
        <v>61</v>
      </c>
      <c r="H25" s="180" t="s">
        <v>20</v>
      </c>
      <c r="I25" s="86" t="s">
        <v>661</v>
      </c>
      <c r="J25" s="73"/>
    </row>
    <row r="26" spans="1:10" s="75" customFormat="1" ht="91.5" customHeight="1" x14ac:dyDescent="0.25">
      <c r="A26" s="728"/>
      <c r="B26" s="652"/>
      <c r="C26" s="444"/>
      <c r="D26" s="464" t="s">
        <v>643</v>
      </c>
      <c r="E26" s="195" t="s">
        <v>659</v>
      </c>
      <c r="F26" s="182" t="s">
        <v>662</v>
      </c>
      <c r="G26" s="464" t="s">
        <v>39</v>
      </c>
      <c r="H26" s="180" t="s">
        <v>20</v>
      </c>
      <c r="I26" s="86" t="s">
        <v>663</v>
      </c>
      <c r="J26" s="73"/>
    </row>
    <row r="27" spans="1:10" s="75" customFormat="1" ht="102.75" customHeight="1" x14ac:dyDescent="0.25">
      <c r="A27" s="656">
        <v>2</v>
      </c>
      <c r="B27" s="652"/>
      <c r="C27" s="444"/>
      <c r="D27" s="464" t="s">
        <v>643</v>
      </c>
      <c r="E27" s="195" t="s">
        <v>659</v>
      </c>
      <c r="F27" s="182" t="s">
        <v>664</v>
      </c>
      <c r="G27" s="464" t="s">
        <v>61</v>
      </c>
      <c r="H27" s="180" t="s">
        <v>20</v>
      </c>
      <c r="I27" s="86" t="s">
        <v>665</v>
      </c>
      <c r="J27" s="73"/>
    </row>
    <row r="28" spans="1:10" s="75" customFormat="1" ht="91.5" customHeight="1" x14ac:dyDescent="0.25">
      <c r="A28" s="657"/>
      <c r="B28" s="652"/>
      <c r="C28" s="444"/>
      <c r="D28" s="464" t="s">
        <v>643</v>
      </c>
      <c r="E28" s="195" t="s">
        <v>659</v>
      </c>
      <c r="F28" s="182" t="s">
        <v>664</v>
      </c>
      <c r="G28" s="464" t="s">
        <v>39</v>
      </c>
      <c r="H28" s="180" t="s">
        <v>20</v>
      </c>
      <c r="I28" s="86" t="s">
        <v>663</v>
      </c>
      <c r="J28" s="73"/>
    </row>
    <row r="29" spans="1:10" s="75" customFormat="1" ht="45" customHeight="1" x14ac:dyDescent="0.25">
      <c r="A29" s="728">
        <v>3</v>
      </c>
      <c r="B29" s="652"/>
      <c r="C29" s="444"/>
      <c r="D29" s="464" t="s">
        <v>643</v>
      </c>
      <c r="E29" s="195" t="s">
        <v>86</v>
      </c>
      <c r="F29" s="183" t="s">
        <v>666</v>
      </c>
      <c r="G29" s="464" t="s">
        <v>61</v>
      </c>
      <c r="H29" s="180" t="s">
        <v>20</v>
      </c>
      <c r="I29" s="86" t="s">
        <v>667</v>
      </c>
      <c r="J29" s="183"/>
    </row>
    <row r="30" spans="1:10" s="75" customFormat="1" ht="70.5" customHeight="1" x14ac:dyDescent="0.25">
      <c r="A30" s="728"/>
      <c r="B30" s="652"/>
      <c r="C30" s="444"/>
      <c r="D30" s="464" t="s">
        <v>643</v>
      </c>
      <c r="E30" s="195" t="s">
        <v>86</v>
      </c>
      <c r="F30" s="183" t="s">
        <v>666</v>
      </c>
      <c r="G30" s="464" t="s">
        <v>39</v>
      </c>
      <c r="H30" s="180" t="s">
        <v>20</v>
      </c>
      <c r="I30" s="184" t="s">
        <v>668</v>
      </c>
      <c r="J30" s="183"/>
    </row>
    <row r="31" spans="1:10" s="75" customFormat="1" ht="54" customHeight="1" x14ac:dyDescent="0.25">
      <c r="A31" s="656">
        <v>4</v>
      </c>
      <c r="B31" s="652"/>
      <c r="C31" s="444"/>
      <c r="D31" s="464" t="s">
        <v>643</v>
      </c>
      <c r="E31" s="195" t="s">
        <v>669</v>
      </c>
      <c r="F31" s="183" t="s">
        <v>670</v>
      </c>
      <c r="G31" s="464" t="s">
        <v>61</v>
      </c>
      <c r="H31" s="180" t="s">
        <v>20</v>
      </c>
      <c r="I31" s="184" t="s">
        <v>671</v>
      </c>
      <c r="J31" s="183"/>
    </row>
    <row r="32" spans="1:10" s="75" customFormat="1" ht="54" customHeight="1" x14ac:dyDescent="0.25">
      <c r="A32" s="657"/>
      <c r="B32" s="652"/>
      <c r="C32" s="444"/>
      <c r="D32" s="464" t="s">
        <v>643</v>
      </c>
      <c r="E32" s="195" t="s">
        <v>669</v>
      </c>
      <c r="F32" s="183" t="s">
        <v>670</v>
      </c>
      <c r="G32" s="464" t="s">
        <v>95</v>
      </c>
      <c r="H32" s="180" t="s">
        <v>20</v>
      </c>
      <c r="I32" s="184" t="s">
        <v>672</v>
      </c>
      <c r="J32" s="183"/>
    </row>
    <row r="33" spans="1:10" s="75" customFormat="1" ht="42.75" customHeight="1" x14ac:dyDescent="0.25">
      <c r="A33" s="656">
        <v>5</v>
      </c>
      <c r="B33" s="652"/>
      <c r="C33" s="444"/>
      <c r="D33" s="464" t="s">
        <v>643</v>
      </c>
      <c r="E33" s="195" t="s">
        <v>89</v>
      </c>
      <c r="F33" s="183" t="s">
        <v>673</v>
      </c>
      <c r="G33" s="464" t="s">
        <v>61</v>
      </c>
      <c r="H33" s="180" t="s">
        <v>20</v>
      </c>
      <c r="I33" s="86" t="s">
        <v>663</v>
      </c>
      <c r="J33" s="183"/>
    </row>
    <row r="34" spans="1:10" s="75" customFormat="1" ht="81.75" customHeight="1" x14ac:dyDescent="0.25">
      <c r="A34" s="657"/>
      <c r="B34" s="653"/>
      <c r="C34" s="445"/>
      <c r="D34" s="464" t="s">
        <v>643</v>
      </c>
      <c r="E34" s="195" t="s">
        <v>89</v>
      </c>
      <c r="F34" s="183" t="s">
        <v>673</v>
      </c>
      <c r="G34" s="464" t="s">
        <v>95</v>
      </c>
      <c r="H34" s="180" t="s">
        <v>20</v>
      </c>
      <c r="I34" s="86" t="s">
        <v>674</v>
      </c>
      <c r="J34" s="183"/>
    </row>
    <row r="35" spans="1:10" s="76" customFormat="1" ht="60" customHeight="1" x14ac:dyDescent="0.25">
      <c r="A35" s="790">
        <v>1</v>
      </c>
      <c r="B35" s="460" t="s">
        <v>675</v>
      </c>
      <c r="C35" s="460"/>
      <c r="D35" s="76" t="s">
        <v>20</v>
      </c>
      <c r="E35" s="76" t="s">
        <v>98</v>
      </c>
      <c r="F35" s="76" t="s">
        <v>99</v>
      </c>
      <c r="G35" s="76" t="s">
        <v>61</v>
      </c>
      <c r="H35" s="76" t="s">
        <v>23</v>
      </c>
      <c r="I35" s="185" t="s">
        <v>100</v>
      </c>
    </row>
    <row r="36" spans="1:10" s="76" customFormat="1" ht="60" customHeight="1" x14ac:dyDescent="0.25">
      <c r="A36" s="790"/>
      <c r="B36" s="460" t="s">
        <v>675</v>
      </c>
      <c r="C36" s="460"/>
      <c r="D36" s="76" t="s">
        <v>23</v>
      </c>
      <c r="E36" s="76" t="s">
        <v>98</v>
      </c>
      <c r="F36" s="76" t="s">
        <v>99</v>
      </c>
      <c r="G36" s="76" t="s">
        <v>39</v>
      </c>
      <c r="H36" s="76" t="s">
        <v>23</v>
      </c>
      <c r="I36" s="185" t="s">
        <v>101</v>
      </c>
    </row>
    <row r="37" spans="1:10" s="76" customFormat="1" ht="60" customHeight="1" x14ac:dyDescent="0.25">
      <c r="A37" s="651">
        <v>1</v>
      </c>
      <c r="B37" s="76" t="s">
        <v>676</v>
      </c>
      <c r="D37" s="76" t="s">
        <v>23</v>
      </c>
      <c r="E37" s="460" t="s">
        <v>102</v>
      </c>
      <c r="F37" s="76" t="s">
        <v>103</v>
      </c>
      <c r="G37" s="76" t="s">
        <v>61</v>
      </c>
      <c r="H37" s="76" t="s">
        <v>23</v>
      </c>
      <c r="I37" s="185" t="s">
        <v>104</v>
      </c>
    </row>
    <row r="38" spans="1:10" s="76" customFormat="1" ht="60" customHeight="1" x14ac:dyDescent="0.25">
      <c r="A38" s="653"/>
      <c r="B38" s="76" t="s">
        <v>676</v>
      </c>
      <c r="D38" s="76" t="s">
        <v>23</v>
      </c>
      <c r="E38" s="460" t="s">
        <v>102</v>
      </c>
      <c r="F38" s="76" t="s">
        <v>103</v>
      </c>
      <c r="G38" s="76" t="s">
        <v>39</v>
      </c>
      <c r="H38" s="76" t="s">
        <v>23</v>
      </c>
      <c r="I38" s="185" t="s">
        <v>326</v>
      </c>
    </row>
    <row r="39" spans="1:10" s="76" customFormat="1" ht="60" customHeight="1" x14ac:dyDescent="0.25">
      <c r="A39" s="651">
        <v>2</v>
      </c>
      <c r="B39" s="76" t="s">
        <v>676</v>
      </c>
      <c r="D39" s="76" t="s">
        <v>23</v>
      </c>
      <c r="E39" s="460" t="s">
        <v>102</v>
      </c>
      <c r="F39" s="76" t="s">
        <v>105</v>
      </c>
      <c r="G39" s="76" t="s">
        <v>61</v>
      </c>
      <c r="H39" s="76" t="s">
        <v>23</v>
      </c>
      <c r="I39" s="185" t="s">
        <v>106</v>
      </c>
    </row>
    <row r="40" spans="1:10" s="76" customFormat="1" ht="60" customHeight="1" x14ac:dyDescent="0.25">
      <c r="A40" s="653"/>
      <c r="B40" s="76" t="s">
        <v>676</v>
      </c>
      <c r="D40" s="76" t="s">
        <v>23</v>
      </c>
      <c r="E40" s="460" t="s">
        <v>102</v>
      </c>
      <c r="F40" s="76" t="s">
        <v>105</v>
      </c>
      <c r="G40" s="76" t="s">
        <v>39</v>
      </c>
      <c r="H40" s="76" t="s">
        <v>23</v>
      </c>
      <c r="I40" s="185" t="s">
        <v>326</v>
      </c>
    </row>
    <row r="41" spans="1:10" s="76" customFormat="1" ht="67.5" customHeight="1" x14ac:dyDescent="0.25">
      <c r="A41" s="651">
        <v>3</v>
      </c>
      <c r="B41" s="76" t="s">
        <v>676</v>
      </c>
      <c r="D41" s="76" t="s">
        <v>23</v>
      </c>
      <c r="E41" s="460" t="s">
        <v>107</v>
      </c>
      <c r="F41" s="76" t="s">
        <v>108</v>
      </c>
      <c r="G41" s="76" t="s">
        <v>61</v>
      </c>
      <c r="H41" s="76" t="s">
        <v>23</v>
      </c>
      <c r="I41" s="185" t="s">
        <v>109</v>
      </c>
    </row>
    <row r="42" spans="1:10" s="76" customFormat="1" ht="60" customHeight="1" x14ac:dyDescent="0.25">
      <c r="A42" s="653"/>
      <c r="B42" s="76" t="s">
        <v>676</v>
      </c>
      <c r="D42" s="76" t="s">
        <v>23</v>
      </c>
      <c r="E42" s="460" t="s">
        <v>107</v>
      </c>
      <c r="F42" s="76" t="s">
        <v>108</v>
      </c>
      <c r="G42" s="76" t="s">
        <v>39</v>
      </c>
      <c r="H42" s="76" t="s">
        <v>23</v>
      </c>
      <c r="I42" s="185" t="s">
        <v>111</v>
      </c>
    </row>
    <row r="43" spans="1:10" s="76" customFormat="1" ht="60" customHeight="1" x14ac:dyDescent="0.25">
      <c r="A43" s="651">
        <v>1</v>
      </c>
      <c r="B43" s="76" t="s">
        <v>677</v>
      </c>
      <c r="D43" s="76" t="s">
        <v>23</v>
      </c>
      <c r="E43" s="460" t="s">
        <v>678</v>
      </c>
      <c r="F43" s="76" t="s">
        <v>679</v>
      </c>
      <c r="G43" s="76" t="s">
        <v>61</v>
      </c>
      <c r="H43" s="76" t="s">
        <v>23</v>
      </c>
      <c r="I43" s="185" t="s">
        <v>680</v>
      </c>
    </row>
    <row r="44" spans="1:10" s="76" customFormat="1" ht="60" customHeight="1" x14ac:dyDescent="0.25">
      <c r="A44" s="653"/>
      <c r="B44" s="76" t="s">
        <v>677</v>
      </c>
      <c r="D44" s="76" t="s">
        <v>23</v>
      </c>
      <c r="E44" s="460" t="s">
        <v>678</v>
      </c>
      <c r="F44" s="76" t="s">
        <v>679</v>
      </c>
      <c r="G44" s="76" t="s">
        <v>39</v>
      </c>
      <c r="H44" s="76" t="s">
        <v>23</v>
      </c>
      <c r="I44" s="185" t="s">
        <v>681</v>
      </c>
    </row>
    <row r="45" spans="1:10" s="76" customFormat="1" ht="24.95" customHeight="1" x14ac:dyDescent="0.25">
      <c r="A45" s="177"/>
      <c r="B45" s="178" t="s">
        <v>112</v>
      </c>
      <c r="C45" s="178"/>
      <c r="D45" s="178"/>
      <c r="E45" s="178"/>
      <c r="F45" s="177"/>
      <c r="G45" s="177"/>
      <c r="H45" s="177"/>
      <c r="I45" s="177"/>
      <c r="J45" s="80"/>
    </row>
    <row r="46" spans="1:10" s="198" customFormat="1" ht="53.25" customHeight="1" x14ac:dyDescent="0.25">
      <c r="A46" s="786"/>
      <c r="B46" s="196" t="s">
        <v>328</v>
      </c>
      <c r="C46" s="196"/>
      <c r="D46" s="197"/>
      <c r="E46" s="197" t="s">
        <v>114</v>
      </c>
      <c r="F46" s="197" t="s">
        <v>115</v>
      </c>
      <c r="G46" s="197" t="s">
        <v>61</v>
      </c>
      <c r="H46" s="197" t="s">
        <v>23</v>
      </c>
      <c r="I46" s="197" t="s">
        <v>116</v>
      </c>
      <c r="J46" s="198" t="s">
        <v>682</v>
      </c>
    </row>
    <row r="47" spans="1:10" s="198" customFormat="1" ht="56.25" customHeight="1" x14ac:dyDescent="0.25">
      <c r="A47" s="786"/>
      <c r="B47" s="196" t="s">
        <v>328</v>
      </c>
      <c r="C47" s="196"/>
      <c r="D47" s="197"/>
      <c r="E47" s="197" t="s">
        <v>117</v>
      </c>
      <c r="F47" s="197" t="s">
        <v>115</v>
      </c>
      <c r="G47" s="197" t="s">
        <v>39</v>
      </c>
      <c r="H47" s="197" t="s">
        <v>23</v>
      </c>
      <c r="I47" s="197" t="s">
        <v>118</v>
      </c>
    </row>
    <row r="48" spans="1:10" s="180" customFormat="1" ht="133.5" customHeight="1" x14ac:dyDescent="0.25">
      <c r="A48" s="786">
        <v>1</v>
      </c>
      <c r="B48" s="465" t="s">
        <v>347</v>
      </c>
      <c r="C48" s="465"/>
      <c r="D48" s="465" t="s">
        <v>311</v>
      </c>
      <c r="E48" s="465" t="s">
        <v>120</v>
      </c>
      <c r="F48" s="180" t="s">
        <v>683</v>
      </c>
      <c r="G48" s="180" t="s">
        <v>33</v>
      </c>
      <c r="H48" s="180" t="s">
        <v>23</v>
      </c>
      <c r="I48" s="180" t="s">
        <v>684</v>
      </c>
      <c r="J48" s="180" t="s">
        <v>685</v>
      </c>
    </row>
    <row r="49" spans="1:10" s="180" customFormat="1" ht="133.5" customHeight="1" x14ac:dyDescent="0.25">
      <c r="A49" s="786"/>
      <c r="B49" s="465" t="s">
        <v>347</v>
      </c>
      <c r="C49" s="465"/>
      <c r="D49" s="465" t="s">
        <v>311</v>
      </c>
      <c r="E49" s="465" t="s">
        <v>120</v>
      </c>
      <c r="F49" s="180" t="s">
        <v>683</v>
      </c>
      <c r="G49" s="180" t="s">
        <v>19</v>
      </c>
      <c r="H49" s="180" t="s">
        <v>23</v>
      </c>
      <c r="I49" s="180" t="s">
        <v>326</v>
      </c>
    </row>
    <row r="50" spans="1:10" s="180" customFormat="1" ht="134.25" customHeight="1" x14ac:dyDescent="0.25">
      <c r="A50" s="786"/>
      <c r="B50" s="465" t="s">
        <v>347</v>
      </c>
      <c r="C50" s="465"/>
      <c r="D50" s="465" t="s">
        <v>311</v>
      </c>
      <c r="E50" s="465" t="s">
        <v>120</v>
      </c>
      <c r="F50" s="180" t="s">
        <v>686</v>
      </c>
      <c r="G50" s="180" t="s">
        <v>95</v>
      </c>
      <c r="H50" s="180" t="s">
        <v>687</v>
      </c>
      <c r="I50" s="186" t="s">
        <v>688</v>
      </c>
      <c r="J50" s="462"/>
    </row>
    <row r="51" spans="1:10" s="180" customFormat="1" ht="100.5" customHeight="1" x14ac:dyDescent="0.25">
      <c r="A51" s="786">
        <v>1</v>
      </c>
      <c r="B51" s="465" t="s">
        <v>127</v>
      </c>
      <c r="C51" s="465"/>
      <c r="D51" s="465" t="s">
        <v>311</v>
      </c>
      <c r="E51" s="465" t="s">
        <v>125</v>
      </c>
      <c r="F51" s="180" t="s">
        <v>689</v>
      </c>
      <c r="G51" s="180" t="s">
        <v>61</v>
      </c>
      <c r="H51" s="180" t="s">
        <v>23</v>
      </c>
      <c r="I51" s="180" t="s">
        <v>332</v>
      </c>
      <c r="J51" s="180" t="s">
        <v>690</v>
      </c>
    </row>
    <row r="52" spans="1:10" s="180" customFormat="1" ht="100.5" customHeight="1" x14ac:dyDescent="0.25">
      <c r="A52" s="786"/>
      <c r="B52" s="465" t="s">
        <v>127</v>
      </c>
      <c r="C52" s="465"/>
      <c r="D52" s="465" t="s">
        <v>311</v>
      </c>
      <c r="E52" s="465" t="s">
        <v>125</v>
      </c>
      <c r="F52" s="180" t="s">
        <v>689</v>
      </c>
      <c r="G52" s="180" t="s">
        <v>19</v>
      </c>
      <c r="H52" s="180" t="s">
        <v>137</v>
      </c>
      <c r="I52" s="180" t="s">
        <v>326</v>
      </c>
    </row>
    <row r="53" spans="1:10" s="180" customFormat="1" ht="88.5" customHeight="1" x14ac:dyDescent="0.25">
      <c r="A53" s="786"/>
      <c r="B53" s="465" t="s">
        <v>127</v>
      </c>
      <c r="C53" s="465"/>
      <c r="D53" s="465" t="s">
        <v>311</v>
      </c>
      <c r="E53" s="465" t="s">
        <v>127</v>
      </c>
      <c r="F53" s="180" t="s">
        <v>689</v>
      </c>
      <c r="G53" s="180" t="s">
        <v>95</v>
      </c>
      <c r="H53" s="180" t="s">
        <v>691</v>
      </c>
      <c r="I53" s="186" t="s">
        <v>692</v>
      </c>
    </row>
    <row r="54" spans="1:10" s="180" customFormat="1" ht="76.5" x14ac:dyDescent="0.25">
      <c r="A54" s="786">
        <v>1</v>
      </c>
      <c r="B54" s="465" t="s">
        <v>357</v>
      </c>
      <c r="C54" s="465"/>
      <c r="D54" s="465" t="s">
        <v>311</v>
      </c>
      <c r="E54" s="465" t="s">
        <v>129</v>
      </c>
      <c r="F54" s="180" t="s">
        <v>693</v>
      </c>
      <c r="G54" s="180" t="s">
        <v>61</v>
      </c>
      <c r="H54" s="180" t="s">
        <v>54</v>
      </c>
      <c r="I54" s="180" t="s">
        <v>694</v>
      </c>
      <c r="J54" s="180" t="s">
        <v>695</v>
      </c>
    </row>
    <row r="55" spans="1:10" s="180" customFormat="1" ht="46.5" customHeight="1" x14ac:dyDescent="0.25">
      <c r="A55" s="786"/>
      <c r="B55" s="465" t="s">
        <v>357</v>
      </c>
      <c r="C55" s="465"/>
      <c r="D55" s="465" t="s">
        <v>311</v>
      </c>
      <c r="E55" s="465" t="s">
        <v>129</v>
      </c>
      <c r="F55" s="180" t="s">
        <v>693</v>
      </c>
      <c r="G55" s="180" t="s">
        <v>61</v>
      </c>
      <c r="H55" s="180" t="s">
        <v>360</v>
      </c>
      <c r="I55" s="180" t="s">
        <v>332</v>
      </c>
    </row>
    <row r="56" spans="1:10" s="180" customFormat="1" ht="57" customHeight="1" x14ac:dyDescent="0.25">
      <c r="A56" s="786"/>
      <c r="B56" s="465" t="s">
        <v>357</v>
      </c>
      <c r="C56" s="465"/>
      <c r="D56" s="465" t="s">
        <v>311</v>
      </c>
      <c r="E56" s="465" t="s">
        <v>129</v>
      </c>
      <c r="F56" s="180" t="s">
        <v>693</v>
      </c>
      <c r="G56" s="180" t="s">
        <v>95</v>
      </c>
      <c r="H56" s="180" t="s">
        <v>358</v>
      </c>
      <c r="I56" s="180" t="s">
        <v>696</v>
      </c>
    </row>
    <row r="57" spans="1:10" s="180" customFormat="1" ht="63.75" x14ac:dyDescent="0.25">
      <c r="A57" s="786"/>
      <c r="B57" s="465" t="s">
        <v>357</v>
      </c>
      <c r="C57" s="465"/>
      <c r="D57" s="465" t="s">
        <v>311</v>
      </c>
      <c r="E57" s="465" t="s">
        <v>129</v>
      </c>
      <c r="F57" s="180" t="s">
        <v>693</v>
      </c>
      <c r="G57" s="180" t="s">
        <v>39</v>
      </c>
      <c r="H57" s="180" t="s">
        <v>23</v>
      </c>
      <c r="I57" s="180" t="s">
        <v>697</v>
      </c>
    </row>
    <row r="58" spans="1:10" s="180" customFormat="1" ht="57" customHeight="1" x14ac:dyDescent="0.25">
      <c r="A58" s="786">
        <v>1</v>
      </c>
      <c r="B58" s="465" t="s">
        <v>357</v>
      </c>
      <c r="C58" s="465"/>
      <c r="D58" s="465" t="s">
        <v>311</v>
      </c>
      <c r="E58" s="465" t="s">
        <v>140</v>
      </c>
      <c r="F58" s="162" t="s">
        <v>363</v>
      </c>
      <c r="G58" s="180" t="s">
        <v>364</v>
      </c>
      <c r="H58" s="180" t="s">
        <v>365</v>
      </c>
      <c r="I58" s="180" t="s">
        <v>698</v>
      </c>
    </row>
    <row r="59" spans="1:10" s="180" customFormat="1" ht="57" customHeight="1" x14ac:dyDescent="0.25">
      <c r="A59" s="786"/>
      <c r="B59" s="465" t="s">
        <v>357</v>
      </c>
      <c r="C59" s="465"/>
      <c r="D59" s="465" t="s">
        <v>311</v>
      </c>
      <c r="E59" s="465" t="s">
        <v>140</v>
      </c>
      <c r="F59" s="162" t="s">
        <v>363</v>
      </c>
      <c r="G59" s="180" t="s">
        <v>364</v>
      </c>
      <c r="H59" s="180" t="s">
        <v>367</v>
      </c>
      <c r="I59" s="162" t="s">
        <v>699</v>
      </c>
    </row>
    <row r="60" spans="1:10" s="180" customFormat="1" ht="127.5" x14ac:dyDescent="0.25">
      <c r="A60" s="786"/>
      <c r="B60" s="465" t="s">
        <v>357</v>
      </c>
      <c r="C60" s="465"/>
      <c r="D60" s="465" t="s">
        <v>311</v>
      </c>
      <c r="E60" s="465" t="s">
        <v>140</v>
      </c>
      <c r="F60" s="162" t="s">
        <v>363</v>
      </c>
      <c r="G60" s="180" t="s">
        <v>95</v>
      </c>
      <c r="H60" s="180" t="s">
        <v>23</v>
      </c>
      <c r="I60" s="180" t="s">
        <v>700</v>
      </c>
    </row>
    <row r="61" spans="1:10" s="180" customFormat="1" ht="57.75" customHeight="1" x14ac:dyDescent="0.25">
      <c r="A61" s="786"/>
      <c r="B61" s="465" t="s">
        <v>357</v>
      </c>
      <c r="C61" s="465"/>
      <c r="D61" s="465" t="s">
        <v>311</v>
      </c>
      <c r="E61" s="465" t="s">
        <v>140</v>
      </c>
      <c r="F61" s="162" t="s">
        <v>363</v>
      </c>
      <c r="G61" s="180" t="s">
        <v>95</v>
      </c>
      <c r="H61" s="180" t="s">
        <v>369</v>
      </c>
      <c r="I61" s="180" t="s">
        <v>701</v>
      </c>
    </row>
    <row r="62" spans="1:10" s="180" customFormat="1" ht="57.75" customHeight="1" x14ac:dyDescent="0.25">
      <c r="A62" s="786"/>
      <c r="B62" s="465" t="s">
        <v>357</v>
      </c>
      <c r="C62" s="465"/>
      <c r="D62" s="465" t="s">
        <v>311</v>
      </c>
      <c r="E62" s="465" t="s">
        <v>140</v>
      </c>
      <c r="F62" s="162" t="s">
        <v>702</v>
      </c>
      <c r="G62" s="180" t="s">
        <v>33</v>
      </c>
      <c r="H62" s="180" t="s">
        <v>369</v>
      </c>
      <c r="I62" s="180" t="s">
        <v>703</v>
      </c>
    </row>
    <row r="63" spans="1:10" s="180" customFormat="1" ht="57.75" customHeight="1" x14ac:dyDescent="0.25">
      <c r="A63" s="786"/>
      <c r="B63" s="465" t="s">
        <v>357</v>
      </c>
      <c r="C63" s="465"/>
      <c r="D63" s="465" t="s">
        <v>311</v>
      </c>
      <c r="E63" s="465" t="s">
        <v>140</v>
      </c>
      <c r="F63" s="162" t="s">
        <v>702</v>
      </c>
      <c r="G63" s="180" t="s">
        <v>33</v>
      </c>
      <c r="H63" s="180" t="s">
        <v>375</v>
      </c>
      <c r="I63" s="180" t="s">
        <v>376</v>
      </c>
    </row>
    <row r="64" spans="1:10" s="180" customFormat="1" ht="57.75" customHeight="1" x14ac:dyDescent="0.25">
      <c r="A64" s="786"/>
      <c r="B64" s="465" t="s">
        <v>357</v>
      </c>
      <c r="C64" s="465"/>
      <c r="D64" s="465" t="s">
        <v>311</v>
      </c>
      <c r="E64" s="465" t="s">
        <v>140</v>
      </c>
      <c r="F64" s="162" t="s">
        <v>702</v>
      </c>
      <c r="G64" s="180" t="s">
        <v>19</v>
      </c>
      <c r="H64" s="180" t="s">
        <v>369</v>
      </c>
      <c r="I64" s="180" t="s">
        <v>704</v>
      </c>
    </row>
    <row r="65" spans="1:10" s="180" customFormat="1" ht="57.75" customHeight="1" x14ac:dyDescent="0.25">
      <c r="A65" s="786"/>
      <c r="B65" s="465" t="s">
        <v>357</v>
      </c>
      <c r="C65" s="465"/>
      <c r="D65" s="465" t="s">
        <v>311</v>
      </c>
      <c r="E65" s="465" t="s">
        <v>140</v>
      </c>
      <c r="F65" s="162" t="s">
        <v>702</v>
      </c>
      <c r="G65" s="180" t="s">
        <v>19</v>
      </c>
      <c r="H65" s="180" t="s">
        <v>375</v>
      </c>
      <c r="I65" s="180" t="s">
        <v>705</v>
      </c>
    </row>
    <row r="66" spans="1:10" s="180" customFormat="1" ht="102" x14ac:dyDescent="0.25">
      <c r="A66" s="786">
        <v>1</v>
      </c>
      <c r="B66" s="465" t="s">
        <v>357</v>
      </c>
      <c r="C66" s="465"/>
      <c r="D66" s="465" t="s">
        <v>311</v>
      </c>
      <c r="E66" s="465" t="s">
        <v>153</v>
      </c>
      <c r="F66" s="162" t="s">
        <v>706</v>
      </c>
      <c r="G66" s="180" t="s">
        <v>95</v>
      </c>
      <c r="H66" s="180" t="s">
        <v>369</v>
      </c>
      <c r="I66" s="162" t="s">
        <v>707</v>
      </c>
      <c r="J66" s="180" t="s">
        <v>708</v>
      </c>
    </row>
    <row r="67" spans="1:10" s="180" customFormat="1" ht="114.75" x14ac:dyDescent="0.25">
      <c r="A67" s="786"/>
      <c r="B67" s="465" t="s">
        <v>357</v>
      </c>
      <c r="C67" s="465"/>
      <c r="D67" s="465" t="s">
        <v>311</v>
      </c>
      <c r="E67" s="465" t="s">
        <v>153</v>
      </c>
      <c r="F67" s="162" t="s">
        <v>706</v>
      </c>
      <c r="G67" s="180" t="s">
        <v>95</v>
      </c>
      <c r="H67" s="180" t="s">
        <v>390</v>
      </c>
      <c r="I67" s="162" t="s">
        <v>707</v>
      </c>
      <c r="J67" s="180" t="s">
        <v>709</v>
      </c>
    </row>
    <row r="68" spans="1:10" s="180" customFormat="1" ht="46.5" customHeight="1" x14ac:dyDescent="0.25">
      <c r="A68" s="786"/>
      <c r="B68" s="465" t="s">
        <v>357</v>
      </c>
      <c r="C68" s="465"/>
      <c r="D68" s="465" t="s">
        <v>311</v>
      </c>
      <c r="E68" s="465" t="s">
        <v>153</v>
      </c>
      <c r="F68" s="162" t="s">
        <v>706</v>
      </c>
      <c r="G68" s="180" t="s">
        <v>61</v>
      </c>
      <c r="H68" s="180" t="s">
        <v>390</v>
      </c>
      <c r="I68" s="180" t="s">
        <v>326</v>
      </c>
    </row>
    <row r="69" spans="1:10" s="180" customFormat="1" ht="46.5" customHeight="1" x14ac:dyDescent="0.25">
      <c r="A69" s="786"/>
      <c r="B69" s="465" t="s">
        <v>357</v>
      </c>
      <c r="C69" s="465"/>
      <c r="D69" s="465" t="s">
        <v>311</v>
      </c>
      <c r="E69" s="465" t="s">
        <v>157</v>
      </c>
      <c r="F69" s="162" t="s">
        <v>706</v>
      </c>
      <c r="G69" s="180" t="s">
        <v>61</v>
      </c>
      <c r="H69" s="180" t="s">
        <v>367</v>
      </c>
      <c r="I69" s="187" t="s">
        <v>710</v>
      </c>
    </row>
    <row r="70" spans="1:10" s="180" customFormat="1" ht="102" x14ac:dyDescent="0.25">
      <c r="A70" s="786">
        <v>1</v>
      </c>
      <c r="B70" s="465" t="s">
        <v>357</v>
      </c>
      <c r="C70" s="465"/>
      <c r="D70" s="465" t="s">
        <v>311</v>
      </c>
      <c r="E70" s="465" t="s">
        <v>165</v>
      </c>
      <c r="F70" s="180" t="s">
        <v>711</v>
      </c>
      <c r="G70" s="180" t="s">
        <v>61</v>
      </c>
      <c r="H70" s="180" t="s">
        <v>687</v>
      </c>
      <c r="I70" s="180" t="s">
        <v>712</v>
      </c>
    </row>
    <row r="71" spans="1:10" s="180" customFormat="1" ht="74.25" customHeight="1" x14ac:dyDescent="0.25">
      <c r="A71" s="786"/>
      <c r="B71" s="465" t="s">
        <v>357</v>
      </c>
      <c r="C71" s="465"/>
      <c r="D71" s="465" t="s">
        <v>311</v>
      </c>
      <c r="E71" s="465" t="s">
        <v>165</v>
      </c>
      <c r="F71" s="180" t="s">
        <v>711</v>
      </c>
      <c r="G71" s="180" t="s">
        <v>61</v>
      </c>
      <c r="H71" s="180" t="s">
        <v>20</v>
      </c>
      <c r="I71" s="162" t="s">
        <v>713</v>
      </c>
    </row>
    <row r="72" spans="1:10" s="180" customFormat="1" ht="46.5" customHeight="1" x14ac:dyDescent="0.25">
      <c r="A72" s="786"/>
      <c r="B72" s="465"/>
      <c r="C72" s="465"/>
      <c r="D72" s="465" t="s">
        <v>311</v>
      </c>
      <c r="E72" s="465" t="s">
        <v>165</v>
      </c>
      <c r="F72" s="180" t="s">
        <v>711</v>
      </c>
      <c r="G72" s="180" t="s">
        <v>61</v>
      </c>
      <c r="H72" s="180" t="s">
        <v>20</v>
      </c>
      <c r="I72" s="180" t="s">
        <v>714</v>
      </c>
    </row>
    <row r="73" spans="1:10" s="180" customFormat="1" ht="46.5" customHeight="1" x14ac:dyDescent="0.25">
      <c r="A73" s="786"/>
      <c r="B73" s="465" t="s">
        <v>357</v>
      </c>
      <c r="C73" s="465"/>
      <c r="D73" s="465" t="s">
        <v>311</v>
      </c>
      <c r="E73" s="465" t="s">
        <v>165</v>
      </c>
      <c r="F73" s="180" t="s">
        <v>711</v>
      </c>
      <c r="G73" s="180" t="s">
        <v>95</v>
      </c>
      <c r="H73" s="180" t="s">
        <v>369</v>
      </c>
      <c r="I73" s="180" t="s">
        <v>173</v>
      </c>
    </row>
    <row r="74" spans="1:10" s="180" customFormat="1" ht="46.5" customHeight="1" x14ac:dyDescent="0.25">
      <c r="A74" s="786"/>
      <c r="B74" s="465" t="s">
        <v>357</v>
      </c>
      <c r="C74" s="465"/>
      <c r="D74" s="465" t="s">
        <v>311</v>
      </c>
      <c r="E74" s="465" t="s">
        <v>165</v>
      </c>
      <c r="F74" s="180" t="s">
        <v>711</v>
      </c>
      <c r="G74" s="180" t="s">
        <v>95</v>
      </c>
      <c r="H74" s="180" t="s">
        <v>390</v>
      </c>
      <c r="I74" s="180" t="s">
        <v>326</v>
      </c>
    </row>
    <row r="75" spans="1:10" s="183" customFormat="1" ht="46.5" customHeight="1" x14ac:dyDescent="0.25">
      <c r="A75" s="787">
        <v>1</v>
      </c>
      <c r="B75" s="460" t="s">
        <v>391</v>
      </c>
      <c r="C75" s="460"/>
      <c r="D75" s="76" t="s">
        <v>392</v>
      </c>
      <c r="E75" s="76" t="s">
        <v>174</v>
      </c>
      <c r="F75" s="76" t="s">
        <v>715</v>
      </c>
      <c r="G75" s="76" t="s">
        <v>39</v>
      </c>
      <c r="H75" s="76" t="s">
        <v>23</v>
      </c>
      <c r="I75" s="76" t="s">
        <v>332</v>
      </c>
    </row>
    <row r="76" spans="1:10" s="183" customFormat="1" ht="46.5" customHeight="1" x14ac:dyDescent="0.25">
      <c r="A76" s="787"/>
      <c r="B76" s="460" t="s">
        <v>391</v>
      </c>
      <c r="C76" s="460"/>
      <c r="D76" s="76" t="s">
        <v>392</v>
      </c>
      <c r="E76" s="76" t="s">
        <v>174</v>
      </c>
      <c r="F76" s="76" t="s">
        <v>715</v>
      </c>
      <c r="G76" s="76" t="s">
        <v>61</v>
      </c>
      <c r="H76" s="76" t="s">
        <v>20</v>
      </c>
      <c r="I76" s="76" t="s">
        <v>716</v>
      </c>
    </row>
    <row r="77" spans="1:10" s="183" customFormat="1" ht="46.5" customHeight="1" x14ac:dyDescent="0.25">
      <c r="A77" s="787"/>
      <c r="B77" s="460" t="s">
        <v>391</v>
      </c>
      <c r="C77" s="460"/>
      <c r="D77" s="76" t="s">
        <v>392</v>
      </c>
      <c r="E77" s="76" t="s">
        <v>174</v>
      </c>
      <c r="F77" s="76" t="s">
        <v>715</v>
      </c>
      <c r="G77" s="76" t="s">
        <v>61</v>
      </c>
      <c r="H77" s="76" t="s">
        <v>369</v>
      </c>
      <c r="I77" s="76" t="s">
        <v>717</v>
      </c>
    </row>
    <row r="78" spans="1:10" s="183" customFormat="1" ht="46.5" customHeight="1" x14ac:dyDescent="0.25">
      <c r="A78" s="787"/>
      <c r="B78" s="460"/>
      <c r="C78" s="460"/>
      <c r="D78" s="76" t="s">
        <v>392</v>
      </c>
      <c r="E78" s="76" t="s">
        <v>183</v>
      </c>
      <c r="F78" s="76" t="s">
        <v>186</v>
      </c>
      <c r="G78" s="76" t="s">
        <v>39</v>
      </c>
      <c r="H78" s="76" t="s">
        <v>23</v>
      </c>
      <c r="I78" s="76" t="s">
        <v>397</v>
      </c>
    </row>
    <row r="79" spans="1:10" s="183" customFormat="1" ht="46.5" customHeight="1" x14ac:dyDescent="0.25">
      <c r="A79" s="787">
        <v>1</v>
      </c>
      <c r="B79" s="460" t="s">
        <v>391</v>
      </c>
      <c r="C79" s="460"/>
      <c r="D79" s="76" t="s">
        <v>392</v>
      </c>
      <c r="E79" s="76" t="s">
        <v>183</v>
      </c>
      <c r="F79" s="76" t="s">
        <v>186</v>
      </c>
      <c r="G79" s="76" t="s">
        <v>61</v>
      </c>
      <c r="H79" s="76" t="s">
        <v>23</v>
      </c>
      <c r="I79" s="76" t="s">
        <v>718</v>
      </c>
    </row>
    <row r="80" spans="1:10" s="183" customFormat="1" ht="46.5" customHeight="1" x14ac:dyDescent="0.25">
      <c r="A80" s="787"/>
      <c r="B80" s="460"/>
      <c r="C80" s="460"/>
      <c r="D80" s="76" t="s">
        <v>392</v>
      </c>
      <c r="E80" s="76" t="s">
        <v>183</v>
      </c>
      <c r="F80" s="76" t="s">
        <v>186</v>
      </c>
      <c r="G80" s="76" t="s">
        <v>61</v>
      </c>
      <c r="H80" s="76" t="s">
        <v>369</v>
      </c>
      <c r="I80" s="76" t="s">
        <v>719</v>
      </c>
    </row>
    <row r="81" spans="1:10" s="183" customFormat="1" ht="46.5" customHeight="1" x14ac:dyDescent="0.25">
      <c r="A81" s="787"/>
      <c r="B81" s="460" t="s">
        <v>391</v>
      </c>
      <c r="C81" s="460"/>
      <c r="D81" s="76" t="s">
        <v>392</v>
      </c>
      <c r="E81" s="76" t="s">
        <v>188</v>
      </c>
      <c r="F81" s="76" t="s">
        <v>400</v>
      </c>
      <c r="G81" s="76" t="s">
        <v>95</v>
      </c>
      <c r="H81" s="76" t="s">
        <v>23</v>
      </c>
      <c r="I81" s="76" t="s">
        <v>326</v>
      </c>
    </row>
    <row r="82" spans="1:10" s="183" customFormat="1" ht="46.5" customHeight="1" x14ac:dyDescent="0.25">
      <c r="A82" s="787"/>
      <c r="B82" s="460" t="s">
        <v>391</v>
      </c>
      <c r="C82" s="460"/>
      <c r="D82" s="76" t="s">
        <v>392</v>
      </c>
      <c r="E82" s="76" t="s">
        <v>188</v>
      </c>
      <c r="F82" s="76" t="s">
        <v>400</v>
      </c>
      <c r="G82" s="76" t="s">
        <v>61</v>
      </c>
      <c r="H82" s="76" t="s">
        <v>23</v>
      </c>
      <c r="I82" s="76" t="s">
        <v>720</v>
      </c>
    </row>
    <row r="83" spans="1:10" s="183" customFormat="1" ht="46.5" customHeight="1" x14ac:dyDescent="0.25">
      <c r="A83" s="787"/>
      <c r="B83" s="460" t="s">
        <v>391</v>
      </c>
      <c r="C83" s="460"/>
      <c r="D83" s="76" t="s">
        <v>392</v>
      </c>
      <c r="E83" s="76" t="s">
        <v>188</v>
      </c>
      <c r="F83" s="76" t="s">
        <v>400</v>
      </c>
      <c r="G83" s="76" t="s">
        <v>61</v>
      </c>
      <c r="H83" s="76" t="s">
        <v>369</v>
      </c>
      <c r="I83" s="76" t="s">
        <v>402</v>
      </c>
    </row>
    <row r="84" spans="1:10" s="183" customFormat="1" ht="46.5" customHeight="1" x14ac:dyDescent="0.25">
      <c r="A84" s="787"/>
      <c r="B84" s="460" t="s">
        <v>391</v>
      </c>
      <c r="C84" s="460"/>
      <c r="D84" s="76" t="s">
        <v>721</v>
      </c>
      <c r="E84" s="76" t="s">
        <v>192</v>
      </c>
      <c r="F84" s="76" t="s">
        <v>193</v>
      </c>
      <c r="G84" s="76" t="s">
        <v>39</v>
      </c>
      <c r="H84" s="76" t="s">
        <v>23</v>
      </c>
      <c r="I84" s="76" t="s">
        <v>405</v>
      </c>
    </row>
    <row r="85" spans="1:10" s="183" customFormat="1" ht="46.5" customHeight="1" x14ac:dyDescent="0.25">
      <c r="A85" s="787">
        <v>1</v>
      </c>
      <c r="B85" s="460" t="s">
        <v>391</v>
      </c>
      <c r="C85" s="460"/>
      <c r="D85" s="76" t="s">
        <v>403</v>
      </c>
      <c r="E85" s="76" t="s">
        <v>192</v>
      </c>
      <c r="F85" s="76" t="s">
        <v>193</v>
      </c>
      <c r="G85" s="76" t="s">
        <v>61</v>
      </c>
      <c r="H85" s="76" t="s">
        <v>23</v>
      </c>
      <c r="I85" s="76" t="s">
        <v>406</v>
      </c>
    </row>
    <row r="86" spans="1:10" s="183" customFormat="1" ht="46.5" customHeight="1" x14ac:dyDescent="0.25">
      <c r="A86" s="787"/>
      <c r="B86" s="460" t="s">
        <v>391</v>
      </c>
      <c r="C86" s="460"/>
      <c r="D86" s="76" t="s">
        <v>403</v>
      </c>
      <c r="E86" s="76" t="s">
        <v>192</v>
      </c>
      <c r="F86" s="76" t="s">
        <v>193</v>
      </c>
      <c r="G86" s="76" t="s">
        <v>61</v>
      </c>
      <c r="H86" s="76" t="s">
        <v>369</v>
      </c>
      <c r="I86" s="76" t="s">
        <v>407</v>
      </c>
    </row>
    <row r="87" spans="1:10" s="183" customFormat="1" ht="46.5" customHeight="1" x14ac:dyDescent="0.25">
      <c r="A87" s="787">
        <v>1</v>
      </c>
      <c r="B87" s="460" t="s">
        <v>391</v>
      </c>
      <c r="C87" s="460"/>
      <c r="D87" s="76" t="s">
        <v>403</v>
      </c>
      <c r="E87" s="76" t="s">
        <v>195</v>
      </c>
      <c r="F87" s="76" t="s">
        <v>196</v>
      </c>
      <c r="G87" s="76" t="s">
        <v>39</v>
      </c>
      <c r="H87" s="76" t="s">
        <v>23</v>
      </c>
      <c r="I87" s="76" t="s">
        <v>397</v>
      </c>
    </row>
    <row r="88" spans="1:10" s="183" customFormat="1" ht="46.5" customHeight="1" x14ac:dyDescent="0.25">
      <c r="A88" s="787"/>
      <c r="B88" s="460" t="s">
        <v>391</v>
      </c>
      <c r="C88" s="460"/>
      <c r="D88" s="76" t="s">
        <v>403</v>
      </c>
      <c r="E88" s="76" t="s">
        <v>195</v>
      </c>
      <c r="F88" s="76" t="s">
        <v>196</v>
      </c>
      <c r="G88" s="76" t="s">
        <v>61</v>
      </c>
      <c r="H88" s="76" t="s">
        <v>23</v>
      </c>
      <c r="I88" s="76" t="s">
        <v>722</v>
      </c>
    </row>
    <row r="89" spans="1:10" s="183" customFormat="1" ht="46.5" customHeight="1" x14ac:dyDescent="0.25">
      <c r="A89" s="787"/>
      <c r="B89" s="460" t="s">
        <v>391</v>
      </c>
      <c r="C89" s="460"/>
      <c r="D89" s="76" t="s">
        <v>403</v>
      </c>
      <c r="E89" s="76" t="s">
        <v>195</v>
      </c>
      <c r="F89" s="76" t="s">
        <v>196</v>
      </c>
      <c r="G89" s="76" t="s">
        <v>61</v>
      </c>
      <c r="H89" s="76" t="s">
        <v>369</v>
      </c>
      <c r="I89" s="76" t="s">
        <v>723</v>
      </c>
    </row>
    <row r="90" spans="1:10" s="180" customFormat="1" ht="46.5" customHeight="1" x14ac:dyDescent="0.25">
      <c r="A90" s="786">
        <v>1</v>
      </c>
      <c r="B90" s="465" t="s">
        <v>442</v>
      </c>
      <c r="C90" s="465"/>
      <c r="D90" s="465" t="s">
        <v>23</v>
      </c>
      <c r="E90" s="465" t="s">
        <v>199</v>
      </c>
      <c r="F90" s="180" t="s">
        <v>446</v>
      </c>
      <c r="G90" s="180" t="s">
        <v>180</v>
      </c>
      <c r="H90" s="180" t="s">
        <v>23</v>
      </c>
      <c r="I90" s="180" t="s">
        <v>332</v>
      </c>
      <c r="J90" s="180" t="s">
        <v>724</v>
      </c>
    </row>
    <row r="91" spans="1:10" s="180" customFormat="1" ht="135" customHeight="1" x14ac:dyDescent="0.25">
      <c r="A91" s="786"/>
      <c r="B91" s="465" t="s">
        <v>442</v>
      </c>
      <c r="C91" s="465"/>
      <c r="D91" s="465" t="s">
        <v>23</v>
      </c>
      <c r="E91" s="465" t="s">
        <v>199</v>
      </c>
      <c r="F91" s="180" t="s">
        <v>446</v>
      </c>
      <c r="G91" s="180" t="s">
        <v>39</v>
      </c>
      <c r="H91" s="180" t="s">
        <v>23</v>
      </c>
      <c r="I91" s="180" t="s">
        <v>725</v>
      </c>
    </row>
    <row r="92" spans="1:10" s="180" customFormat="1" ht="135" customHeight="1" x14ac:dyDescent="0.25">
      <c r="A92" s="462"/>
      <c r="B92" s="465" t="s">
        <v>442</v>
      </c>
      <c r="C92" s="465"/>
      <c r="D92" s="465" t="s">
        <v>23</v>
      </c>
      <c r="E92" s="465" t="s">
        <v>203</v>
      </c>
      <c r="F92" s="180" t="s">
        <v>726</v>
      </c>
      <c r="G92" s="180" t="s">
        <v>33</v>
      </c>
      <c r="H92" s="180" t="s">
        <v>23</v>
      </c>
      <c r="I92" s="180" t="s">
        <v>727</v>
      </c>
    </row>
    <row r="93" spans="1:10" s="180" customFormat="1" ht="87.75" customHeight="1" x14ac:dyDescent="0.25">
      <c r="A93" s="462"/>
      <c r="B93" s="465" t="s">
        <v>442</v>
      </c>
      <c r="C93" s="465"/>
      <c r="D93" s="465" t="s">
        <v>23</v>
      </c>
      <c r="E93" s="465" t="s">
        <v>203</v>
      </c>
      <c r="F93" s="180" t="s">
        <v>726</v>
      </c>
      <c r="G93" s="180" t="s">
        <v>39</v>
      </c>
      <c r="H93" s="180" t="s">
        <v>23</v>
      </c>
      <c r="I93" s="186" t="s">
        <v>728</v>
      </c>
    </row>
    <row r="94" spans="1:10" s="180" customFormat="1" ht="46.5" customHeight="1" x14ac:dyDescent="0.25">
      <c r="A94" s="786">
        <v>1</v>
      </c>
      <c r="B94" s="465" t="s">
        <v>442</v>
      </c>
      <c r="C94" s="465"/>
      <c r="D94" s="465" t="s">
        <v>23</v>
      </c>
      <c r="E94" s="465" t="s">
        <v>207</v>
      </c>
      <c r="F94" s="180" t="s">
        <v>729</v>
      </c>
      <c r="G94" s="180" t="s">
        <v>180</v>
      </c>
      <c r="H94" s="180" t="s">
        <v>23</v>
      </c>
      <c r="I94" s="180" t="s">
        <v>332</v>
      </c>
    </row>
    <row r="95" spans="1:10" s="180" customFormat="1" ht="112.5" customHeight="1" x14ac:dyDescent="0.25">
      <c r="A95" s="786"/>
      <c r="B95" s="465" t="s">
        <v>442</v>
      </c>
      <c r="C95" s="465"/>
      <c r="D95" s="465" t="s">
        <v>23</v>
      </c>
      <c r="E95" s="465" t="s">
        <v>207</v>
      </c>
      <c r="F95" s="180" t="s">
        <v>729</v>
      </c>
      <c r="G95" s="180" t="s">
        <v>39</v>
      </c>
      <c r="H95" s="180" t="s">
        <v>23</v>
      </c>
      <c r="I95" s="186" t="s">
        <v>730</v>
      </c>
    </row>
    <row r="96" spans="1:10" s="180" customFormat="1" ht="46.5" customHeight="1" x14ac:dyDescent="0.25">
      <c r="A96" s="786"/>
      <c r="B96" s="465" t="s">
        <v>442</v>
      </c>
      <c r="C96" s="465"/>
      <c r="D96" s="465" t="s">
        <v>23</v>
      </c>
      <c r="E96" s="465" t="s">
        <v>443</v>
      </c>
      <c r="F96" s="180" t="s">
        <v>731</v>
      </c>
      <c r="G96" s="180" t="s">
        <v>33</v>
      </c>
      <c r="H96" s="180" t="s">
        <v>54</v>
      </c>
      <c r="I96" s="180" t="s">
        <v>338</v>
      </c>
    </row>
    <row r="97" spans="1:10" s="180" customFormat="1" ht="112.5" customHeight="1" x14ac:dyDescent="0.25">
      <c r="A97" s="786"/>
      <c r="B97" s="465" t="s">
        <v>442</v>
      </c>
      <c r="C97" s="465"/>
      <c r="D97" s="465"/>
      <c r="E97" s="465" t="s">
        <v>443</v>
      </c>
      <c r="F97" s="180" t="s">
        <v>731</v>
      </c>
      <c r="G97" s="180" t="s">
        <v>39</v>
      </c>
      <c r="H97" s="180" t="s">
        <v>54</v>
      </c>
      <c r="I97" s="186" t="s">
        <v>732</v>
      </c>
    </row>
    <row r="98" spans="1:10" s="76" customFormat="1" ht="24.95" customHeight="1" x14ac:dyDescent="0.25">
      <c r="A98" s="177"/>
      <c r="B98" s="178" t="s">
        <v>225</v>
      </c>
      <c r="C98" s="178"/>
      <c r="D98" s="178"/>
      <c r="E98" s="178"/>
      <c r="F98" s="177"/>
      <c r="G98" s="177"/>
      <c r="H98" s="177"/>
      <c r="I98" s="177"/>
      <c r="J98" s="80"/>
    </row>
    <row r="99" spans="1:10" s="75" customFormat="1" ht="87" customHeight="1" x14ac:dyDescent="0.25">
      <c r="A99" s="728"/>
      <c r="B99" s="783" t="s">
        <v>733</v>
      </c>
      <c r="C99" s="460"/>
      <c r="D99" s="465" t="s">
        <v>23</v>
      </c>
      <c r="E99" s="460" t="s">
        <v>734</v>
      </c>
      <c r="F99" s="84" t="s">
        <v>735</v>
      </c>
      <c r="G99" s="84" t="s">
        <v>736</v>
      </c>
      <c r="H99" s="84" t="s">
        <v>737</v>
      </c>
      <c r="I99" s="84" t="s">
        <v>738</v>
      </c>
      <c r="J99" s="73" t="s">
        <v>739</v>
      </c>
    </row>
    <row r="100" spans="1:10" s="75" customFormat="1" ht="60" customHeight="1" x14ac:dyDescent="0.25">
      <c r="A100" s="728"/>
      <c r="B100" s="783"/>
      <c r="C100" s="460"/>
      <c r="D100" s="465" t="s">
        <v>23</v>
      </c>
      <c r="E100" s="460"/>
      <c r="F100" s="84" t="s">
        <v>740</v>
      </c>
      <c r="G100" s="84" t="s">
        <v>736</v>
      </c>
      <c r="H100" s="84" t="s">
        <v>737</v>
      </c>
      <c r="I100" s="84" t="s">
        <v>741</v>
      </c>
      <c r="J100" s="73"/>
    </row>
    <row r="101" spans="1:10" s="75" customFormat="1" ht="48" customHeight="1" x14ac:dyDescent="0.25">
      <c r="A101" s="728"/>
      <c r="B101" s="783"/>
      <c r="C101" s="460"/>
      <c r="D101" s="465" t="s">
        <v>23</v>
      </c>
      <c r="E101" s="460" t="s">
        <v>742</v>
      </c>
      <c r="F101" s="76" t="s">
        <v>743</v>
      </c>
      <c r="G101" s="76" t="s">
        <v>736</v>
      </c>
      <c r="H101" s="76"/>
      <c r="I101" s="76" t="s">
        <v>744</v>
      </c>
      <c r="J101" s="76"/>
    </row>
    <row r="102" spans="1:10" s="75" customFormat="1" ht="48" customHeight="1" x14ac:dyDescent="0.25">
      <c r="A102" s="728">
        <v>1</v>
      </c>
      <c r="B102" s="460" t="s">
        <v>453</v>
      </c>
      <c r="C102" s="460"/>
      <c r="D102" s="460" t="s">
        <v>23</v>
      </c>
      <c r="E102" s="460" t="s">
        <v>17</v>
      </c>
      <c r="F102" s="77" t="s">
        <v>27</v>
      </c>
      <c r="G102" s="76" t="s">
        <v>19</v>
      </c>
      <c r="H102" s="466" t="s">
        <v>20</v>
      </c>
      <c r="I102" s="76" t="s">
        <v>332</v>
      </c>
      <c r="J102" s="76"/>
    </row>
    <row r="103" spans="1:10" ht="63.75" customHeight="1" x14ac:dyDescent="0.2">
      <c r="A103" s="728"/>
      <c r="B103" s="460" t="s">
        <v>453</v>
      </c>
      <c r="C103" s="460"/>
      <c r="D103" s="460" t="s">
        <v>23</v>
      </c>
      <c r="E103" s="460" t="s">
        <v>17</v>
      </c>
      <c r="F103" s="77" t="s">
        <v>27</v>
      </c>
      <c r="G103" s="77" t="s">
        <v>22</v>
      </c>
      <c r="H103" s="147" t="s">
        <v>23</v>
      </c>
      <c r="I103" s="77" t="s">
        <v>454</v>
      </c>
      <c r="J103" s="188"/>
    </row>
    <row r="104" spans="1:10" s="189" customFormat="1" ht="60" customHeight="1" x14ac:dyDescent="0.25">
      <c r="A104" s="785">
        <v>2</v>
      </c>
      <c r="B104" s="460" t="s">
        <v>453</v>
      </c>
      <c r="C104" s="460"/>
      <c r="D104" s="189" t="s">
        <v>475</v>
      </c>
      <c r="E104" s="189" t="s">
        <v>487</v>
      </c>
      <c r="F104" s="189" t="s">
        <v>488</v>
      </c>
      <c r="G104" s="189" t="s">
        <v>39</v>
      </c>
      <c r="H104" s="189" t="s">
        <v>23</v>
      </c>
      <c r="I104" s="190" t="s">
        <v>326</v>
      </c>
    </row>
    <row r="105" spans="1:10" s="189" customFormat="1" ht="60" customHeight="1" x14ac:dyDescent="0.25">
      <c r="A105" s="785"/>
      <c r="B105" s="460" t="s">
        <v>453</v>
      </c>
      <c r="C105" s="460"/>
      <c r="D105" s="189" t="s">
        <v>475</v>
      </c>
      <c r="E105" s="189" t="s">
        <v>487</v>
      </c>
      <c r="F105" s="189" t="s">
        <v>488</v>
      </c>
      <c r="G105" s="189" t="s">
        <v>61</v>
      </c>
      <c r="H105" s="189" t="s">
        <v>23</v>
      </c>
      <c r="I105" s="190" t="s">
        <v>489</v>
      </c>
    </row>
    <row r="106" spans="1:10" s="75" customFormat="1" ht="57.75" customHeight="1" x14ac:dyDescent="0.25">
      <c r="A106" s="728">
        <v>1</v>
      </c>
      <c r="B106" s="195" t="s">
        <v>745</v>
      </c>
      <c r="C106" s="195"/>
      <c r="D106" s="195" t="s">
        <v>746</v>
      </c>
      <c r="E106" s="195" t="s">
        <v>227</v>
      </c>
      <c r="F106" s="77" t="s">
        <v>747</v>
      </c>
      <c r="G106" s="77" t="s">
        <v>33</v>
      </c>
      <c r="H106" s="77"/>
      <c r="I106" s="77" t="s">
        <v>229</v>
      </c>
      <c r="J106" s="162" t="s">
        <v>462</v>
      </c>
    </row>
    <row r="107" spans="1:10" s="75" customFormat="1" ht="57.75" customHeight="1" x14ac:dyDescent="0.25">
      <c r="A107" s="728"/>
      <c r="B107" s="195" t="s">
        <v>745</v>
      </c>
      <c r="C107" s="195"/>
      <c r="D107" s="460" t="s">
        <v>746</v>
      </c>
      <c r="E107" s="195" t="s">
        <v>227</v>
      </c>
      <c r="F107" s="77" t="s">
        <v>747</v>
      </c>
      <c r="G107" s="77" t="s">
        <v>19</v>
      </c>
      <c r="H107" s="77"/>
      <c r="I107" s="77" t="s">
        <v>748</v>
      </c>
      <c r="J107" s="162"/>
    </row>
    <row r="108" spans="1:10" ht="81.75" customHeight="1" x14ac:dyDescent="0.2">
      <c r="A108" s="728">
        <v>2</v>
      </c>
      <c r="B108" s="195" t="s">
        <v>745</v>
      </c>
      <c r="C108" s="195"/>
      <c r="D108" s="460" t="s">
        <v>746</v>
      </c>
      <c r="E108" s="460" t="s">
        <v>227</v>
      </c>
      <c r="F108" s="77" t="s">
        <v>463</v>
      </c>
      <c r="G108" s="77" t="s">
        <v>33</v>
      </c>
      <c r="H108" s="77"/>
      <c r="I108" s="77" t="s">
        <v>749</v>
      </c>
      <c r="J108" s="162" t="s">
        <v>462</v>
      </c>
    </row>
    <row r="109" spans="1:10" ht="81.75" customHeight="1" x14ac:dyDescent="0.2">
      <c r="A109" s="728"/>
      <c r="B109" s="195" t="s">
        <v>745</v>
      </c>
      <c r="C109" s="195"/>
      <c r="D109" s="460" t="s">
        <v>746</v>
      </c>
      <c r="E109" s="460" t="s">
        <v>227</v>
      </c>
      <c r="F109" s="77" t="s">
        <v>463</v>
      </c>
      <c r="G109" s="77" t="s">
        <v>19</v>
      </c>
      <c r="H109" s="77"/>
      <c r="I109" s="77" t="s">
        <v>748</v>
      </c>
      <c r="J109" s="162"/>
    </row>
    <row r="110" spans="1:10" ht="81.75" customHeight="1" x14ac:dyDescent="0.2">
      <c r="A110" s="728">
        <v>3</v>
      </c>
      <c r="B110" s="195" t="s">
        <v>745</v>
      </c>
      <c r="C110" s="195"/>
      <c r="D110" s="460" t="s">
        <v>746</v>
      </c>
      <c r="E110" s="460" t="s">
        <v>227</v>
      </c>
      <c r="F110" s="73" t="s">
        <v>235</v>
      </c>
      <c r="G110" s="77" t="s">
        <v>39</v>
      </c>
      <c r="H110" s="77" t="s">
        <v>20</v>
      </c>
      <c r="I110" s="77" t="s">
        <v>332</v>
      </c>
      <c r="J110" s="162"/>
    </row>
    <row r="111" spans="1:10" ht="76.5" x14ac:dyDescent="0.2">
      <c r="A111" s="728"/>
      <c r="B111" s="195" t="s">
        <v>745</v>
      </c>
      <c r="C111" s="195"/>
      <c r="D111" s="460" t="s">
        <v>746</v>
      </c>
      <c r="E111" s="460" t="s">
        <v>227</v>
      </c>
      <c r="F111" s="73" t="s">
        <v>235</v>
      </c>
      <c r="G111" s="98" t="s">
        <v>33</v>
      </c>
      <c r="H111" s="293" t="s">
        <v>23</v>
      </c>
      <c r="I111" s="73" t="s">
        <v>236</v>
      </c>
      <c r="J111" s="294"/>
    </row>
    <row r="112" spans="1:10" ht="97.5" customHeight="1" x14ac:dyDescent="0.2">
      <c r="A112" s="728">
        <v>4</v>
      </c>
      <c r="B112" s="195" t="s">
        <v>745</v>
      </c>
      <c r="C112" s="195"/>
      <c r="D112" s="460" t="s">
        <v>746</v>
      </c>
      <c r="E112" s="460" t="s">
        <v>227</v>
      </c>
      <c r="F112" s="73" t="s">
        <v>237</v>
      </c>
      <c r="G112" s="98" t="s">
        <v>33</v>
      </c>
      <c r="H112" s="293" t="s">
        <v>23</v>
      </c>
      <c r="I112" s="73" t="s">
        <v>238</v>
      </c>
      <c r="J112" s="294"/>
    </row>
    <row r="113" spans="1:10" ht="97.5" customHeight="1" x14ac:dyDescent="0.2">
      <c r="A113" s="728"/>
      <c r="B113" s="195" t="s">
        <v>745</v>
      </c>
      <c r="C113" s="195"/>
      <c r="D113" s="460" t="s">
        <v>746</v>
      </c>
      <c r="E113" s="460" t="s">
        <v>227</v>
      </c>
      <c r="F113" s="73" t="s">
        <v>237</v>
      </c>
      <c r="G113" s="98" t="s">
        <v>19</v>
      </c>
      <c r="H113" s="293" t="s">
        <v>20</v>
      </c>
      <c r="I113" s="73" t="s">
        <v>750</v>
      </c>
      <c r="J113" s="294"/>
    </row>
    <row r="114" spans="1:10" ht="102" x14ac:dyDescent="0.2">
      <c r="A114" s="728">
        <v>5</v>
      </c>
      <c r="B114" s="195" t="s">
        <v>745</v>
      </c>
      <c r="C114" s="195"/>
      <c r="D114" s="460" t="s">
        <v>751</v>
      </c>
      <c r="E114" s="460" t="s">
        <v>227</v>
      </c>
      <c r="F114" s="98" t="s">
        <v>752</v>
      </c>
      <c r="G114" s="98" t="s">
        <v>33</v>
      </c>
      <c r="H114" s="293" t="s">
        <v>23</v>
      </c>
      <c r="I114" s="98" t="s">
        <v>468</v>
      </c>
      <c r="J114" s="188" t="s">
        <v>753</v>
      </c>
    </row>
    <row r="115" spans="1:10" ht="38.25" x14ac:dyDescent="0.2">
      <c r="A115" s="728"/>
      <c r="B115" s="195" t="s">
        <v>745</v>
      </c>
      <c r="C115" s="195"/>
      <c r="D115" s="460" t="s">
        <v>751</v>
      </c>
      <c r="E115" s="460" t="s">
        <v>227</v>
      </c>
      <c r="F115" s="98" t="s">
        <v>752</v>
      </c>
      <c r="G115" s="98" t="s">
        <v>19</v>
      </c>
      <c r="H115" s="293" t="s">
        <v>23</v>
      </c>
      <c r="I115" s="98" t="s">
        <v>332</v>
      </c>
      <c r="J115" s="188"/>
    </row>
    <row r="116" spans="1:10" s="192" customFormat="1" ht="60" customHeight="1" x14ac:dyDescent="0.25">
      <c r="A116" s="784">
        <v>1</v>
      </c>
      <c r="B116" s="191" t="s">
        <v>754</v>
      </c>
      <c r="C116" s="191"/>
      <c r="D116" s="192" t="s">
        <v>23</v>
      </c>
      <c r="E116" s="192" t="s">
        <v>470</v>
      </c>
      <c r="F116" s="192" t="s">
        <v>471</v>
      </c>
      <c r="G116" s="192" t="s">
        <v>61</v>
      </c>
      <c r="H116" s="192" t="s">
        <v>23</v>
      </c>
      <c r="I116" s="193" t="s">
        <v>472</v>
      </c>
    </row>
    <row r="117" spans="1:10" s="192" customFormat="1" ht="60" customHeight="1" x14ac:dyDescent="0.25">
      <c r="A117" s="784"/>
      <c r="B117" s="191" t="s">
        <v>754</v>
      </c>
      <c r="C117" s="191"/>
      <c r="D117" s="192" t="s">
        <v>23</v>
      </c>
      <c r="E117" s="192" t="s">
        <v>470</v>
      </c>
      <c r="F117" s="192" t="s">
        <v>471</v>
      </c>
      <c r="G117" s="192" t="s">
        <v>39</v>
      </c>
      <c r="H117" s="192" t="s">
        <v>23</v>
      </c>
      <c r="I117" s="193" t="s">
        <v>473</v>
      </c>
    </row>
    <row r="118" spans="1:10" s="189" customFormat="1" ht="60" customHeight="1" x14ac:dyDescent="0.25">
      <c r="A118" s="785">
        <v>1</v>
      </c>
      <c r="B118" s="194" t="s">
        <v>755</v>
      </c>
      <c r="C118" s="194"/>
      <c r="D118" s="189" t="s">
        <v>475</v>
      </c>
      <c r="E118" s="189" t="s">
        <v>264</v>
      </c>
      <c r="F118" s="189" t="s">
        <v>476</v>
      </c>
      <c r="G118" s="189" t="s">
        <v>61</v>
      </c>
      <c r="H118" s="189" t="s">
        <v>23</v>
      </c>
      <c r="I118" s="190" t="s">
        <v>326</v>
      </c>
    </row>
    <row r="119" spans="1:10" s="189" customFormat="1" ht="60" customHeight="1" x14ac:dyDescent="0.25">
      <c r="A119" s="785"/>
      <c r="B119" s="194" t="s">
        <v>755</v>
      </c>
      <c r="C119" s="194"/>
      <c r="D119" s="189" t="s">
        <v>475</v>
      </c>
      <c r="E119" s="189" t="s">
        <v>264</v>
      </c>
      <c r="F119" s="189" t="s">
        <v>476</v>
      </c>
      <c r="G119" s="189" t="s">
        <v>39</v>
      </c>
      <c r="H119" s="189" t="s">
        <v>23</v>
      </c>
      <c r="I119" s="190" t="s">
        <v>267</v>
      </c>
    </row>
    <row r="120" spans="1:10" s="189" customFormat="1" ht="60" customHeight="1" x14ac:dyDescent="0.25">
      <c r="A120" s="785">
        <v>2</v>
      </c>
      <c r="B120" s="194" t="s">
        <v>755</v>
      </c>
      <c r="C120" s="194"/>
      <c r="D120" s="189" t="s">
        <v>477</v>
      </c>
      <c r="E120" s="189" t="s">
        <v>270</v>
      </c>
      <c r="F120" s="189" t="s">
        <v>478</v>
      </c>
      <c r="G120" s="189" t="s">
        <v>61</v>
      </c>
      <c r="H120" s="189" t="s">
        <v>23</v>
      </c>
      <c r="I120" s="190" t="s">
        <v>272</v>
      </c>
    </row>
    <row r="121" spans="1:10" s="189" customFormat="1" ht="60" customHeight="1" x14ac:dyDescent="0.25">
      <c r="A121" s="785"/>
      <c r="B121" s="194" t="s">
        <v>755</v>
      </c>
      <c r="C121" s="194"/>
      <c r="D121" s="189" t="s">
        <v>477</v>
      </c>
      <c r="E121" s="189" t="s">
        <v>270</v>
      </c>
      <c r="F121" s="189" t="s">
        <v>478</v>
      </c>
      <c r="G121" s="189" t="s">
        <v>39</v>
      </c>
      <c r="H121" s="189" t="s">
        <v>23</v>
      </c>
      <c r="I121" s="190" t="s">
        <v>326</v>
      </c>
    </row>
    <row r="122" spans="1:10" s="189" customFormat="1" ht="60" customHeight="1" x14ac:dyDescent="0.25">
      <c r="A122" s="785">
        <v>3</v>
      </c>
      <c r="B122" s="194" t="s">
        <v>755</v>
      </c>
      <c r="C122" s="194"/>
      <c r="D122" s="189" t="s">
        <v>479</v>
      </c>
      <c r="E122" s="189" t="s">
        <v>276</v>
      </c>
      <c r="F122" s="189" t="s">
        <v>480</v>
      </c>
      <c r="G122" s="189" t="s">
        <v>61</v>
      </c>
      <c r="H122" s="189" t="s">
        <v>23</v>
      </c>
      <c r="I122" s="190" t="s">
        <v>278</v>
      </c>
    </row>
    <row r="123" spans="1:10" s="189" customFormat="1" ht="60" customHeight="1" x14ac:dyDescent="0.25">
      <c r="A123" s="785"/>
      <c r="B123" s="194" t="s">
        <v>755</v>
      </c>
      <c r="C123" s="194"/>
      <c r="D123" s="189" t="s">
        <v>479</v>
      </c>
      <c r="E123" s="189" t="s">
        <v>276</v>
      </c>
      <c r="F123" s="189" t="s">
        <v>480</v>
      </c>
      <c r="G123" s="189" t="s">
        <v>39</v>
      </c>
      <c r="H123" s="189" t="s">
        <v>23</v>
      </c>
      <c r="I123" s="190" t="s">
        <v>280</v>
      </c>
    </row>
    <row r="124" spans="1:10" s="189" customFormat="1" ht="60" customHeight="1" x14ac:dyDescent="0.25">
      <c r="A124" s="785">
        <v>4</v>
      </c>
      <c r="B124" s="194" t="s">
        <v>755</v>
      </c>
      <c r="C124" s="194"/>
      <c r="D124" s="189" t="s">
        <v>481</v>
      </c>
      <c r="E124" s="189" t="s">
        <v>282</v>
      </c>
      <c r="F124" s="189" t="s">
        <v>482</v>
      </c>
      <c r="G124" s="189" t="s">
        <v>61</v>
      </c>
      <c r="H124" s="189" t="s">
        <v>23</v>
      </c>
      <c r="I124" s="190" t="s">
        <v>326</v>
      </c>
    </row>
    <row r="125" spans="1:10" s="189" customFormat="1" ht="60" customHeight="1" x14ac:dyDescent="0.25">
      <c r="A125" s="785"/>
      <c r="B125" s="194" t="s">
        <v>755</v>
      </c>
      <c r="C125" s="194"/>
      <c r="D125" s="189" t="s">
        <v>481</v>
      </c>
      <c r="E125" s="189" t="s">
        <v>282</v>
      </c>
      <c r="F125" s="189" t="s">
        <v>482</v>
      </c>
      <c r="G125" s="189" t="s">
        <v>39</v>
      </c>
      <c r="H125" s="189" t="s">
        <v>23</v>
      </c>
      <c r="I125" s="190" t="s">
        <v>286</v>
      </c>
    </row>
    <row r="126" spans="1:10" s="192" customFormat="1" ht="60" customHeight="1" x14ac:dyDescent="0.25">
      <c r="A126" s="784">
        <v>5</v>
      </c>
      <c r="B126" s="194" t="s">
        <v>755</v>
      </c>
      <c r="C126" s="194"/>
      <c r="D126" s="192" t="s">
        <v>483</v>
      </c>
      <c r="E126" s="192" t="s">
        <v>246</v>
      </c>
      <c r="F126" s="192" t="s">
        <v>484</v>
      </c>
      <c r="G126" s="192" t="s">
        <v>61</v>
      </c>
      <c r="H126" s="192" t="s">
        <v>23</v>
      </c>
      <c r="I126" s="193" t="s">
        <v>326</v>
      </c>
    </row>
    <row r="127" spans="1:10" s="192" customFormat="1" ht="60" customHeight="1" x14ac:dyDescent="0.25">
      <c r="A127" s="784"/>
      <c r="B127" s="194" t="s">
        <v>755</v>
      </c>
      <c r="C127" s="194"/>
      <c r="D127" s="192" t="s">
        <v>483</v>
      </c>
      <c r="E127" s="192" t="s">
        <v>246</v>
      </c>
      <c r="F127" s="192" t="s">
        <v>484</v>
      </c>
      <c r="G127" s="192" t="s">
        <v>39</v>
      </c>
      <c r="H127" s="192" t="s">
        <v>23</v>
      </c>
      <c r="I127" s="193" t="s">
        <v>485</v>
      </c>
    </row>
    <row r="128" spans="1:10" ht="38.25" x14ac:dyDescent="0.2">
      <c r="A128" s="782">
        <v>1</v>
      </c>
      <c r="B128" s="783" t="s">
        <v>287</v>
      </c>
      <c r="C128" s="460"/>
      <c r="D128" s="100" t="s">
        <v>23</v>
      </c>
      <c r="F128" s="460" t="s">
        <v>756</v>
      </c>
      <c r="G128" s="460" t="s">
        <v>39</v>
      </c>
      <c r="H128" s="293" t="s">
        <v>23</v>
      </c>
      <c r="I128" s="460" t="s">
        <v>492</v>
      </c>
      <c r="J128" s="294"/>
    </row>
    <row r="129" spans="1:9" ht="38.25" x14ac:dyDescent="0.2">
      <c r="A129" s="782"/>
      <c r="B129" s="783"/>
      <c r="C129" s="460"/>
      <c r="D129" s="100" t="s">
        <v>23</v>
      </c>
      <c r="F129" s="460" t="s">
        <v>756</v>
      </c>
      <c r="G129" s="460" t="s">
        <v>22</v>
      </c>
      <c r="H129" s="293" t="s">
        <v>23</v>
      </c>
      <c r="I129" s="180" t="s">
        <v>332</v>
      </c>
    </row>
    <row r="130" spans="1:9" ht="38.25" x14ac:dyDescent="0.2">
      <c r="A130" s="782">
        <v>1</v>
      </c>
      <c r="B130" s="783"/>
      <c r="C130" s="460"/>
      <c r="D130" s="100" t="s">
        <v>23</v>
      </c>
      <c r="F130" s="460" t="s">
        <v>757</v>
      </c>
      <c r="G130" s="460" t="s">
        <v>39</v>
      </c>
      <c r="H130" s="293" t="s">
        <v>23</v>
      </c>
      <c r="I130" s="460" t="s">
        <v>758</v>
      </c>
    </row>
    <row r="131" spans="1:9" ht="38.25" x14ac:dyDescent="0.2">
      <c r="A131" s="782"/>
      <c r="B131" s="783"/>
      <c r="C131" s="460"/>
      <c r="D131" s="100" t="s">
        <v>23</v>
      </c>
      <c r="F131" s="460" t="s">
        <v>757</v>
      </c>
      <c r="G131" s="460" t="s">
        <v>22</v>
      </c>
      <c r="H131" s="293" t="s">
        <v>23</v>
      </c>
      <c r="I131" s="180" t="s">
        <v>332</v>
      </c>
    </row>
    <row r="132" spans="1:9" ht="63.75" x14ac:dyDescent="0.2">
      <c r="A132" s="782">
        <v>1</v>
      </c>
      <c r="B132" s="783"/>
      <c r="C132" s="460"/>
      <c r="D132" s="100" t="s">
        <v>23</v>
      </c>
      <c r="F132" s="460" t="s">
        <v>495</v>
      </c>
      <c r="G132" s="460" t="s">
        <v>39</v>
      </c>
      <c r="H132" s="293" t="s">
        <v>23</v>
      </c>
      <c r="I132" s="460" t="s">
        <v>496</v>
      </c>
    </row>
    <row r="133" spans="1:9" ht="25.5" x14ac:dyDescent="0.2">
      <c r="A133" s="782"/>
      <c r="B133" s="783"/>
      <c r="C133" s="460"/>
      <c r="D133" s="100" t="s">
        <v>23</v>
      </c>
      <c r="F133" s="460" t="s">
        <v>495</v>
      </c>
      <c r="G133" s="460" t="s">
        <v>22</v>
      </c>
      <c r="H133" s="293" t="s">
        <v>23</v>
      </c>
      <c r="I133" s="180" t="s">
        <v>332</v>
      </c>
    </row>
    <row r="134" spans="1:9" ht="38.25" x14ac:dyDescent="0.2">
      <c r="A134" s="782">
        <v>1</v>
      </c>
      <c r="B134" s="783"/>
      <c r="C134" s="460"/>
      <c r="D134" s="100" t="s">
        <v>23</v>
      </c>
      <c r="F134" s="460" t="s">
        <v>759</v>
      </c>
      <c r="G134" s="460" t="s">
        <v>39</v>
      </c>
      <c r="H134" s="293" t="s">
        <v>23</v>
      </c>
      <c r="I134" s="460" t="s">
        <v>296</v>
      </c>
    </row>
    <row r="135" spans="1:9" ht="38.25" x14ac:dyDescent="0.2">
      <c r="A135" s="782"/>
      <c r="B135" s="783"/>
      <c r="C135" s="460"/>
      <c r="D135" s="100" t="s">
        <v>23</v>
      </c>
      <c r="F135" s="460" t="s">
        <v>759</v>
      </c>
      <c r="G135" s="460" t="s">
        <v>22</v>
      </c>
      <c r="H135" s="293" t="s">
        <v>23</v>
      </c>
      <c r="I135" s="180" t="s">
        <v>332</v>
      </c>
    </row>
    <row r="136" spans="1:9" ht="25.5" x14ac:dyDescent="0.2">
      <c r="A136" s="782">
        <v>1</v>
      </c>
      <c r="B136" s="783"/>
      <c r="C136" s="460"/>
      <c r="D136" s="100" t="s">
        <v>23</v>
      </c>
      <c r="F136" s="460" t="s">
        <v>297</v>
      </c>
      <c r="G136" s="460" t="s">
        <v>39</v>
      </c>
      <c r="H136" s="293" t="s">
        <v>23</v>
      </c>
      <c r="I136" s="460" t="s">
        <v>298</v>
      </c>
    </row>
    <row r="137" spans="1:9" ht="25.5" x14ac:dyDescent="0.2">
      <c r="A137" s="782"/>
      <c r="B137" s="783"/>
      <c r="C137" s="460"/>
      <c r="D137" s="100" t="s">
        <v>23</v>
      </c>
      <c r="F137" s="460" t="s">
        <v>297</v>
      </c>
      <c r="G137" s="460" t="s">
        <v>22</v>
      </c>
      <c r="H137" s="293" t="s">
        <v>23</v>
      </c>
      <c r="I137" s="180" t="s">
        <v>332</v>
      </c>
    </row>
  </sheetData>
  <mergeCells count="58">
    <mergeCell ref="A3:A9"/>
    <mergeCell ref="B3:B9"/>
    <mergeCell ref="B99:B101"/>
    <mergeCell ref="F3:F9"/>
    <mergeCell ref="E3:E9"/>
    <mergeCell ref="A10:A11"/>
    <mergeCell ref="A48:A50"/>
    <mergeCell ref="A12:A13"/>
    <mergeCell ref="A14:A15"/>
    <mergeCell ref="A25:A26"/>
    <mergeCell ref="A27:A28"/>
    <mergeCell ref="A29:A30"/>
    <mergeCell ref="A51:A53"/>
    <mergeCell ref="A54:A57"/>
    <mergeCell ref="A35:A36"/>
    <mergeCell ref="A62:A65"/>
    <mergeCell ref="A46:A47"/>
    <mergeCell ref="A37:A38"/>
    <mergeCell ref="A39:A40"/>
    <mergeCell ref="A43:A44"/>
    <mergeCell ref="A41:A42"/>
    <mergeCell ref="A106:A107"/>
    <mergeCell ref="A108:A109"/>
    <mergeCell ref="A112:A113"/>
    <mergeCell ref="A58:A61"/>
    <mergeCell ref="A85:A86"/>
    <mergeCell ref="A87:A89"/>
    <mergeCell ref="A110:A111"/>
    <mergeCell ref="A79:A84"/>
    <mergeCell ref="A66:A69"/>
    <mergeCell ref="A70:A74"/>
    <mergeCell ref="A75:A78"/>
    <mergeCell ref="A99:A101"/>
    <mergeCell ref="A90:A91"/>
    <mergeCell ref="A94:A97"/>
    <mergeCell ref="A102:A103"/>
    <mergeCell ref="A104:A105"/>
    <mergeCell ref="A134:A135"/>
    <mergeCell ref="A136:A137"/>
    <mergeCell ref="A128:A129"/>
    <mergeCell ref="B128:B137"/>
    <mergeCell ref="A114:A115"/>
    <mergeCell ref="A116:A117"/>
    <mergeCell ref="A118:A119"/>
    <mergeCell ref="A120:A121"/>
    <mergeCell ref="A122:A123"/>
    <mergeCell ref="A124:A125"/>
    <mergeCell ref="A126:A127"/>
    <mergeCell ref="A132:A133"/>
    <mergeCell ref="A130:A131"/>
    <mergeCell ref="A16:A17"/>
    <mergeCell ref="A18:A19"/>
    <mergeCell ref="B25:B34"/>
    <mergeCell ref="A33:A34"/>
    <mergeCell ref="A31:A32"/>
    <mergeCell ref="A20:A21"/>
    <mergeCell ref="A22:A23"/>
    <mergeCell ref="B10:B23"/>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572C-B15F-46CB-B4BD-687744280157}">
  <sheetPr codeName="Sheet10">
    <tabColor rgb="FF00B050"/>
  </sheetPr>
  <dimension ref="A1:I135"/>
  <sheetViews>
    <sheetView zoomScale="70" zoomScaleNormal="70" workbookViewId="0">
      <selection activeCell="B5" sqref="B5"/>
    </sheetView>
  </sheetViews>
  <sheetFormatPr defaultColWidth="8.85546875" defaultRowHeight="15" x14ac:dyDescent="0.25"/>
  <cols>
    <col min="1" max="1" width="8.85546875" style="407"/>
    <col min="2" max="2" width="44.7109375" style="407" customWidth="1"/>
    <col min="3" max="3" width="16.28515625" style="407" customWidth="1"/>
    <col min="4" max="4" width="14.28515625" style="407" customWidth="1"/>
    <col min="5" max="5" width="72.28515625" style="408" bestFit="1" customWidth="1"/>
    <col min="6" max="6" width="17.42578125" style="407" customWidth="1"/>
    <col min="7" max="7" width="90.85546875" style="408" customWidth="1"/>
    <col min="8" max="8" width="53.7109375" style="407" customWidth="1"/>
    <col min="9" max="9" width="40.42578125" style="407" customWidth="1"/>
    <col min="10" max="16384" width="8.85546875" style="407"/>
  </cols>
  <sheetData>
    <row r="1" spans="2:9" x14ac:dyDescent="0.25">
      <c r="I1" s="626"/>
    </row>
    <row r="2" spans="2:9" ht="26.25" x14ac:dyDescent="0.4">
      <c r="B2" s="609" t="str">
        <f>G129</f>
        <v>Outil de Base d’Evaluation des Risques</v>
      </c>
      <c r="I2" s="626"/>
    </row>
    <row r="3" spans="2:9" ht="15.75" thickBot="1" x14ac:dyDescent="0.3">
      <c r="B3" s="409"/>
      <c r="I3" s="626"/>
    </row>
    <row r="4" spans="2:9" ht="37.5" x14ac:dyDescent="0.3">
      <c r="B4" s="610" t="str">
        <f>G112</f>
        <v>Type de titulaire de certificat (sélectionner)</v>
      </c>
      <c r="E4" s="468"/>
      <c r="I4" s="626"/>
    </row>
    <row r="5" spans="2:9" ht="20.25" customHeight="1" thickBot="1" x14ac:dyDescent="0.35">
      <c r="B5" s="385" t="s">
        <v>837</v>
      </c>
      <c r="C5" s="608" t="str">
        <f>G133</f>
        <v>&lt;- Selectionnez "Grande" pour les grandes exploitations agricoles (individuelles et en groupe) et les petites exploitations agricoles certifiées individuellemen.</v>
      </c>
      <c r="E5" s="468"/>
      <c r="I5" s="626"/>
    </row>
    <row r="6" spans="2:9" ht="15.75" thickBot="1" x14ac:dyDescent="0.3">
      <c r="B6" s="409"/>
      <c r="I6" s="626"/>
    </row>
    <row r="7" spans="2:9" ht="27" thickBot="1" x14ac:dyDescent="0.45">
      <c r="B7" s="791" t="str">
        <f>H112</f>
        <v>Gestion</v>
      </c>
      <c r="C7" s="792"/>
      <c r="D7" s="792"/>
      <c r="E7" s="792"/>
      <c r="F7" s="792"/>
      <c r="G7" s="792"/>
      <c r="H7" s="410"/>
      <c r="I7" s="626"/>
    </row>
    <row r="8" spans="2:9" ht="27" thickBot="1" x14ac:dyDescent="0.45">
      <c r="B8" s="411"/>
      <c r="C8" s="411"/>
      <c r="D8" s="411"/>
      <c r="E8" s="411"/>
      <c r="F8" s="411"/>
      <c r="G8" s="411"/>
    </row>
    <row r="9" spans="2:9" ht="29.25" customHeight="1" thickBot="1" x14ac:dyDescent="0.3">
      <c r="B9" s="424" t="str">
        <f>$G$113</f>
        <v>Exigence du standard</v>
      </c>
      <c r="C9" s="425" t="str">
        <f>$G$114</f>
        <v xml:space="preserve">Problème </v>
      </c>
      <c r="D9" s="426" t="str">
        <f>$G$115</f>
        <v xml:space="preserve">No. de question </v>
      </c>
      <c r="E9" s="426" t="str">
        <f>$G$116</f>
        <v>Question</v>
      </c>
      <c r="F9" s="469" t="str">
        <f>$G$117</f>
        <v>Réponse (sélectionner)</v>
      </c>
      <c r="G9" s="440" t="str">
        <f>$G$118</f>
        <v>Mesure d’atténuation</v>
      </c>
      <c r="H9" s="627" t="str">
        <f>$G$119</f>
        <v>Mesure d'atténuation propre du titulaire de certificat</v>
      </c>
    </row>
    <row r="10" spans="2:9" ht="101.25" customHeight="1" thickBot="1" x14ac:dyDescent="0.3">
      <c r="B10" s="427" t="str">
        <f>VLOOKUP(D10,'Basic Risk Assessment DATASHEET'!A:B,2,FALSE)</f>
        <v>1.2.10 Zone de l’exploitation agricole</v>
      </c>
      <c r="C10" s="432" t="str">
        <f>VLOOKUP(D10,'Basic Risk Assessment DATASHEET'!A:E,5,FALSE)</f>
        <v>Déforestation/défrichement illicite et couverture végétale indigène</v>
      </c>
      <c r="D10" s="428">
        <v>1</v>
      </c>
      <c r="E10" s="429" t="str">
        <f>IFERROR(VLOOKUP($B$10&amp;D10&amp;$B$5,'Basic Risk Assessment DATASHEET'!$F$3:$G$129,2,FALSE),B128)</f>
        <v>Vous attendez-vous à ce que les sites de production des membres du groupe s’étendent ou changent ?</v>
      </c>
      <c r="F10" s="386" t="s">
        <v>874</v>
      </c>
      <c r="G10" s="442" t="str">
        <f>VLOOKUP(RIGHT(E10&amp;F10,250),'Basic Risk Assessment DATASHEET'!$J$3:$K$129,2,FALSE)</f>
        <v>S’assurer, grâce à la sensibilisation et au suivi régulier, que les producteurs et les travailleurs sachent que la végétation naturelle et les écosystèmes naturels doivent être conservés. Marquer clairement les limites des écosystèmes naturels dans l’exploitation agricole et leurs zones tampons et s’assurer que les activités de transformation et de production, dont l'utilisation des produits agrochimiques, n’empiètent pas sur ces zones.</v>
      </c>
      <c r="H10" s="412"/>
    </row>
    <row r="11" spans="2:9" ht="15.75" thickBot="1" x14ac:dyDescent="0.3">
      <c r="B11" s="430"/>
      <c r="C11" s="430"/>
      <c r="D11" s="430"/>
      <c r="E11" s="431"/>
    </row>
    <row r="12" spans="2:9" ht="27" thickBot="1" x14ac:dyDescent="0.3">
      <c r="B12" s="424" t="str">
        <f>$G$113</f>
        <v>Exigence du standard</v>
      </c>
      <c r="C12" s="425" t="str">
        <f>$G$114</f>
        <v xml:space="preserve">Problème </v>
      </c>
      <c r="D12" s="426" t="str">
        <f>$G$115</f>
        <v xml:space="preserve">No. de question </v>
      </c>
      <c r="E12" s="426" t="str">
        <f>$G$116</f>
        <v>Question</v>
      </c>
      <c r="F12" s="469" t="str">
        <f>$G$117</f>
        <v>Réponse (sélectionner)</v>
      </c>
      <c r="G12" s="440" t="str">
        <f>$G$118</f>
        <v>Mesure d’atténuation</v>
      </c>
      <c r="H12" s="627" t="str">
        <f>$G$119</f>
        <v>Mesure d'atténuation propre du titulaire de certificat</v>
      </c>
    </row>
    <row r="13" spans="2:9" ht="169.5" customHeight="1" x14ac:dyDescent="0.25">
      <c r="B13" s="793" t="str">
        <f>VLOOKUP(D13,'Basic Risk Assessment DATASHEET'!A:B,2,FALSE)</f>
        <v>2.1 Traçabilité</v>
      </c>
      <c r="C13" s="432" t="str">
        <f>VLOOKUP(D13,'Basic Risk Assessment DATASHEET'!A:E,5,FALSE)</f>
        <v>Intermédiaires</v>
      </c>
      <c r="D13" s="433">
        <v>2</v>
      </c>
      <c r="E13" s="434" t="str">
        <f>IFERROR(VLOOKUP($B$13&amp;D13&amp;$B$5,'Basic Risk Assessment DATASHEET'!$F$3:$G$129,2,FALSE),$B$128)</f>
        <v>Utilisez-vous/Utiliserez-vous des intermédiaires et/ou des sous-traitants* dans votre chaîne d'approvisionnement ?</v>
      </c>
      <c r="F13" s="387" t="s">
        <v>867</v>
      </c>
      <c r="G13" s="441" t="str">
        <f>VLOOKUP(RIGHT(E13&amp;F13,250),'Basic Risk Assessment DATASHEET'!$J$3:$K$129,2,FALSE)</f>
        <v xml:space="preserve">1) Mettre en place un flux clair de traçabilité, qui inclut les règles de traçabilité physiques et documentées pour tous les acteurs de votre chaîne d'approvisionnement (agriculteurs, unités de transformation, transport, centres de collecte, direction, etc.).
2) Former tous les acteurs sur votre procédure de traçabilité.
3) Suivre la traçabilité et tenir des registres de tous les acteurs. </v>
      </c>
      <c r="H13" s="413"/>
    </row>
    <row r="14" spans="2:9" ht="132.75" customHeight="1" x14ac:dyDescent="0.25">
      <c r="B14" s="794"/>
      <c r="C14" s="432" t="str">
        <f>VLOOKUP(D14,'Basic Risk Assessment DATASHEET'!A:E,5,FALSE)</f>
        <v>Tenue de registres</v>
      </c>
      <c r="D14" s="433">
        <v>3</v>
      </c>
      <c r="E14" s="434" t="str">
        <f>IFERROR(VLOOKUP($B$13&amp;D14&amp;$B$5,'Basic Risk Assessment DATASHEET'!$F$3:$G$129,2,FALSE),$B$128)</f>
        <v>Vous attendez-vous à ce que les agriculteurs aient des difficultés à tenir des registres (traçabilité) ?</v>
      </c>
      <c r="F14" s="387" t="s">
        <v>874</v>
      </c>
      <c r="G14" s="441" t="str">
        <f>VLOOKUP(RIGHT(E14&amp;F14,250),'Basic Risk Assessment DATASHEET'!$J$3:$K$129,2,FALSE)</f>
        <v>1) Inclure l'administration/conservation des reçus dans le plan de formation.
2) Le groupe aide l’agriculteur à conserver les reçus au même endroit (ex : pochette plastique).
3) Mettre des affiches pour encourager les agriculteurs à conserver les reçus.
4) Faire le suivi de la conservation des reçus.</v>
      </c>
      <c r="H14" s="414"/>
    </row>
    <row r="15" spans="2:9" ht="84.95" customHeight="1" x14ac:dyDescent="0.25">
      <c r="B15" s="794"/>
      <c r="C15" s="432" t="str">
        <f>VLOOKUP(D15,'Basic Risk Assessment DATASHEET'!A:E,5,FALSE)</f>
        <v>Séparation des produits</v>
      </c>
      <c r="D15" s="433">
        <v>4</v>
      </c>
      <c r="E15" s="434" t="str">
        <f>IFERROR(VLOOKUP($B$13&amp;D15&amp;$B$5,'Basic Risk Assessment DATASHEET'!$F$3:$G$129,2,FALSE),$B$128)</f>
        <v>Gérez-vous/allez-vous (direction) utiliser uniquement des produits certifiés RA et/ou achetez-vous/achèterez-vous uniquement à des producteurs certifiés RA ?</v>
      </c>
      <c r="F15" s="387" t="s">
        <v>867</v>
      </c>
      <c r="G15" s="441" t="str">
        <f>VLOOKUP(RIGHT(E15&amp;F15,250),'Basic Risk Assessment DATASHEET'!$J$3:$K$129,2,FALSE)</f>
        <v>1) Mettre en œuvre un système pour identifier les produits provenant de producteurs certifiés par des moyens d'identification physique ou visuelle et au niveau des documents de traçabilité (reçus, registre, etc.).
2) Par exemple, des étiquettes sur les sacs durant le transport et le stockage des produits peuvent représenter une identification visuelle.</v>
      </c>
      <c r="H15" s="414"/>
    </row>
    <row r="16" spans="2:9" ht="105.75" customHeight="1" x14ac:dyDescent="0.25">
      <c r="B16" s="794"/>
      <c r="C16" s="432" t="str">
        <f>VLOOKUP(D16,'Basic Risk Assessment DATASHEET'!A:E,5,FALSE)</f>
        <v>Volumes récoltés</v>
      </c>
      <c r="D16" s="433">
        <v>5</v>
      </c>
      <c r="E16" s="434" t="str">
        <f>IFERROR(VLOOKUP($B$13&amp;D16&amp;$B$5,'Basic Risk Assessment DATASHEET'!$F$3:$G$129,2,FALSE),$B$128)</f>
        <v>Les membres du groupe ont-ils accès à des débouchés commerciaux/acheteurs différents pour leurs produits certifiés ?</v>
      </c>
      <c r="F16" s="387" t="s">
        <v>867</v>
      </c>
      <c r="G16" s="441" t="str">
        <f>VLOOKUP(RIGHT(E16&amp;F16,250),'Basic Risk Assessment DATASHEET'!$J$3:$K$129,2,FALSE)</f>
        <v>Pas d’action supplémentaire requise</v>
      </c>
      <c r="H16" s="414"/>
    </row>
    <row r="17" spans="2:8" ht="130.5" customHeight="1" thickBot="1" x14ac:dyDescent="0.3">
      <c r="B17" s="795"/>
      <c r="C17" s="432" t="str">
        <f>VLOOKUP(D17,'Basic Risk Assessment DATASHEET'!A:E,5,FALSE)</f>
        <v>Opérateurs de l’exploitation agricole</v>
      </c>
      <c r="D17" s="428">
        <v>6</v>
      </c>
      <c r="E17" s="434" t="str">
        <f>IFERROR(VLOOKUP($B$13&amp;D17&amp;$B$5,'Basic Risk Assessment DATASHEET'!$F$3:$G$129,2,FALSE),$B$128)</f>
        <v>Les membres du groupe dépendent-ils souvent des opérateurs des exploitations agricoles pour gérer leur exploitation agricole ?</v>
      </c>
      <c r="F17" s="386" t="s">
        <v>867</v>
      </c>
      <c r="G17" s="441" t="str">
        <f>VLOOKUP(RIGHT(E17&amp;F17,250),'Basic Risk Assessment DATASHEET'!$J$3:$K$129,2,FALSE)</f>
        <v>Pas d’action supplémentaire requise</v>
      </c>
      <c r="H17" s="415"/>
    </row>
    <row r="18" spans="2:8" x14ac:dyDescent="0.25">
      <c r="B18" s="430"/>
      <c r="C18" s="430"/>
      <c r="D18" s="430"/>
      <c r="E18" s="431"/>
    </row>
    <row r="19" spans="2:8" ht="15.75" thickBot="1" x14ac:dyDescent="0.3">
      <c r="B19" s="430"/>
      <c r="C19" s="430"/>
      <c r="D19" s="430"/>
      <c r="E19" s="431"/>
    </row>
    <row r="20" spans="2:8" ht="27" thickBot="1" x14ac:dyDescent="0.3">
      <c r="B20" s="424" t="str">
        <f>$G$113</f>
        <v>Exigence du standard</v>
      </c>
      <c r="C20" s="425" t="str">
        <f>$G$114</f>
        <v xml:space="preserve">Problème </v>
      </c>
      <c r="D20" s="426" t="str">
        <f>$G$115</f>
        <v xml:space="preserve">No. de question </v>
      </c>
      <c r="E20" s="426" t="str">
        <f>$G$116</f>
        <v>Question</v>
      </c>
      <c r="F20" s="469" t="str">
        <f>$G$117</f>
        <v>Réponse (sélectionner)</v>
      </c>
      <c r="G20" s="440" t="str">
        <f>$G$118</f>
        <v>Mesure d’atténuation</v>
      </c>
      <c r="H20" s="627" t="str">
        <f>$G$119</f>
        <v>Mesure d'atténuation propre du titulaire de certificat</v>
      </c>
    </row>
    <row r="21" spans="2:8" ht="90.95" customHeight="1" x14ac:dyDescent="0.25">
      <c r="B21" s="796" t="str">
        <f>VLOOKUP(D21,'Basic Risk Assessment DATASHEET'!A:B,2,FALSE)</f>
        <v>Le terme ‘productivité et rentabilité’ fait référence aux points suivants : 2.1.2 rendement des récoltes ; 1.3.6 entrées financières et compétences ; 1.3.7 diversification ; 3.1. coûts de production et Revenu vital</v>
      </c>
      <c r="C21" s="432" t="str">
        <f>VLOOKUP(D21,'Basic Risk Assessment DATASHEET'!A:E,5,FALSE)</f>
        <v>Récolte optimum</v>
      </c>
      <c r="D21" s="433">
        <v>7</v>
      </c>
      <c r="E21" s="434" t="str">
        <f>IFERROR(VLOOKUP($B$21&amp;D21&amp;$B$5,'Basic Risk Assessment DATASHEET'!$F$3:$G$129,2,FALSE),$B$128)</f>
        <v>Le rendement moyen de la culture certifiée des membres du groupe est-il égal ou supérieur au rendement moyen dans votre région ?</v>
      </c>
      <c r="F21" s="387" t="s">
        <v>859</v>
      </c>
      <c r="G21" s="441" t="str">
        <f>VLOOKUP(RIGHT(E21&amp;F21,250),'Basic Risk Assessment DATASHEET'!$J$3:$K$129,2,FALSE)</f>
        <v>1) Former le personnel à reconnaitre et à prioriser les contraintes de production sur le terrain.
2) Identifier les principales contraintes de productivité sur le terrain.
3) Mettre en place des expérimentations et des modèles d’exploitations agricoles en vue de présenter l’impact de la régénération et de la fertilisation des sols ainsi que de la lutte efficace contre les maladies et les ravageurs</v>
      </c>
      <c r="H21" s="413"/>
    </row>
    <row r="22" spans="2:8" ht="129.75" customHeight="1" x14ac:dyDescent="0.25">
      <c r="B22" s="797"/>
      <c r="C22" s="432" t="str">
        <f>VLOOKUP(D22,'Basic Risk Assessment DATASHEET'!A:E,5,FALSE)</f>
        <v>Accès à la finance, aux intrants et aux connaissances</v>
      </c>
      <c r="D22" s="433">
        <v>8</v>
      </c>
      <c r="E22" s="434" t="str">
        <f>IFERROR(VLOOKUP($B$21&amp;D22&amp;$B$5,'Basic Risk Assessment DATASHEET'!$F$3:$G$129,2,FALSE),$B$128)</f>
        <v>Tous les membres du groupe ont-ils accès aux financements, aux intrants agricoles et aux connaissances adéquates pour optimiser la productivité ?</v>
      </c>
      <c r="F22" s="387" t="s">
        <v>859</v>
      </c>
      <c r="G22" s="441" t="str">
        <f>VLOOKUP(RIGHT(E22&amp;F22,250),'Basic Risk Assessment DATASHEET'!$J$3:$K$129,2,FALSE)</f>
        <v>1) Identifier les principaux besoins des membres du groupe concernant les intrants et les connaissances.
2) Aider les membres du groupe avec des formations en finance, en gestion d’entreprise et en compréhension des coûts de production, des revenus nets et de l'élaboration d'un plan d'affaires simple (exigence librement choisie 1.3.6).
3) Au besoin, faciliter l’accès aux services financiers (ex : prêts pour les investissements des exploitations agricoles) (exigence librement choisie 1.3.6).</v>
      </c>
      <c r="H22" s="414"/>
    </row>
    <row r="23" spans="2:8" ht="159" customHeight="1" thickBot="1" x14ac:dyDescent="0.3">
      <c r="B23" s="798"/>
      <c r="C23" s="432" t="str">
        <f>VLOOKUP(D23,'Basic Risk Assessment DATASHEET'!A:E,5,FALSE)</f>
        <v>Revenu vital</v>
      </c>
      <c r="D23" s="433">
        <v>9</v>
      </c>
      <c r="E23" s="434" t="str">
        <f>IFERROR(VLOOKUP($B$21&amp;D23&amp;$B$5,'Basic Risk Assessment DATASHEET'!$F$3:$G$129,2,FALSE),$B$128)</f>
        <v>Tous les membres du groupe tirent-ils un revenu décent avec la production de la culture certifiée ?</v>
      </c>
      <c r="F23" s="387" t="s">
        <v>859</v>
      </c>
      <c r="G23" s="441" t="str">
        <f>VLOOKUP(RIGHT(E23&amp;F23,250),'Basic Risk Assessment DATASHEET'!$J$3:$K$129,2,FALSE)</f>
        <v>1) Évaluer le revenu net total pour un échantillon représentatif des ménages des membres du groupe en utilisant la référence de Revenu vital (exigence librement choisie 3.1.2).
2) Aider les membres du groupe avec des formations en finance, en gestion d’entreprise et en compréhension des coûts de production, des revenus nets et de l'élaboration d'un plan d'affaires simple (exigence librement choisie 1.3.6).
3) Au besoin, faciliter l’accès aux services financiers (ex : prêts pour les investissements des exploitations agricoles) (exigence librement choisie 1.3.6).
4) Aider les membres du groupe à prendre des décisions en connaissance de cause concernant les stratégies de diversification des revenus (ex : d’autres activités de génération de revenus, modernisation du produit) (exigence librement choisie 1.3.7).</v>
      </c>
      <c r="H23" s="415"/>
    </row>
    <row r="25" spans="2:8" ht="15.75" thickBot="1" x14ac:dyDescent="0.3"/>
    <row r="26" spans="2:8" ht="27" thickBot="1" x14ac:dyDescent="0.45">
      <c r="B26" s="791" t="str">
        <f>H113</f>
        <v>Pratiques agricoles</v>
      </c>
      <c r="C26" s="792"/>
      <c r="D26" s="792"/>
      <c r="E26" s="792"/>
      <c r="F26" s="792"/>
      <c r="G26" s="792"/>
      <c r="H26" s="410"/>
    </row>
    <row r="27" spans="2:8" s="416" customFormat="1" ht="27" thickBot="1" x14ac:dyDescent="0.45">
      <c r="B27" s="411"/>
      <c r="C27" s="411"/>
      <c r="D27" s="411"/>
      <c r="E27" s="411"/>
      <c r="F27" s="411"/>
      <c r="G27" s="411"/>
    </row>
    <row r="28" spans="2:8" ht="27" thickBot="1" x14ac:dyDescent="0.3">
      <c r="B28" s="424" t="str">
        <f>$G$113</f>
        <v>Exigence du standard</v>
      </c>
      <c r="C28" s="425" t="str">
        <f>$G$114</f>
        <v xml:space="preserve">Problème </v>
      </c>
      <c r="D28" s="426" t="str">
        <f>$G$115</f>
        <v xml:space="preserve">No. de question </v>
      </c>
      <c r="E28" s="426" t="str">
        <f>$G$116</f>
        <v>Question</v>
      </c>
      <c r="F28" s="469" t="str">
        <f>$G$117</f>
        <v>Réponse (sélectionner)</v>
      </c>
      <c r="G28" s="440" t="str">
        <f>$G$118</f>
        <v>Mesure d’atténuation</v>
      </c>
      <c r="H28" s="627" t="str">
        <f>$G$119</f>
        <v>Mesure d'atténuation propre du titulaire de certificat</v>
      </c>
    </row>
    <row r="29" spans="2:8" ht="193.5" customHeight="1" x14ac:dyDescent="0.25">
      <c r="B29" s="796" t="str">
        <f>VLOOKUP(D29,'Basic Risk Assessment DATASHEET'!A:B,2,FALSE)</f>
        <v>4.6 Gestion des produits agrochimiques</v>
      </c>
      <c r="C29" s="432" t="str">
        <f>VLOOKUP(D29,'Basic Risk Assessment DATASHEET'!A:E,5,FALSE)</f>
        <v>Utilisation des produits agrochimiques interdits</v>
      </c>
      <c r="D29" s="433">
        <v>10</v>
      </c>
      <c r="E29" s="434" t="str">
        <f>IFERROR(VLOOKUP($B$29&amp;D29&amp;$B$5,'Basic Risk Assessment DATASHEET'!$F$3:$G$129,2,FALSE),$B$128)</f>
        <v>Examiner la Liste des produits agrochimiques interdits de Rainforest Alliance :
L’utilisation sur l’exploitation d’un ou plusieurs produits phytosanitaires inclus dans la Liste des produits interdits par Rainforest Alliance est-elle une pratique courante dans la région ?</v>
      </c>
      <c r="F29" s="387" t="s">
        <v>867</v>
      </c>
      <c r="G29" s="441" t="str">
        <f>VLOOKUP(RIGHT(E29&amp;F29,255),'Basic Risk Assessment DATASHEET'!$J$3:$K$129,2,FALSE)</f>
        <v>Pas d’action supplémentaire requise</v>
      </c>
      <c r="H29" s="413"/>
    </row>
    <row r="30" spans="2:8" ht="206.45" customHeight="1" x14ac:dyDescent="0.25">
      <c r="B30" s="797"/>
      <c r="C30" s="432" t="str">
        <f>VLOOKUP(D30,'Basic Risk Assessment DATASHEET'!A:E,5,FALSE)</f>
        <v>Quantité d’applications de pesticides</v>
      </c>
      <c r="D30" s="433">
        <v>11</v>
      </c>
      <c r="E30" s="434" t="str">
        <f>IFERROR(VLOOKUP($B$29&amp;D30&amp;$B$5,'Basic Risk Assessment DATASHEET'!$F$3:$G$129,2,FALSE),$B$128)</f>
        <v>Est-il pratique habituelle pour les agriculteurs de d’abord essayer les méthodes de contrôle biologique, physique et autres méthodes non chimiques (PIC) pour le contrôle des ravageurs avant d’utiliser des produits agrochimiques ?</v>
      </c>
      <c r="F30" s="387" t="s">
        <v>874</v>
      </c>
      <c r="G30" s="441" t="str">
        <f>VLOOKUP(RIGHT(E30&amp;F30,250),'Basic Risk Assessment DATASHEET'!$J$3:$K$129,2,FALSE)</f>
        <v>Pas d’action supplémentaire requise</v>
      </c>
      <c r="H30" s="414"/>
    </row>
    <row r="31" spans="2:8" ht="207.75" customHeight="1" thickBot="1" x14ac:dyDescent="0.3">
      <c r="B31" s="798"/>
      <c r="C31" s="432" t="str">
        <f>VLOOKUP(D31,'Basic Risk Assessment DATASHEET'!A:E,5,FALSE)</f>
        <v>Utilisation d’EPI</v>
      </c>
      <c r="D31" s="433">
        <v>12</v>
      </c>
      <c r="E31" s="434" t="str">
        <f>IFERROR(VLOOKUP($B$29&amp;D31&amp;$B$5,'Basic Risk Assessment DATASHEET'!$F$3:$G$129,2,FALSE),$B$128)</f>
        <v xml:space="preserve">Est-il pratique habituelle que les membres du groupe et/ou leurs travailleurs utilisent des Équipements de protection individuelle (EPI) pour l’application des produits agrochimiques ? </v>
      </c>
      <c r="F31" s="387" t="s">
        <v>874</v>
      </c>
      <c r="G31" s="441" t="str">
        <f>VLOOKUP(RIGHT(E31&amp;F31,250),'Basic Risk Assessment DATASHEET'!$J$3:$K$129,2,FALSE)</f>
        <v>Pas d’action supplémentaire requise</v>
      </c>
      <c r="H31" s="415"/>
    </row>
    <row r="32" spans="2:8" ht="15.75" thickBot="1" x14ac:dyDescent="0.3">
      <c r="B32" s="430"/>
      <c r="C32" s="430"/>
      <c r="D32" s="430"/>
      <c r="E32" s="431"/>
    </row>
    <row r="33" spans="2:9" ht="27" thickBot="1" x14ac:dyDescent="0.3">
      <c r="B33" s="424" t="str">
        <f>$G$113</f>
        <v>Exigence du standard</v>
      </c>
      <c r="C33" s="425" t="str">
        <f>$G$114</f>
        <v xml:space="preserve">Problème </v>
      </c>
      <c r="D33" s="426" t="str">
        <f>$G$115</f>
        <v xml:space="preserve">No. de question </v>
      </c>
      <c r="E33" s="426" t="str">
        <f>$G$116</f>
        <v>Question</v>
      </c>
      <c r="F33" s="469" t="str">
        <f>$G$117</f>
        <v>Réponse (sélectionner)</v>
      </c>
      <c r="G33" s="440" t="str">
        <f>$G$118</f>
        <v>Mesure d’atténuation</v>
      </c>
      <c r="H33" s="627" t="str">
        <f>$G$119</f>
        <v>Mesure d'atténuation propre du titulaire de certificat</v>
      </c>
    </row>
    <row r="34" spans="2:9" ht="51.75" customHeight="1" x14ac:dyDescent="0.25">
      <c r="B34" s="793" t="str">
        <f>VLOOKUP(D34,'Basic Risk Assessment DATASHEET'!A:B,2,FALSE)</f>
        <v>4.4 Fertilité et conservation des sols</v>
      </c>
      <c r="C34" s="432" t="str">
        <f>VLOOKUP(D34,'Basic Risk Assessment DATASHEET'!A:E,5,FALSE)</f>
        <v>Érosion</v>
      </c>
      <c r="D34" s="433">
        <v>13</v>
      </c>
      <c r="E34" s="434" t="str">
        <f>IFERROR(VLOOKUP($B$34&amp;D34&amp;$B$115,'Basic Risk Assessment DATASHEET'!$F$3:$G$129,2,FALSE),$B$128)</f>
        <v>Est-ce qu'il y a des zones qui ont une pente supérieure à 1m de haut sur 3m de long sur une zone &gt;0,1ha ?</v>
      </c>
      <c r="F34" s="387" t="s">
        <v>867</v>
      </c>
      <c r="G34" s="441" t="str">
        <f>VLOOKUP(RIGHT(E34&amp;F34,250),'Basic Risk Assessment DATASHEET'!$J$3:$K$129,2,FALSE)</f>
        <v xml:space="preserve">S’assurer qu’il n'y ait pas de formation de ravines et que la couche organique supérieure n’est pas lessivée. </v>
      </c>
      <c r="H34" s="413"/>
    </row>
    <row r="35" spans="2:9" ht="49.5" customHeight="1" x14ac:dyDescent="0.25">
      <c r="B35" s="794"/>
      <c r="C35" s="432" t="str">
        <f>VLOOKUP(D35,'Basic Risk Assessment DATASHEET'!A:E,5,FALSE)</f>
        <v>Engorgement hydrique/stagnation de l'eau</v>
      </c>
      <c r="D35" s="433">
        <v>14</v>
      </c>
      <c r="E35" s="434" t="str">
        <f>IFERROR(VLOOKUP($B$34&amp;D35&amp;$B$115,'Basic Risk Assessment DATASHEET'!$F$3:$G$129,2,FALSE),$B$128)</f>
        <v>Après les pluies, y-a-t-il des zones au sein de l’exploitation agricole/des exploitations agricoles des membres du groupe avec de longues périodes d’eaux stagnantes ?</v>
      </c>
      <c r="F35" s="387" t="s">
        <v>874</v>
      </c>
      <c r="G35" s="441" t="str">
        <f>VLOOKUP(RIGHT(E35&amp;F35,250),'Basic Risk Assessment DATASHEET'!$J$3:$K$129,2,FALSE)</f>
        <v>Mettre en œuvre des mesures pour améliorer le drainage via des mesures physiques, en creusant des tranchées de drainage ou en améliorant la structure du sol pour augmenter la capacité des sols à absorber l’eau et à la garder.</v>
      </c>
      <c r="H35" s="414"/>
    </row>
    <row r="36" spans="2:9" ht="86.25" customHeight="1" x14ac:dyDescent="0.25">
      <c r="B36" s="794"/>
      <c r="C36" s="432" t="str">
        <f>VLOOKUP(D36,'Basic Risk Assessment DATASHEET'!A:E,5,FALSE)</f>
        <v>Engorgement hydrique/stagnation de l'eau</v>
      </c>
      <c r="D36" s="433">
        <v>15</v>
      </c>
      <c r="E36" s="434" t="str">
        <f>IFERROR(VLOOKUP($B$34&amp;D36&amp;$B$115,'Basic Risk Assessment DATASHEET'!$F$3:$G$129,2,FALSE),$B$128)</f>
        <v>Est-ce que le niveau élevé des eaux souterraines est un problème dans certaines zones ?</v>
      </c>
      <c r="F36" s="387" t="s">
        <v>874</v>
      </c>
      <c r="G36" s="441" t="str">
        <f>VLOOKUP(RIGHT(E36&amp;F36,250),'Basic Risk Assessment DATASHEET'!$J$3:$K$129,2,FALSE)</f>
        <v>1) Évaluer si la zone est adaptée pour la culture et prendre en compte quelles sont les cultures appropriées pour ces zones.
2) Dans certains cas : améliorer le drainage et/ou conserver la végétation protectrice.</v>
      </c>
      <c r="H36" s="414"/>
    </row>
    <row r="37" spans="2:9" ht="147.4" customHeight="1" thickBot="1" x14ac:dyDescent="0.3">
      <c r="B37" s="795"/>
      <c r="C37" s="432" t="str">
        <f>VLOOKUP(D37,'Basic Risk Assessment DATASHEET'!A:E,5,FALSE)</f>
        <v>Sécheresse</v>
      </c>
      <c r="D37" s="428">
        <v>16</v>
      </c>
      <c r="E37" s="434" t="str">
        <f>IFERROR(VLOOKUP($B$34&amp;D37&amp;$B$115,'Basic Risk Assessment DATASHEET'!$F$3:$G$129,2,FALSE),$B$128)</f>
        <v>Est-ce que la sécheresse est (devient) un facteur limitant pour la production des cultures ?</v>
      </c>
      <c r="F37" s="386" t="s">
        <v>867</v>
      </c>
      <c r="G37" s="441" t="str">
        <f>VLOOKUP(RIGHT(E37&amp;F37,250),'Basic Risk Assessment DATASHEET'!$J$3:$K$129,2,FALSE)</f>
        <v xml:space="preserve">S’assurer que la structure du sol est conservée pour éviter la compaction. </v>
      </c>
      <c r="H37" s="415"/>
    </row>
    <row r="38" spans="2:9" ht="15.75" thickBot="1" x14ac:dyDescent="0.3"/>
    <row r="39" spans="2:9" ht="27" thickBot="1" x14ac:dyDescent="0.45">
      <c r="B39" s="791" t="str">
        <f>H114</f>
        <v>Conditions de travail</v>
      </c>
      <c r="C39" s="792"/>
      <c r="D39" s="792"/>
      <c r="E39" s="792"/>
      <c r="F39" s="792"/>
      <c r="G39" s="792"/>
      <c r="H39" s="410"/>
    </row>
    <row r="40" spans="2:9" s="416" customFormat="1" ht="27" thickBot="1" x14ac:dyDescent="0.45">
      <c r="B40" s="411"/>
      <c r="C40" s="411"/>
      <c r="D40" s="411"/>
      <c r="E40" s="411"/>
      <c r="F40" s="411"/>
      <c r="G40" s="411"/>
    </row>
    <row r="41" spans="2:9" ht="27" thickBot="1" x14ac:dyDescent="0.3">
      <c r="B41" s="424" t="str">
        <f>$G$113</f>
        <v>Exigence du standard</v>
      </c>
      <c r="C41" s="425" t="str">
        <f>$G$114</f>
        <v xml:space="preserve">Problème </v>
      </c>
      <c r="D41" s="426" t="str">
        <f>$G$115</f>
        <v xml:space="preserve">No. de question </v>
      </c>
      <c r="E41" s="426" t="str">
        <f>$G$116</f>
        <v>Question</v>
      </c>
      <c r="F41" s="469" t="str">
        <f>$G$117</f>
        <v>Réponse (sélectionner)</v>
      </c>
      <c r="G41" s="440" t="str">
        <f>$G$118</f>
        <v>Mesure d’atténuation</v>
      </c>
      <c r="H41" s="627" t="str">
        <f>$G$119</f>
        <v>Mesure d'atténuation propre du titulaire de certificat</v>
      </c>
    </row>
    <row r="42" spans="2:9" ht="78" customHeight="1" thickBot="1" x14ac:dyDescent="0.3">
      <c r="B42" s="435" t="str">
        <f>VLOOKUP(D42,'Basic Risk Assessment DATASHEET'!A:B,2,FALSE)</f>
        <v>1.5 Mécanisme de réclamation</v>
      </c>
      <c r="C42" s="432" t="str">
        <f>VLOOKUP(D42,'Basic Risk Assessment DATASHEET'!A:E,5,FALSE)</f>
        <v>Mécanisme de réclamation</v>
      </c>
      <c r="D42" s="433">
        <v>17</v>
      </c>
      <c r="E42" s="434" t="str">
        <f>IFERROR(VLOOKUP($B$42&amp;D42&amp;$B$115,'Basic Risk Assessment DATASHEET'!$F$3:$G$129,2,FALSE),$B$128)</f>
        <v>L’information relative au mécanisme de réclamation et au comité d’évaluation et de résolution est-elle visible et accessible par tous les individus, travailleurs, communautés et/ou la société civile ?</v>
      </c>
      <c r="F42" s="387" t="s">
        <v>874</v>
      </c>
      <c r="G42" s="441" t="str">
        <f>VLOOKUP(RIGHT(E42&amp;F42,250),'Basic Risk Assessment DATASHEET'!$J$3:$K$129,2,FALSE)</f>
        <v>Vérifier et mettre à jour régulièrement l’affichage public afin d’être sûr que les informations sont toujours correctes, visibles et accessibles par tous, y compris dans les langues du personnel local et temporaire</v>
      </c>
      <c r="H42" s="412"/>
    </row>
    <row r="44" spans="2:9" ht="15.75" thickBot="1" x14ac:dyDescent="0.3">
      <c r="G44" s="580" t="str">
        <f>HYPERLINK("https://www.rainforest-alliance.org/in-the-field/manage-risk-with-the-rainforest-alliance-child-labor-and-forced-labor-sectoral-risk-maps/")</f>
        <v>https://www.rainforest-alliance.org/in-the-field/manage-risk-with-the-rainforest-alliance-child-labor-and-forced-labor-sectoral-risk-maps/</v>
      </c>
    </row>
    <row r="45" spans="2:9" ht="81.75" customHeight="1" thickBot="1" x14ac:dyDescent="0.3">
      <c r="B45" s="424" t="str">
        <f>$G$113</f>
        <v>Exigence du standard</v>
      </c>
      <c r="C45" s="425" t="str">
        <f>$G$114</f>
        <v xml:space="preserve">Problème </v>
      </c>
      <c r="D45" s="426" t="str">
        <f>$G$115</f>
        <v xml:space="preserve">No. de question </v>
      </c>
      <c r="E45" s="426" t="str">
        <f>$G$116</f>
        <v>Question</v>
      </c>
      <c r="F45" s="469" t="str">
        <f>$G$117</f>
        <v>Réponse (sélectionner)</v>
      </c>
      <c r="G45" s="531" t="str">
        <f>G134</f>
        <v>Mesures d'atténuation 
("risque bas, moyen, élevé" se refère aux cartes de risque Rainforest Alliance sur le Travail des Enfants et le Travail Forcé qui sont applicables à votre pays et votre produit) &lt;- Pour les pays ou les cultures qui ne sont pas encore inclus dans les cartes de risques, veuillez sélectionner les mesures d'atténuation appropriées en vous basant sur les risques identifiés.</v>
      </c>
      <c r="H45" s="627" t="str">
        <f>$G$119</f>
        <v>Mesure d'atténuation propre du titulaire de certificat</v>
      </c>
    </row>
    <row r="46" spans="2:9" ht="151.5" customHeight="1" x14ac:dyDescent="0.25">
      <c r="B46" s="467" t="str">
        <f>VLOOKUP(D46,'Basic Risk Assessment DATASHEET'!A:B,2,FALSE)</f>
        <v>5.1 Évaluation-et-Résolution</v>
      </c>
      <c r="C46" s="432" t="str">
        <f>VLOOKUP(D46,'Basic Risk Assessment DATASHEET'!A:E,5,FALSE)</f>
        <v>Égalité des chances et prévention de la discrimination</v>
      </c>
      <c r="D46" s="433">
        <v>18</v>
      </c>
      <c r="E46" s="434" t="str">
        <f>IFERROR(VLOOKUP($B$46&amp;D46&amp;$B$115,'Basic Risk Assessment DATASHEET'!$F$3:$G$129,2,FALSE),$B$128)</f>
        <v>Les populations suivantes sont-elles présentes sur ou à proximité de l’exploitation agricole ou du groupe ? Travailleurs migrants, minorités ethniques particulières, populations autochtones, personnes qui ne parlent pas la langue principale du pays et de la région.</v>
      </c>
      <c r="F46" s="387" t="s">
        <v>874</v>
      </c>
      <c r="G46" s="441" t="str">
        <f>VLOOKUP(RIGHT(E46&amp;F46,255),'Basic Risk Assessment DATASHEET'!$J$3:$K$129,2,FALSE)</f>
        <v>1) Évaluer si les membres de ces populations travaillent sur l’exploitation agricoles ou sont employés par les membres du groupe.
2) S’assurer que la direction de l'exploitation agricole et du groupe est consciente du type de populations présentes et qu’elle consigne leurs caractéristiques : type de population, nombre (estimation), langue et autres paramètres appropriés.</v>
      </c>
      <c r="H46" s="417"/>
      <c r="I46" s="408"/>
    </row>
    <row r="47" spans="2:9" ht="76.5" customHeight="1" x14ac:dyDescent="0.25">
      <c r="B47" s="436"/>
      <c r="C47" s="432" t="str">
        <f>VLOOKUP(D47,'Basic Risk Assessment DATASHEET'!A:E,5,FALSE)</f>
        <v>Égalité des chances et prévention de la discrimination</v>
      </c>
      <c r="D47" s="433">
        <v>19</v>
      </c>
      <c r="E47" s="434" t="str">
        <f>IFERROR(VLOOKUP($B$46&amp;D47&amp;$B$5,'Basic Risk Assessment DATASHEET'!$F$3:$G$129,2,FALSE),$B$128)</f>
        <v>(Ne s'applique pas à ce type de Titulaire de Certificat)</v>
      </c>
      <c r="F47" s="387" t="s">
        <v>874</v>
      </c>
      <c r="G47" s="441" t="e">
        <f>VLOOKUP(RIGHT(E47&amp;F47,255),'Basic Risk Assessment DATASHEET'!$J$3:$K$129,2,FALSE)</f>
        <v>#N/A</v>
      </c>
      <c r="H47" s="414"/>
    </row>
    <row r="48" spans="2:9" ht="174.75" customHeight="1" x14ac:dyDescent="0.25">
      <c r="B48" s="436"/>
      <c r="C48" s="432" t="str">
        <f>VLOOKUP(D48,'Basic Risk Assessment DATASHEET'!A:E,5,FALSE)</f>
        <v>Prévention de la violence et du harcèlement au travail</v>
      </c>
      <c r="D48" s="433">
        <v>20</v>
      </c>
      <c r="E48" s="434" t="str">
        <f>IFERROR(VLOOKUP($B$46&amp;D48&amp;$B$115,'Basic Risk Assessment DATASHEET'!$F$3:$G$129,2,FALSE),$B$128)</f>
        <v xml:space="preserve">Est-ce que la direction met en place des actions ciblées pour empêcher la violence et le harcèlement (dont le harcèlement sexuel) ? </v>
      </c>
      <c r="F48" s="387" t="s">
        <v>874</v>
      </c>
      <c r="G48" s="441" t="str">
        <f>VLOOKUP(RIGHT(E48&amp;F48,255),'Basic Risk Assessment DATASHEET'!$J$3:$K$129,2,FALSE)</f>
        <v>Pas d’action supplémentaire requise</v>
      </c>
      <c r="H48" s="414"/>
    </row>
    <row r="49" spans="2:8" ht="112.5" customHeight="1" x14ac:dyDescent="0.25">
      <c r="B49" s="436"/>
      <c r="C49" s="432" t="str">
        <f>VLOOKUP(D49,'Basic Risk Assessment DATASHEET'!A:E,5,FALSE)</f>
        <v>Prévention de la violence et du harcèlement au travail</v>
      </c>
      <c r="D49" s="433">
        <v>21</v>
      </c>
      <c r="E49" s="434" t="str">
        <f>IFERROR(VLOOKUP($B$46&amp;D49&amp;$B$5,'Basic Risk Assessment DATASHEET'!$F$3:$G$129,2,FALSE),$B$128)</f>
        <v>(Ne s'applique pas à ce type de Titulaire de Certificat)</v>
      </c>
      <c r="F49" s="387" t="s">
        <v>874</v>
      </c>
      <c r="G49" s="441" t="e">
        <f>VLOOKUP(RIGHT(E49&amp;F49,255),'Basic Risk Assessment DATASHEET'!$J$3:$K$129,2,FALSE)</f>
        <v>#N/A</v>
      </c>
      <c r="H49" s="414"/>
    </row>
    <row r="50" spans="2:8" ht="154.5" customHeight="1" x14ac:dyDescent="0.25">
      <c r="B50" s="436"/>
      <c r="C50" s="432" t="str">
        <f>VLOOKUP(D50,'Basic Risk Assessment DATASHEET'!A:E,5,FALSE)</f>
        <v>Vérification de l’âge</v>
      </c>
      <c r="D50" s="433">
        <v>22</v>
      </c>
      <c r="E50" s="434" t="str">
        <f>IFERROR(VLOOKUP($B$46&amp;D50&amp;$B$5,'Basic Risk Assessment DATASHEET'!$F$3:$G$129,2,FALSE),$B$128)</f>
        <v>Le risque existe-t-il que les membres du groupe d’exploitations agricoles ne vérifient pas de la conformité de l’âge des travailleurs employés au moment de leur embauche ?</v>
      </c>
      <c r="F50" s="387" t="s">
        <v>874</v>
      </c>
      <c r="G50" s="441" t="str">
        <f>VLOOKUP(RIGHT(E50&amp;F50,255),'Basic Risk Assessment DATASHEET'!$J$3:$K$129,2,FALSE)</f>
        <v>1) Expliquer à tous les agriculteurs qui ont embauché des travailleurs comment vérifier l’âge de toutes les nouvelles embauches sur le lieu de travail, y compris celui de travailleurs envoyés par les agences de placement.
2) La vérification de l’âge doit se baser sur les documents d'identité, les dossiers scolaires et médicaux ou sur d’autres formulaires vérifiables de preuves d’identité.
3) Vérifier avec l'inspection interne les données de la liste des travailleurs.</v>
      </c>
      <c r="H50" s="414"/>
    </row>
    <row r="51" spans="2:8" ht="391.5" customHeight="1" x14ac:dyDescent="0.25">
      <c r="B51" s="436"/>
      <c r="C51" s="432" t="str">
        <f>VLOOKUP(D51,'Basic Risk Assessment DATASHEET'!A:E,5,FALSE)</f>
        <v>Travail dangereux</v>
      </c>
      <c r="D51" s="433">
        <v>23</v>
      </c>
      <c r="E51" s="434" t="str">
        <f>IFERROR(VLOOKUP($B$46&amp;D51&amp;$B$5,'Basic Risk Assessment DATASHEET'!$F$3:$G$129,2,FALSE),$B$128)</f>
        <v>Est-ce que la direction du groupe a listé des tâches, des processus ou des conditions de travail qui pourraient être dangereuses pour les jeunes travailleurs ?</v>
      </c>
      <c r="F51" s="387" t="s">
        <v>874</v>
      </c>
      <c r="G51" s="441" t="str">
        <f>VLOOKUP(RIGHT(E51&amp;F51,255),'Basic Risk Assessment DATASHEET'!$J$3:$K$129,2,FALSE)</f>
        <v xml:space="preserve">Faible risque :
Communiquer cette liste à tous les membres du groupe qui embauchent des jeunes travailleurs
Risque moyen et élevé :
1) Communiquer cette liste à tous les membres du groupe et ;
2) S’assurer, via la formation et le suivi du travail des enfants, que les membres savent qu’il est interdit d’assigner les jeunes travailleurs de moins de 18 ans à des tâches dangereuses.
3) Vérifier via des inspections internes que la liste existe, que cette liste est communiquée et que le contrôle du travail des enfants est effectué et focalisé sur les tâches dangereuses </v>
      </c>
      <c r="H51" s="414"/>
    </row>
    <row r="52" spans="2:8" ht="147.75" customHeight="1" x14ac:dyDescent="0.25">
      <c r="B52" s="436"/>
      <c r="C52" s="432" t="str">
        <f>VLOOKUP(D52,'Basic Risk Assessment DATASHEET'!A:E,5,FALSE)</f>
        <v>Education</v>
      </c>
      <c r="D52" s="433">
        <v>24</v>
      </c>
      <c r="E52" s="434" t="str">
        <f>IFERROR(VLOOKUP($B$46&amp;D52&amp;$B$5,'Basic Risk Assessment DATASHEET'!$F$3:$G$129,2,FALSE),$B$128)</f>
        <v>Existe-t-il un risque que les enfants du personnel du groupe, ou des membres du groupe, ou les enfants des travailleurs, en âge scolaire, ne puissent fréquenter une école implantée à une distance de transport ou de marche garantissant leur sécurité ? (Utiliser la carte de la zone du groupe pour évaluer cela)</v>
      </c>
      <c r="F52" s="387" t="s">
        <v>874</v>
      </c>
      <c r="G52" s="441" t="str">
        <f>VLOOKUP(RIGHT(E52&amp;F52,255),'Basic Risk Assessment DATASHEET'!$J$3:$K$129,2,FALSE)</f>
        <v xml:space="preserve"> 1) Sensibiliser les membres du groupe à l’importance de l’éducation et discuter avec eux des différentes manières dont dispose le groupe pour faciliter l’accès des enfants à l’éducation. 
2) Identifier via des inspections internes si les enfants de membres du groupe sont exposés à un risque plus élevé de ne pas pouvoir fréquenter l’école en raison de son éloignement ou à cause d’autres problèmes d’accessibilité.
3) Définir et mettre en œuvre une procédure par étapes d’aide aux familles permettant aux enfants de fréquenter l’école (directement ou via le Ministère ou le Service de l’éducation ou via les ‘AVEC’ - Associations Villageoises d’Épargne et de Crédit) </v>
      </c>
      <c r="H52" s="414"/>
    </row>
    <row r="53" spans="2:8" ht="311.25" customHeight="1" x14ac:dyDescent="0.25">
      <c r="B53" s="436"/>
      <c r="C53" s="432" t="str">
        <f>VLOOKUP(D53,'Basic Risk Assessment DATASHEET'!A:E,5,FALSE)</f>
        <v xml:space="preserve">Travailleurs familiaux </v>
      </c>
      <c r="D53" s="433">
        <v>25</v>
      </c>
      <c r="E53" s="434" t="str">
        <f>IFERROR(VLOOKUP($B$46&amp;D53&amp;$B$5,'Basic Risk Assessment DATASHEET'!$F$3:$G$129,2,FALSE),$B$128)</f>
        <v>Existe-t-il un risque que des jeunes de moins de 18 ans soient assignés à des tâches dangereuses et/ou pour lesquelles ils sont trop jeunes dans l’une  des exploitations du groupe ?</v>
      </c>
      <c r="F53" s="387" t="s">
        <v>874</v>
      </c>
      <c r="G53" s="441" t="str">
        <f>VLOOKUP(RIGHT(E53&amp;F53,255),'Basic Risk Assessment DATASHEET'!$J$3:$K$129,2,FALSE)</f>
        <v>Risque moyen et élevé
1) Informer les membres de la politique concernant le travail des enfants, y compris l’âge à partir duquel les enfants peuvent aider leurs parents, ainsi que l’âge à partir duquel l’embauche directe des enfants dans d’autres exploitations est autorisée pour un travail léger, conformément à la Norme de Rainforest Alliance et à la législation nationale.
2) Désigner des contrôleurs (en nombre suffisant pour garantir un niveau de couverture et une visibilité efficaces dans les exploitations du groupe de producteurs) en vue d’assurer la surveillance permanente de l’application des règles de travail, de sécurité sanitaire et d’assiduité scolaire des enfants et afin de garantir que les inspecteurs, les agriculteurs, les superviseurs des jeunes travailleurs et les travailleurs employés eux-mêmes restent en permanence sensibilisés à la politique du groupe sur le travail des enfants. 
Risque faible :
1) Informer les membres de la politique concernant le travail des enfants, y compris l’âge à partir duquel les enfants peuvent aider leurs parents, ainsi que l’âge à partir duquel l’embauche directe des enfants dans d’autres exploitations est autorisée pour un travail léger, conformément à la Norme de Rainforest Alliance et à la législation nationale.
2) Expliquer le modèle Évaluation-et-Résolution aux membres pour promouvoir la transparence concernant les risques de travail des enfants et pour apporter des solutions afin d’atténuer le risque.</v>
      </c>
      <c r="H53" s="414"/>
    </row>
    <row r="54" spans="2:8" ht="330" customHeight="1" x14ac:dyDescent="0.25">
      <c r="B54" s="436"/>
      <c r="C54" s="432" t="str">
        <f>VLOOKUP(D54,'Basic Risk Assessment DATASHEET'!A:E,5,FALSE)</f>
        <v>Agences de placement de main-d'œuvre</v>
      </c>
      <c r="D54" s="433">
        <v>26</v>
      </c>
      <c r="E54" s="434" t="str">
        <f>IFERROR(VLOOKUP($B$46&amp;D54&amp;$B$5,'Basic Risk Assessment DATASHEET'!$F$3:$G$129,2,FALSE),$B$128)</f>
        <v>Est-il probable que les membres du groupe utilisent des agences de placement de main-d'œuvre pour recruter les travailleurs ?</v>
      </c>
      <c r="F54" s="387" t="s">
        <v>874</v>
      </c>
      <c r="G54" s="441" t="str">
        <f>VLOOKUP(RIGHT(E54&amp;F54,255),'Basic Risk Assessment DATASHEET'!$J$3:$K$129,2,FALSE)</f>
        <v>Risque faible : 
1. Rechercher s’il existe un système administratif d’immatriculation ou de délivrance de licence d’agence de placement de main-d'œuvre. Si c’est le cas, informer les membres que toutes les agences de placement dont ils pourraient utiliser les services doivent être titulaires d’un numéro d'immatriculation ou de licence.
2. Indiquer aux membres que tous les frais et commissions de recrutement à payer aux agences de placement sont à leur charge exclusive et en aucun cas à la charge des travailleurs.
3. Indiquer aux membres que les agences de placement qu’ils sollicitent doivent respecter toutes les obligations salariales et contractuelles (5.3) ainsi que toute la réglementation du travail (5.5).
Risque moyen et élevé :
1. Mettre en œuvre toutes les mesures d’atténuation « risque faible », de plus :
2. Les membres doivent souscrire des contrats écrits avec toutes les agences de placements auxquelles ils font appel, consigner les numéros d’immatriculation ou de licence, les rémunérations/frais payés par chaque membre à l’agence de placement, l’interdiction d’imputer les charges de recrutement aux travailleurs, l’interdiction des pratiques frauduleuses ou coercitives,et l’obligation de respecter les contraintes 5.3 et 5.5.
3. Contrôler via des inspections internes ou une surveillance évaluation-et- résolution, l’existence de contrats entre les membres et les agences de placement.
 4. Contrôler via des inspections internes ou une surveillance évaluation-et- résolution, que les agences de placement ne recourent pas à des méthodes de recrutement frauduleuses ou coercitives.</v>
      </c>
      <c r="H54" s="414"/>
    </row>
    <row r="55" spans="2:8" ht="383.25" customHeight="1" x14ac:dyDescent="0.25">
      <c r="B55" s="436"/>
      <c r="C55" s="432" t="str">
        <f>VLOOKUP(D55,'Basic Risk Assessment DATASHEET'!A:E,5,FALSE)</f>
        <v>Agences de placement de main-d'œuvre</v>
      </c>
      <c r="D55" s="433">
        <v>27</v>
      </c>
      <c r="E55" s="434" t="str">
        <f>IFERROR(VLOOKUP($B$46&amp;D55&amp;$B$115,'Basic Risk Assessment DATASHEET'!$F$3:$G$129,2,FALSE),$B$128)</f>
        <v>Est-ce que la direction du groupe/exploitation agricole utilise des agences de placement de main-d'œuvre pour recruter des travailleurs ?</v>
      </c>
      <c r="F55" s="387" t="s">
        <v>874</v>
      </c>
      <c r="G55" s="441" t="str">
        <f>VLOOKUP(RIGHT(E55&amp;F55,255),'Basic Risk Assessment DATASHEET'!$J$3:$K$129,2,FALSE)</f>
        <v xml:space="preserve">Risque faible : 
1. Rechercher s’il existe un système administratif d’immatriculation ou de délivrance de licence d’agence de placement de main-d'œuvre. Si c’est le cas, toutes les agences de placement doivent être immatriculées ou licenciées et titulaires d’un numéro d'immatriculation ou de licence.
2. Vérifier que l’exploitation ou la direction du groupe paye tous les frais et commissions de recrutement aux agences de placement et que ces dépenses ne sont pas à la charge des travailleurs.
3. Indiquer aux agences de placement qu’elles doivent respecter toutes les obligations salariales et contractuelles (5.3) ainsi que toute la réglementation du travail (5.5) aussi longtemps que les travailleurs sont sous leur responsabilité.
Risque moyen et élevé :
1. Mettre en œuvre toutes les mesures d’atténuation « risque faible », de plus :
2. Vérifier auprès des autorités administratives que l’immatriculation ou la licence des agences de placement est toujours valide et qu’elles se conforment à la loi.
3. Souscrire des contrats écrits avec toutes les agences de placements auxquelles ils font appel, consigner les numéros d’immatriculation ou de licence, les rémunérations/frais payés par la direction de l'exploitation ou du groupe à l’agence de placement, l’interdiction d’imputer les charges de recrutement aux travailleurs, l’interdiction des pratiques frauduleuses ou coercitives,et l’obligation de respecter les contraintes 5.3 et 5.5.
4. Contrôler également via une surveillance évaluation-et- résolution, l’existence de contrats avec les agences de placement.
5. En cas de recrutement de travailleurs, avoir instauré un processus permettant en collaboration avec les travailleurs de vérifier les salaires et les conditions de travail promises (ou utilisées frauduleusement) et vérifier si les travailleurs sont endettés au profit des agences de placement.
6. Contrôler, également via une surveillance évaluation-et-résolution, que les agences de placement ne recourent pas à des méthodes de recrutement frauduleuses ou coercitives.
</v>
      </c>
      <c r="H55" s="414"/>
    </row>
    <row r="56" spans="2:8" ht="192" customHeight="1" x14ac:dyDescent="0.25">
      <c r="B56" s="436"/>
      <c r="C56" s="432" t="str">
        <f>VLOOKUP(D56,'Basic Risk Assessment DATASHEET'!A:E,5,FALSE)</f>
        <v>Pratiques de paiement des salaires</v>
      </c>
      <c r="D56" s="433">
        <v>28</v>
      </c>
      <c r="E56" s="434" t="str">
        <f>IFERROR(VLOOKUP($B$46&amp;D56&amp;$B$5,'Basic Risk Assessment DATASHEET'!$F$3:$G$129,2,FALSE),$B$128)</f>
        <v>Les membres du groupes rémunèrent-ils les travailleurs à la production/au quota/à la pièce, au moins à certaines époques de l’année ?</v>
      </c>
      <c r="F56" s="387" t="s">
        <v>874</v>
      </c>
      <c r="G56" s="441" t="str">
        <f>VLOOKUP(RIGHT(E56&amp;F56,255),'Basic Risk Assessment DATASHEET'!$J$3:$K$129,2,FALSE)</f>
        <v xml:space="preserve">Risque faible :
1. L’exploitation dispose d’un système de calcul/de garantie qui assure que le salaire des travailleurs payés à la pièce est au moins égal au salaire minimum.
Risque moyen et élevé :
1. Les procédures de réclamation ou de questionnement établies par le groupe à propos du calcul de la paye sont communiquées au travailleurs au moment de l’embauche. Cette information doit également les informer sur la disponibilité d’un mécanisme de réclamation. Cette information doit être délivrée dans la (les) langue(s) parlée(s) par les travailleurs.
</v>
      </c>
      <c r="H56" s="414"/>
    </row>
    <row r="57" spans="2:8" ht="160.5" customHeight="1" x14ac:dyDescent="0.25">
      <c r="B57" s="436"/>
      <c r="C57" s="432" t="str">
        <f>VLOOKUP(D57,'Basic Risk Assessment DATASHEET'!A:E,5,FALSE)</f>
        <v xml:space="preserve">Liberté de mouvement </v>
      </c>
      <c r="D57" s="433">
        <v>29</v>
      </c>
      <c r="E57" s="434" t="str">
        <f>IFERROR(VLOOKUP($B$46&amp;D57&amp;$B$5,'Basic Risk Assessment DATASHEET'!$F$3:$G$129,2,FALSE),$B$128)</f>
        <v>(Ne s'applique pas à ce type de Titulaire de Certificat)</v>
      </c>
      <c r="F57" s="387" t="s">
        <v>874</v>
      </c>
      <c r="G57" s="441" t="e">
        <f>VLOOKUP(RIGHT(E57&amp;F57,255),'Basic Risk Assessment DATASHEET'!$J$3:$K$129,2,FALSE)</f>
        <v>#N/A</v>
      </c>
      <c r="H57" s="414"/>
    </row>
    <row r="58" spans="2:8" ht="144" customHeight="1" x14ac:dyDescent="0.25">
      <c r="B58" s="436"/>
      <c r="C58" s="432" t="str">
        <f>VLOOKUP(D58,'Basic Risk Assessment DATASHEET'!A:E,5,FALSE)</f>
        <v>Travail de prisonniers/militaires</v>
      </c>
      <c r="D58" s="433">
        <v>30</v>
      </c>
      <c r="E58" s="434" t="str">
        <f>IFERROR(VLOOKUP($B$46&amp;D58&amp;$B$115,'Basic Risk Assessment DATASHEET'!$F$3:$G$129,2,FALSE),$B$128)</f>
        <v>Y-a-t-il des travailleurs recrutés/fournis à l’exploitation agricole/groupe par le personnel pénitentiaire ou les militaires ?</v>
      </c>
      <c r="F58" s="387" t="s">
        <v>874</v>
      </c>
      <c r="G58" s="441" t="str">
        <f>VLOOKUP(RIGHT(E58&amp;F58,255),'Basic Risk Assessment DATASHEET'!$J$3:$K$129,2,FALSE)</f>
        <v>1. Les officiers militaires mobilisant du personnel militaire pour réaliser du travail agricole est une forme de travail forcé.  S’assurer que les exploitations agricoles n’utilisent pas ce type de travail.
2. S’assurer que chaque détenu travaillant sur l’exploitation agricole a librement consenti au travail volontaire.
3. S’assurer que les travailleurs détenus sont traités de la même manière que les autres travailleurs en matière de contrats, de paye, de conditions de travail et de toutes les autres protections des travailleurs indiquées dans la norme de Rainforest Alliance.</v>
      </c>
      <c r="H58" s="414"/>
    </row>
    <row r="59" spans="2:8" ht="107.25" customHeight="1" thickBot="1" x14ac:dyDescent="0.3">
      <c r="B59" s="437"/>
      <c r="C59" s="432" t="str">
        <f>VLOOKUP(D59,'Basic Risk Assessment DATASHEET'!A:E,5,FALSE)</f>
        <v>Dépôt ou rétention de documents</v>
      </c>
      <c r="D59" s="433">
        <v>31</v>
      </c>
      <c r="E59" s="434" t="str">
        <f>IFERROR(VLOOKUP($B$46&amp;D59&amp;$B$115,'Basic Risk Assessment DATASHEET'!$F$3:$G$129,2,FALSE),$B$128)</f>
        <v>Est-ce que les travailleurs fournissent des liquidités (tels que des cautions) ou des documents originaux (tels que les passeports) à la direction de l'exploitation agricole ou aux agences de placement ?</v>
      </c>
      <c r="F59" s="386" t="s">
        <v>874</v>
      </c>
      <c r="G59" s="441" t="str">
        <f>VLOOKUP(RIGHT(E59&amp;F59,255),'Basic Risk Assessment DATASHEET'!$J$3:$K$129,2,FALSE)</f>
        <v>1. S’assurer que les travailleurs ne doivent pas payer de cautions ni fournir des documents personnels originaux à la direction, autres que ceux permettant de confirmer leur identité au moment du recrutement.
2. S’assurer que les travailleurs disposent d’un accès permanent et non restreint aux lieux sûrs où la direction dépose les documents ou d’autres objets personnels confiés volontairement à la direction pour qu'elle les mette en sécurité.</v>
      </c>
      <c r="H59" s="415"/>
    </row>
    <row r="60" spans="2:8" ht="15.75" thickBot="1" x14ac:dyDescent="0.3">
      <c r="C60" s="418"/>
    </row>
    <row r="61" spans="2:8" ht="27" thickBot="1" x14ac:dyDescent="0.3">
      <c r="B61" s="424" t="str">
        <f>$G$113</f>
        <v>Exigence du standard</v>
      </c>
      <c r="C61" s="425" t="str">
        <f>$G$114</f>
        <v xml:space="preserve">Problème </v>
      </c>
      <c r="D61" s="426" t="str">
        <f>$G$115</f>
        <v xml:space="preserve">No. de question </v>
      </c>
      <c r="E61" s="426" t="str">
        <f>$G$116</f>
        <v>Question</v>
      </c>
      <c r="F61" s="469" t="str">
        <f>$G$117</f>
        <v>Réponse (sélectionner)</v>
      </c>
      <c r="G61" s="440" t="str">
        <f>$G$118</f>
        <v>Mesure d’atténuation</v>
      </c>
      <c r="H61" s="627" t="str">
        <f>$G$119</f>
        <v>Mesure d'atténuation propre du titulaire de certificat</v>
      </c>
    </row>
    <row r="62" spans="2:8" ht="103.5" customHeight="1" x14ac:dyDescent="0.25">
      <c r="B62" s="793" t="str">
        <f>VLOOKUP(D62,'Basic Risk Assessment DATASHEET'!A:B,2,FALSE)</f>
        <v>1.6 Égalité des genres</v>
      </c>
      <c r="C62" s="432" t="str">
        <f>VLOOKUP(D62,'Basic Risk Assessment DATASHEET'!A:E,5,FALSE)</f>
        <v xml:space="preserve">Engagement envers les genres de la part de la direction </v>
      </c>
      <c r="D62" s="433">
        <v>32</v>
      </c>
      <c r="E62" s="434" t="str">
        <f>IFERROR(VLOOKUP($B$62&amp;D62&amp;$B$115,'Basic Risk Assessment DATASHEET'!$F$3:$G$129,2,FALSE),$B$128)</f>
        <v>Est-ce que la direction de l'exploitation agricole/du groupe a déjà pris des mesures pour résoudre le problème de l’autonomisation des femmes et/ou des genres depuis plus d'un an au moins ?</v>
      </c>
      <c r="F62" s="387" t="s">
        <v>874</v>
      </c>
      <c r="G62" s="441" t="str">
        <f>VLOOKUP(RIGHT(E62&amp;F62,250),'Basic Risk Assessment DATASHEET'!$J$3:$K$129,2,FALSE)</f>
        <v>Continuer les actions</v>
      </c>
      <c r="H62" s="413"/>
    </row>
    <row r="63" spans="2:8" ht="71.099999999999994" customHeight="1" x14ac:dyDescent="0.25">
      <c r="B63" s="794"/>
      <c r="C63" s="432" t="str">
        <f>VLOOKUP(D63,'Basic Risk Assessment DATASHEET'!A:E,5,FALSE)</f>
        <v>Représentation des femmes dans le groupe</v>
      </c>
      <c r="D63" s="433">
        <v>33</v>
      </c>
      <c r="E63" s="434" t="str">
        <f>IFERROR(VLOOKUP($B$62&amp;D63&amp;$B$5,'Basic Risk Assessment DATASHEET'!$F$3:$G$129,2,FALSE),$B$128)</f>
        <v xml:space="preserve">Est-ce que les membres femmes représentent au moins 25% du nombre total des membres du groupe ? </v>
      </c>
      <c r="F63" s="387" t="s">
        <v>874</v>
      </c>
      <c r="G63" s="441" t="str">
        <f>VLOOKUP(RIGHT(E63&amp;F63,250),'Basic Risk Assessment DATASHEET'!$J$3:$K$129,2,FALSE)</f>
        <v>Pas d’action supplémentaire requise</v>
      </c>
      <c r="H63" s="414"/>
    </row>
    <row r="64" spans="2:8" ht="222" customHeight="1" x14ac:dyDescent="0.25">
      <c r="B64" s="794"/>
      <c r="C64" s="432" t="str">
        <f>VLOOKUP(D64,'Basic Risk Assessment DATASHEET'!A:E,5,FALSE)</f>
        <v>Représentation dans les fonctions de niveau plus élevé</v>
      </c>
      <c r="D64" s="433">
        <v>34</v>
      </c>
      <c r="E64" s="434" t="str">
        <f>IFERROR(VLOOKUP($B$62&amp;D64&amp;$B$115,'Basic Risk Assessment DATASHEET'!$F$3:$G$129,2,FALSE),$B$128)</f>
        <v>Est-ce que les femmes sont actuellement représentées de manière égale (par rapport au % total de membres femmes ou de travailleuses) parmi les formateurs, les superviseurs, le personnel de la direction et/ou les autres fonctions de haut niveau au sein de la direction du groupe ou de l'exploitation agricole ?</v>
      </c>
      <c r="F64" s="387" t="s">
        <v>859</v>
      </c>
      <c r="G64" s="441" t="str">
        <f>VLOOKUP(RIGHT(E64&amp;F64,255),'Basic Risk Assessment DATASHEET'!$J$3:$K$129,2,FALSE)</f>
        <v>1) Tenir un registre de tous les postes par genre et par type de poste.
2) Établir un quota minimum de formateurs femmes, de superviseurs femmes, de personnel femme de la direction et des femmes aux autres fonctions de haut niveau.  (Pour les groupes ou les exploitations agricoles avec plus de 50% de membres femmes ou travailleuses, la représentation des femmes doit être d’au moins 50%, mais n’a pas besoin d’être supérieure à 50%).
3) Organiser une formation ciblée sur les agricultrices ou les travailleuses qui est nécessaire pour être éligible en tant que formateur, superviseur ou autre fonction de haut niveau.
4) S’assurer que les annonces d’emplois atteignent les agriculteurs ET les agricultrices et les travailleurs ET les travailleuses et que les exigences des postes sont réalisables par les agricultrices et les travailleuses. 
5) Donner une formation au personnel de la direction impliqué dans le recrutement sur les biais inconscients et les méthodologies pour prévenir les pratiques de discrimination basées sur les genres.</v>
      </c>
      <c r="H64" s="414"/>
    </row>
    <row r="65" spans="2:8" ht="93" customHeight="1" x14ac:dyDescent="0.25">
      <c r="B65" s="794"/>
      <c r="C65" s="432" t="str">
        <f>VLOOKUP(D65,'Basic Risk Assessment DATASHEET'!A:E,5,FALSE)</f>
        <v>Participation des agricultrices aux formations</v>
      </c>
      <c r="D65" s="438">
        <v>35</v>
      </c>
      <c r="E65" s="434" t="str">
        <f>IFERROR(VLOOKUP($B$62&amp;D65&amp;$B$115,'Basic Risk Assessment DATASHEET'!$F$3:$G$129,2,FALSE),$B$128)</f>
        <v>Est-ce que les membres femmes du groupe/travailleuses participent actuellement de manière égale aux formations (comparé au % total de membres femmes ou de travailleuses) ?</v>
      </c>
      <c r="F65" s="387" t="s">
        <v>867</v>
      </c>
      <c r="G65" s="441" t="str">
        <f>VLOOKUP(RIGHT(E65&amp;F65,250),'Basic Risk Assessment DATASHEET'!$J$3:$K$129,2,FALSE)</f>
        <v>1) Tenir des registres sur les participants aux formations par genre.
2) Voir avec les travailleuses et les membres femmes quels sont les obstacles potentiels à leur participation aux formations.
3) Conduire des formations à des jours/heures/lieux où les femmes peuvent facilement être présentes et envoyer des invitations personnelles.</v>
      </c>
      <c r="H65" s="414"/>
    </row>
    <row r="66" spans="2:8" ht="73.5" customHeight="1" thickBot="1" x14ac:dyDescent="0.3">
      <c r="B66" s="795"/>
      <c r="C66" s="432" t="str">
        <f>VLOOKUP(D66,'Basic Risk Assessment DATASHEET'!A:E,5,FALSE)</f>
        <v>Participation des agricultrices aux formations</v>
      </c>
      <c r="D66" s="428">
        <v>36</v>
      </c>
      <c r="E66" s="434" t="str">
        <f>IFERROR(VLOOKUP($B$62&amp;D66&amp;$B$5,'Basic Risk Assessment DATASHEET'!$F$3:$G$129,2,FALSE),$B$128)</f>
        <v>Est-ce habituel que les épouses des membres hommes ou d’autres travailleuses de la famille participent aux activités de formation ?</v>
      </c>
      <c r="F66" s="386" t="s">
        <v>867</v>
      </c>
      <c r="G66" s="441" t="str">
        <f>VLOOKUP(RIGHT(E66&amp;F66,250),'Basic Risk Assessment DATASHEET'!$J$3:$K$129,2,FALSE)</f>
        <v>1) Inviter les épouses des membres hommes et/ou les autres travailleuses de la famille aux formations.
2) Expliquer aux membres hommes durant les réunions l’importance de la participation de leurs épouses et/ou des autres travailleuses de la famille aux formations.</v>
      </c>
      <c r="H66" s="415"/>
    </row>
    <row r="68" spans="2:8" ht="15.75" thickBot="1" x14ac:dyDescent="0.3"/>
    <row r="69" spans="2:8" ht="27" thickBot="1" x14ac:dyDescent="0.3">
      <c r="B69" s="424" t="str">
        <f>$G$113</f>
        <v>Exigence du standard</v>
      </c>
      <c r="C69" s="425" t="str">
        <f>$G$114</f>
        <v xml:space="preserve">Problème </v>
      </c>
      <c r="D69" s="426" t="str">
        <f>$G$115</f>
        <v xml:space="preserve">No. de question </v>
      </c>
      <c r="E69" s="426" t="str">
        <f>$G$116</f>
        <v>Question</v>
      </c>
      <c r="F69" s="469" t="str">
        <f>$G$117</f>
        <v>Réponse (sélectionner)</v>
      </c>
      <c r="G69" s="440" t="str">
        <f>$G$118</f>
        <v>Mesure d’atténuation</v>
      </c>
      <c r="H69" s="627" t="str">
        <f>$G$119</f>
        <v>Mesure d'atténuation propre du titulaire de certificat</v>
      </c>
    </row>
    <row r="70" spans="2:8" ht="100.5" customHeight="1" thickBot="1" x14ac:dyDescent="0.3">
      <c r="B70" s="439" t="str">
        <f>VLOOKUP(D70,'Basic Risk Assessment DATASHEET'!A:B,2,FALSE)</f>
        <v>5.7 Conditions de vie et de logement</v>
      </c>
      <c r="C70" s="432" t="str">
        <f>VLOOKUP(D70,'Basic Risk Assessment DATASHEET'!A:E,5,FALSE)</f>
        <v>Les travailleurs et leurs familles vivent sur site</v>
      </c>
      <c r="D70" s="428">
        <v>37</v>
      </c>
      <c r="E70" s="434" t="str">
        <f>IFERROR(VLOOKUP($B$70&amp;D70&amp;$B$5,'Basic Risk Assessment DATASHEET'!$F$3:$G$129,2,FALSE),$B$128)</f>
        <v>(Ne s'applique pas à ce type de Titulaire de Certificat)</v>
      </c>
      <c r="F70" s="386" t="s">
        <v>874</v>
      </c>
      <c r="G70" s="441" t="e">
        <f>VLOOKUP(RIGHT(E70&amp;F70,250),'Basic Risk Assessment DATASHEET'!$J$3:$K$129,2,FALSE)</f>
        <v>#N/A</v>
      </c>
      <c r="H70" s="412"/>
    </row>
    <row r="71" spans="2:8" ht="16.5" customHeight="1" x14ac:dyDescent="0.25"/>
    <row r="72" spans="2:8" ht="15.75" thickBot="1" x14ac:dyDescent="0.3"/>
    <row r="73" spans="2:8" ht="27" thickBot="1" x14ac:dyDescent="0.45">
      <c r="B73" s="791" t="str">
        <f>H115</f>
        <v>Environnement</v>
      </c>
      <c r="C73" s="792"/>
      <c r="D73" s="792"/>
      <c r="E73" s="792"/>
      <c r="F73" s="792"/>
      <c r="G73" s="792"/>
      <c r="H73" s="410"/>
    </row>
    <row r="74" spans="2:8" ht="15.75" thickBot="1" x14ac:dyDescent="0.3"/>
    <row r="75" spans="2:8" ht="27" thickBot="1" x14ac:dyDescent="0.3">
      <c r="B75" s="424" t="str">
        <f>$G$113</f>
        <v>Exigence du standard</v>
      </c>
      <c r="C75" s="425" t="str">
        <f>$G$114</f>
        <v xml:space="preserve">Problème </v>
      </c>
      <c r="D75" s="426" t="str">
        <f>$G$115</f>
        <v xml:space="preserve">No. de question </v>
      </c>
      <c r="E75" s="426" t="str">
        <f>$G$116</f>
        <v>Question</v>
      </c>
      <c r="F75" s="469" t="str">
        <f>$G$117</f>
        <v>Réponse (sélectionner)</v>
      </c>
      <c r="G75" s="440" t="str">
        <f>$G$118</f>
        <v>Mesure d’atténuation</v>
      </c>
      <c r="H75" s="627" t="str">
        <f>$G$119</f>
        <v>Mesure d'atténuation propre du titulaire de certificat</v>
      </c>
    </row>
    <row r="76" spans="2:8" ht="91.5" customHeight="1" x14ac:dyDescent="0.25">
      <c r="B76" s="793" t="str">
        <f>VLOOKUP(D76,'Basic Risk Assessment DATASHEET'!A:B,2,FALSE)</f>
        <v>6.1.3 / 6.1.4 Évaluation des HVC</v>
      </c>
      <c r="C76" s="432" t="str">
        <f>VLOOKUP(D76,'Basic Risk Assessment DATASHEET'!A:E,5,FALSE)</f>
        <v>EHVC</v>
      </c>
      <c r="D76" s="433">
        <v>38</v>
      </c>
      <c r="E76" s="434" t="str">
        <f>IFERROR(VLOOKUP($B$76&amp;D76&amp;$B$115,'Basic Risk Assessment DATASHEET'!$F$3:$G$129,2,FALSE),$B$128)</f>
        <v>L’exploitation agricole est-elle implantée à moins de 5 km d’une zone forestière naturelle intacte ?</v>
      </c>
      <c r="F76" s="387" t="s">
        <v>867</v>
      </c>
      <c r="G76" s="441" t="str">
        <f>VLOOKUP(RIGHT(E76&amp;F76,250),'Basic Risk Assessment DATASHEET'!$J$3:$K$129,2,FALSE)</f>
        <v>Pas d’action supplémentaire requise</v>
      </c>
      <c r="H76" s="413"/>
    </row>
    <row r="77" spans="2:8" ht="46.5" customHeight="1" x14ac:dyDescent="0.25">
      <c r="B77" s="794"/>
      <c r="C77" s="432" t="str">
        <f>VLOOKUP(D77,'Basic Risk Assessment DATASHEET'!A:E,5,FALSE)</f>
        <v>EHVC</v>
      </c>
      <c r="D77" s="433">
        <v>39</v>
      </c>
      <c r="E77" s="434" t="str">
        <f>IFERROR(VLOOKUP($B$76&amp;D77&amp;$B$115,'Basic Risk Assessment DATASHEET'!$F$3:$G$129,2,FALSE),$B$128)</f>
        <v>L’exploitation agricole ou le groupe d'exploitations agricoles est-il implanté à moins de 2 km d'une Aire protégée (AP) enregistrée, d'une aire sensible de biodiversité (ASB), d'un site Ramsar ou d'un site inscrit au Patrimoine mondial de l’UNESCO ?</v>
      </c>
      <c r="F77" s="387" t="s">
        <v>874</v>
      </c>
      <c r="G77" s="441" t="str">
        <f>VLOOKUP(RIGHT(E77&amp;F77,255),'Basic Risk Assessment DATASHEET'!$J$3:$K$129,2,FALSE)</f>
        <v>S’assurer que les attributs majeurs de conservation de la zone ne sont pas menacés, c’est-à-dire les valeurs pour lesquelles la zone a été protégée ou classée en AP, en ZIB ou en site Ramsar.</v>
      </c>
      <c r="H77" s="414"/>
    </row>
    <row r="78" spans="2:8" ht="113.45" customHeight="1" x14ac:dyDescent="0.25">
      <c r="B78" s="794"/>
      <c r="C78" s="432" t="str">
        <f>VLOOKUP(D78,'Basic Risk Assessment DATASHEET'!A:E,5,FALSE)</f>
        <v>EHVC</v>
      </c>
      <c r="D78" s="433">
        <v>40</v>
      </c>
      <c r="E78" s="434" t="str">
        <f>IFERROR(VLOOKUP($B$76&amp;D78&amp;$B$115,'Basic Risk Assessment DATASHEET'!$F$3:$G$129,2,FALSE),$B$128)</f>
        <v xml:space="preserve">Est-ce que les communautés locales ont des droits coutumiers ou légaux sur l’exploitation agricole ? </v>
      </c>
      <c r="F78" s="387" t="s">
        <v>874</v>
      </c>
      <c r="G78" s="441" t="str">
        <f>VLOOKUP(RIGHT(E78&amp;F78,250),'Basic Risk Assessment DATASHEET'!$J$3:$K$129,2,FALSE)</f>
        <v>a) Cartographier les utilisations des terres des communautés locales sur l’exploitation agricole d'une manière inclusive et participative avec les communautés affectées ;
b) Identifier et atténuer tous les impacts directs et indirects des activités agricoles sur ces ressources ou sur les habitats qui abritent ces ressources ; 
c) Formaliser des accords (étendus) avec les communautés sur l’utilisation et la gestion de telles zones en utilisant les principes du Consentement Préalable, donné Librement et en Connaissance de Cause et documenter le processus (exigence 5.8.1).</v>
      </c>
      <c r="H78" s="414"/>
    </row>
    <row r="79" spans="2:8" ht="150" customHeight="1" x14ac:dyDescent="0.25">
      <c r="B79" s="794"/>
      <c r="C79" s="432" t="str">
        <f>VLOOKUP(D79,'Basic Risk Assessment DATASHEET'!A:E,5,FALSE)</f>
        <v>EHVC</v>
      </c>
      <c r="D79" s="433">
        <v>41</v>
      </c>
      <c r="E79" s="434" t="str">
        <f>IFERROR(VLOOKUP($B$76&amp;D79&amp;$B$115,'Basic Risk Assessment DATASHEET'!$F$3:$G$129,2,FALSE),$B$128)</f>
        <v>Est-ce que vous utilisez des terres communales pour des raisons liées à la production ou à la transformation de culture certifiée, ex : la collecte du bois ?</v>
      </c>
      <c r="F79" s="387" t="s">
        <v>867</v>
      </c>
      <c r="G79" s="441" t="str">
        <f>VLOOKUP(RIGHT(E79&amp;F79,250),'Basic Risk Assessment DATASHEET'!$J$3:$K$129,2,FALSE)</f>
        <v>Pas d’action supplémentaire requise</v>
      </c>
      <c r="H79" s="414"/>
    </row>
    <row r="80" spans="2:8" ht="233.25" customHeight="1" thickBot="1" x14ac:dyDescent="0.3">
      <c r="B80" s="795"/>
      <c r="C80" s="432" t="str">
        <f>VLOOKUP(D80,'Basic Risk Assessment DATASHEET'!A:E,5,FALSE)</f>
        <v>EHVC</v>
      </c>
      <c r="D80" s="428">
        <v>42</v>
      </c>
      <c r="E80" s="434" t="str">
        <f>IFERROR(VLOOKUP($B$76&amp;D80&amp;$B$5,'Basic Risk Assessment DATASHEET'!$F$3:$G$129,2,FALSE),$B$128)</f>
        <v>(Ne s'applique pas à ce type de Titulaire de Certificat)</v>
      </c>
      <c r="F80" s="386" t="s">
        <v>874</v>
      </c>
      <c r="G80" s="441" t="e">
        <f>VLOOKUP(RIGHT(E80&amp;F80,250),'Basic Risk Assessment DATASHEET'!$J$3:$K$129,2,FALSE)</f>
        <v>#N/A</v>
      </c>
      <c r="H80" s="415"/>
    </row>
    <row r="81" spans="2:8" ht="15.75" thickBot="1" x14ac:dyDescent="0.3"/>
    <row r="82" spans="2:8" ht="27" thickBot="1" x14ac:dyDescent="0.3">
      <c r="B82" s="424" t="str">
        <f>$G$113</f>
        <v>Exigence du standard</v>
      </c>
      <c r="C82" s="425" t="str">
        <f>$G$114</f>
        <v xml:space="preserve">Problème </v>
      </c>
      <c r="D82" s="426" t="str">
        <f>$G$115</f>
        <v xml:space="preserve">No. de question </v>
      </c>
      <c r="E82" s="426" t="str">
        <f>$G$116</f>
        <v>Question</v>
      </c>
      <c r="F82" s="469" t="str">
        <f>$G$117</f>
        <v>Réponse (sélectionner)</v>
      </c>
      <c r="G82" s="440" t="str">
        <f>$G$118</f>
        <v>Mesure d’atténuation</v>
      </c>
      <c r="H82" s="627" t="str">
        <f>$G$119</f>
        <v>Mesure d'atténuation propre du titulaire de certificat</v>
      </c>
    </row>
    <row r="83" spans="2:8" ht="84.75" customHeight="1" x14ac:dyDescent="0.25">
      <c r="B83" s="793" t="str">
        <f>VLOOKUP(D83,'Basic Risk Assessment DATASHEET'!A:B,2,FALSE)</f>
        <v>6.2 Conservation et amélioration de la végétation et des écosystèmes naturels</v>
      </c>
      <c r="C83" s="432" t="str">
        <f>VLOOKUP(D83,'Basic Risk Assessment DATASHEET'!A:E,5,FALSE)</f>
        <v>Connectivité des écosystèmes</v>
      </c>
      <c r="D83" s="433">
        <v>43</v>
      </c>
      <c r="E83" s="434" t="str">
        <f>IFERROR(VLOOKUP($B$83&amp;D83&amp;$B$5,'Basic Risk Assessment DATASHEET'!$F$3:$G$129,2,FALSE),$B$128)</f>
        <v xml:space="preserve">Est-ce que les zones d’écosystème naturel et de couvert de végétation naturelle sont connectées par des corridors de territoires ? </v>
      </c>
      <c r="F83" s="387" t="s">
        <v>874</v>
      </c>
      <c r="G83" s="441" t="str">
        <f>VLOOKUP(RIGHT(E83&amp;F83,255),'Basic Risk Assessment DATASHEET'!$J$3:$K$129,2,FALSE)</f>
        <v>Pas d’action supplémentaire requise</v>
      </c>
      <c r="H83" s="413"/>
    </row>
    <row r="84" spans="2:8" ht="102" customHeight="1" x14ac:dyDescent="0.25">
      <c r="B84" s="794"/>
      <c r="C84" s="432" t="str">
        <f>VLOOKUP(D84,'Basic Risk Assessment DATASHEET'!A:E,5,FALSE)</f>
        <v>Végétation naturelle</v>
      </c>
      <c r="D84" s="433">
        <v>44</v>
      </c>
      <c r="E84" s="434" t="str">
        <f>IFERROR(VLOOKUP($B$83&amp;D84&amp;$B$115,'Basic Risk Assessment DATASHEET'!$F$3:$G$129,2,FALSE),$B$128)</f>
        <v>Prévoyez-vous que tous les écosystèmes naturels de l’exploitation agricole, dont les haies, les limites forestières, les zones tampons ripariennes et les forêts, aient une diversité en espèces et contiennent en majorité des espèces adaptées localement ?</v>
      </c>
      <c r="F84" s="387" t="s">
        <v>859</v>
      </c>
      <c r="G84" s="441" t="str">
        <f>VLOOKUP(RIGHT(E84&amp;F84,255),'Basic Risk Assessment DATASHEET'!$J$3:$K$129,2,FALSE)</f>
        <v xml:space="preserve">Investiguer si tous les écosystèmes naturels sur l’exploitation agricole, dont les haies, les limites forestières, les zones tampons ripariennes et les forêts, contiennent de la végétation adaptée localement. Dans le cas contraire, identifier les espèces appropriées qui peuvent être plantées pour augmenter la proportion de végétation naturelle dans les écosystèmes naturels sur l’exploitation agricole, dont les forêts, les zones ripariennes tampons, les haies et les limites forestières. </v>
      </c>
      <c r="H84" s="414"/>
    </row>
    <row r="85" spans="2:8" ht="71.25" customHeight="1" x14ac:dyDescent="0.25">
      <c r="B85" s="794"/>
      <c r="C85" s="432" t="str">
        <f>VLOOKUP(D85,'Basic Risk Assessment DATASHEET'!A:E,5,FALSE)</f>
        <v>Forêts</v>
      </c>
      <c r="D85" s="433">
        <v>45</v>
      </c>
      <c r="E85" s="434" t="str">
        <f>IFERROR(VLOOKUP($B$83&amp;D85&amp;$B$115,'Basic Risk Assessment DATASHEET'!$F$3:$G$129,2,FALSE),$B$128)</f>
        <v>Est-ce que la forêt ressemble à une forêt naturelle en matière de couvert de canopée, de strates forestières et de présence de lianes et de plantes grimpantes ? Pour plus d'informations, voir le document intitulé Document d’orientation M : Document d’orientation végétation indigène et écosystèmes naturels.</v>
      </c>
      <c r="F85" s="387" t="s">
        <v>867</v>
      </c>
      <c r="G85" s="441" t="str">
        <f>VLOOKUP(RIGHT(E85&amp;F85,255),'Basic Risk Assessment DATASHEET'!$J$3:$K$129,2,FALSE)</f>
        <v>Planifier la gestion du couvert de canopée, des strates forestières et de la présence de lianes et de plantes grimpantes (ex : en créant des ouvertures, en plantant des espèces supplémentaires et en restreignant les prélèvements ou le pâturage si nécessaire) afin de faciliter la régénération et la croissance de la forêt naturelle. Pour plus de détails, voir le document intitulé Document d’orientation M : Document d’orientation végétation indigène et écosystèmes naturels sur les exploitations agricoles.</v>
      </c>
      <c r="H85" s="414"/>
    </row>
    <row r="86" spans="2:8" ht="51" customHeight="1" x14ac:dyDescent="0.25">
      <c r="B86" s="794"/>
      <c r="C86" s="432" t="str">
        <f>VLOOKUP(D86,'Basic Risk Assessment DATASHEET'!A:E,5,FALSE)</f>
        <v>Cours d’eau, étendues d’eau et zones humides</v>
      </c>
      <c r="D86" s="433">
        <v>46</v>
      </c>
      <c r="E86" s="434" t="str">
        <f>IFERROR(VLOOKUP($B$83&amp;D86&amp;$B$115,'Basic Risk Assessment DATASHEET'!$F$3:$G$129,2,FALSE),$B$128)</f>
        <v>Répondre uniquement si vous avez des zones humides au sein du groupe/exploitation agricole --
Est-ce que les zones humides stockent ou acheminent les eaux d'inondation à n’importe quel moment de l’année ?</v>
      </c>
      <c r="F86" s="387" t="s">
        <v>874</v>
      </c>
      <c r="G86" s="441" t="str">
        <f>VLOOKUP(RIGHT(E86&amp;F86,255),'Basic Risk Assessment DATASHEET'!$J$3:$K$129,2,FALSE)</f>
        <v>Planifier la délimitation et la gestion des zones humides et des plaines d'inondation actives et s’assurer que les activités de transformation ou de production n’empiètent pas sur les plaines d'inondation.</v>
      </c>
      <c r="H86" s="414"/>
    </row>
    <row r="87" spans="2:8" ht="111" customHeight="1" x14ac:dyDescent="0.25">
      <c r="B87" s="794"/>
      <c r="C87" s="432" t="str">
        <f>VLOOKUP(D87,'Basic Risk Assessment DATASHEET'!A:E,5,FALSE)</f>
        <v>Prairies, pâturage et désert non naturel</v>
      </c>
      <c r="D87" s="433">
        <v>47</v>
      </c>
      <c r="E87" s="434" t="str">
        <f>IFERROR(VLOOKUP($B$83&amp;D87&amp;$B$115,'Basic Risk Assessment DATASHEET'!$F$3:$G$129,2,FALSE),$B$128)</f>
        <v>Répondre uniquement si vous avez des prairies/pâturages ou des déserts non naturels au sein du groupe/exploitation agricole --
Est-ce que les prairies/pâturages ou les zones de désert non naturel contiennent de vastes zones à nu qui sont en danger d’érosion au sein des cours d’eau proches ?</v>
      </c>
      <c r="F87" s="387" t="s">
        <v>874</v>
      </c>
      <c r="G87" s="441" t="str">
        <f>VLOOKUP(RIGHT(E87&amp;F87,255),'Basic Risk Assessment DATASHEET'!$J$3:$K$129,2,FALSE)</f>
        <v>Planter du couvert terrestre autochtone supplémentaire (herbes, arbustes, arbres) et mettre en œuvre des mesures pour protéger contre l’érosion.</v>
      </c>
      <c r="H87" s="414"/>
    </row>
    <row r="88" spans="2:8" ht="71.25" customHeight="1" thickBot="1" x14ac:dyDescent="0.3">
      <c r="B88" s="795"/>
      <c r="C88" s="432" t="str">
        <f>VLOOKUP(D88,'Basic Risk Assessment DATASHEET'!A:E,5,FALSE)</f>
        <v>Jachère</v>
      </c>
      <c r="D88" s="428">
        <v>48</v>
      </c>
      <c r="E88" s="434" t="str">
        <f>IFERROR(VLOOKUP($B$83&amp;D88&amp;$B$115,'Basic Risk Assessment DATASHEET'!$F$3:$G$129,2,FALSE),$B$128)</f>
        <v>Répondre uniquement si vous avez des terres en jachère au sein du groupe/exploitation agricole --
Est-ce que les arbres se régénèrent naturellement sur les terre en jachère permanente ?</v>
      </c>
      <c r="F88" s="386" t="s">
        <v>874</v>
      </c>
      <c r="G88" s="441" t="str">
        <f>VLOOKUP(RIGHT(E88&amp;F88,255),'Basic Risk Assessment DATASHEET'!$J$3:$K$129,2,FALSE)</f>
        <v>Pas d’action supplémentaire requise</v>
      </c>
      <c r="H88" s="415"/>
    </row>
    <row r="89" spans="2:8" ht="15.75" thickBot="1" x14ac:dyDescent="0.3"/>
    <row r="90" spans="2:8" ht="27" thickBot="1" x14ac:dyDescent="0.3">
      <c r="B90" s="424" t="str">
        <f>$G$113</f>
        <v>Exigence du standard</v>
      </c>
      <c r="C90" s="425" t="str">
        <f>$G$114</f>
        <v xml:space="preserve">Problème </v>
      </c>
      <c r="D90" s="426" t="str">
        <f>$G$115</f>
        <v xml:space="preserve">No. de question </v>
      </c>
      <c r="E90" s="426" t="str">
        <f>$G$116</f>
        <v>Question</v>
      </c>
      <c r="F90" s="469" t="str">
        <f>$G$117</f>
        <v>Réponse (sélectionner)</v>
      </c>
      <c r="G90" s="440" t="str">
        <f>$G$118</f>
        <v>Mesure d’atténuation</v>
      </c>
      <c r="H90" s="627" t="str">
        <f>$G$119</f>
        <v>Mesure d'atténuation propre du titulaire de certificat</v>
      </c>
    </row>
    <row r="91" spans="2:8" ht="51" customHeight="1" x14ac:dyDescent="0.25">
      <c r="B91" s="793" t="str">
        <f>VLOOKUP(D91,'Basic Risk Assessment DATASHEET'!A:B,2,FALSE)</f>
        <v xml:space="preserve">Changement climatique </v>
      </c>
      <c r="C91" s="432" t="str">
        <f>VLOOKUP(D91,'Basic Risk Assessment DATASHEET'!A:E,5,FALSE)</f>
        <v>Risques du changement climatique</v>
      </c>
      <c r="D91" s="433">
        <v>49</v>
      </c>
      <c r="E91" s="434" t="str">
        <f>IFERROR(VLOOKUP($B$91&amp;D91&amp;$B$115,'Basic Risk Assessment DATASHEET'!$F$3:$G$129,2,FALSE),$B$128)</f>
        <v>Est-ce que la direction, les superviseurs et/ou le personnel technique sont formés à l’évaluation des risques et des impacts infligés par le changement climatique sur les moyens de subsistance et sur les systèmes de production ?</v>
      </c>
      <c r="F91" s="387" t="s">
        <v>867</v>
      </c>
      <c r="G91" s="441" t="str">
        <f>VLOOKUP(RIGHT(E91&amp;F91,250),'Basic Risk Assessment DATASHEET'!$J$3:$K$129,2,FALSE)</f>
        <v>Formation/sensibilisation sur les risques du changement climatique et de leurs impacts sur les systèmes de production agricole et sur les moyens de subsistance plus largement.</v>
      </c>
      <c r="H91" s="413"/>
    </row>
    <row r="92" spans="2:8" ht="53.25" customHeight="1" x14ac:dyDescent="0.25">
      <c r="B92" s="794"/>
      <c r="C92" s="432" t="str">
        <f>VLOOKUP(D92,'Basic Risk Assessment DATASHEET'!A:E,5,FALSE)</f>
        <v>Risques du changement climatique</v>
      </c>
      <c r="D92" s="433">
        <v>50</v>
      </c>
      <c r="E92" s="434" t="str">
        <f>IFERROR(VLOOKUP($B$91&amp;D92&amp;$B$115,'Basic Risk Assessment DATASHEET'!$F$3:$G$129,2,FALSE),$B$128)</f>
        <v>Est-ce que la direction, les superviseurs et/ou le personnel technique ont identifiés les menaces /risques/impacts (actuels et prévus) les plus significatifs du changement climatique sur les ressources en moyens de subsistance et sur les systèmes agricoles ?</v>
      </c>
      <c r="F92" s="387" t="s">
        <v>867</v>
      </c>
      <c r="G92" s="441" t="str">
        <f>VLOOKUP(RIGHT(E92&amp;F92,255),'Basic Risk Assessment DATASHEET'!$J$3:$K$129,2,FALSE)</f>
        <v>Réaliser l’évaluation Rainforest Alliance des risques liés au changement climatique pour identifier et décrire les risques les plus significatifs de changement climatique basés sur l'outil Rainforest Alliance d’évaluation des risques de changement climatique.</v>
      </c>
      <c r="H92" s="414"/>
    </row>
    <row r="93" spans="2:8" ht="61.5" customHeight="1" x14ac:dyDescent="0.25">
      <c r="B93" s="794"/>
      <c r="C93" s="432" t="str">
        <f>VLOOKUP(D93,'Basic Risk Assessment DATASHEET'!A:E,5,FALSE)</f>
        <v>Risques du changement climatique</v>
      </c>
      <c r="D93" s="433">
        <v>51</v>
      </c>
      <c r="E93" s="434" t="str">
        <f>IFERROR(VLOOKUP($B$91&amp;D93&amp;$B$115,'Basic Risk Assessment DATASHEET'!$F$3:$G$129,2,FALSE),$B$128)</f>
        <v xml:space="preserve">Est-ce que la direction, les superviseurs et/ou le personnel technique ont accès aux informations, aux compétences et aux services appropriés concernant le changement climatique afin d’élaborer et d’utiliser les stratégies d’adaptation ?  </v>
      </c>
      <c r="F93" s="387" t="s">
        <v>867</v>
      </c>
      <c r="G93" s="441" t="str">
        <f>VLOOKUP(RIGHT(E93&amp;F93,250),'Basic Risk Assessment DATASHEET'!$J$3:$K$129,2,FALSE)</f>
        <v>Sensibiliser sur les informations disponibles afin d’améliorer les capacités adaptatives et la résilience, les systèmes d’alerte précoce, les outils d’aide et l'importance des droits d’égalité de l’accès aux ressources.</v>
      </c>
      <c r="H93" s="414"/>
    </row>
    <row r="94" spans="2:8" ht="66" customHeight="1" thickBot="1" x14ac:dyDescent="0.3">
      <c r="B94" s="795"/>
      <c r="C94" s="432" t="str">
        <f>VLOOKUP(D94,'Basic Risk Assessment DATASHEET'!A:E,5,FALSE)</f>
        <v>Risques du changement climatique</v>
      </c>
      <c r="D94" s="428">
        <v>52</v>
      </c>
      <c r="E94" s="434" t="str">
        <f>IFERROR(VLOOKUP($B$91&amp;D94&amp;$B$5,'Basic Risk Assessment DATASHEET'!$F$3:$G$132,2,FALSE),$B$128)</f>
        <v>Les membres du groupe ont-t-ils connaissance des mesures d’urgence permettant de faire face aux événements climatiques extrêmes et à leurs impacts potentiels (c’est-à-dire le plan d’évacuation) ?</v>
      </c>
      <c r="F94" s="386" t="s">
        <v>867</v>
      </c>
      <c r="G94" s="441" t="str">
        <f>VLOOKUP(RIGHT(E94&amp;F94,250),'Basic Risk Assessment DATASHEET'!$J$3:$K$132,2,FALSE)</f>
        <v>En fonction de la carte des risques (exigence standard 1.2.10 ) et lorsque la mesure est appropriée, éveiller l’attention sur les plans de réaction d’urgence possibles des membres du groupes exposés aux dangers, par exemple, les communauté établies sur des pentes raides à risque de glissement de terrain.</v>
      </c>
      <c r="H94" s="415"/>
    </row>
    <row r="95" spans="2:8" ht="15.75" thickBot="1" x14ac:dyDescent="0.3"/>
    <row r="96" spans="2:8" ht="30" x14ac:dyDescent="0.25">
      <c r="B96" s="482" t="str">
        <f>$G$121</f>
        <v>Risques personnels auto-identifiés par les titulaires de certificats</v>
      </c>
      <c r="C96" s="425" t="str">
        <f>$G$114</f>
        <v xml:space="preserve">Problème </v>
      </c>
      <c r="D96" s="426" t="str">
        <f>$G$115</f>
        <v xml:space="preserve">No. de question </v>
      </c>
      <c r="E96" s="426" t="str">
        <f>$G$116</f>
        <v>Question</v>
      </c>
      <c r="F96" s="470" t="s">
        <v>981</v>
      </c>
      <c r="G96" s="440" t="str">
        <f>$G$118</f>
        <v>Mesure d’atténuation</v>
      </c>
      <c r="H96" s="627" t="str">
        <f>$G$119</f>
        <v>Mesure d'atténuation propre du titulaire de certificat</v>
      </c>
    </row>
    <row r="97" spans="1:9" ht="81.75" customHeight="1" x14ac:dyDescent="0.25">
      <c r="A97" s="483"/>
      <c r="B97" s="799"/>
      <c r="C97" s="479"/>
      <c r="D97" s="419"/>
      <c r="E97" s="403"/>
      <c r="F97" s="419"/>
      <c r="G97" s="403" t="str">
        <f>G$125</f>
        <v>N.A.</v>
      </c>
      <c r="H97" s="420"/>
    </row>
    <row r="98" spans="1:9" ht="75" customHeight="1" x14ac:dyDescent="0.25">
      <c r="A98" s="483"/>
      <c r="B98" s="800"/>
      <c r="C98" s="479"/>
      <c r="D98" s="419"/>
      <c r="E98" s="403"/>
      <c r="F98" s="419"/>
      <c r="G98" s="403" t="str">
        <f t="shared" ref="G98:G106" si="0">G$125</f>
        <v>N.A.</v>
      </c>
      <c r="H98" s="420"/>
    </row>
    <row r="99" spans="1:9" ht="75" customHeight="1" x14ac:dyDescent="0.25">
      <c r="A99" s="483"/>
      <c r="B99" s="800"/>
      <c r="C99" s="479"/>
      <c r="D99" s="419"/>
      <c r="E99" s="403"/>
      <c r="F99" s="419"/>
      <c r="G99" s="403" t="str">
        <f t="shared" si="0"/>
        <v>N.A.</v>
      </c>
      <c r="H99" s="420"/>
    </row>
    <row r="100" spans="1:9" ht="87.75" customHeight="1" x14ac:dyDescent="0.25">
      <c r="A100" s="483"/>
      <c r="B100" s="800"/>
      <c r="C100" s="480"/>
      <c r="D100" s="476"/>
      <c r="E100" s="477"/>
      <c r="F100" s="476"/>
      <c r="G100" s="403" t="str">
        <f t="shared" si="0"/>
        <v>N.A.</v>
      </c>
      <c r="H100" s="478"/>
    </row>
    <row r="101" spans="1:9" x14ac:dyDescent="0.25">
      <c r="A101" s="483"/>
      <c r="B101" s="800"/>
      <c r="C101" s="480"/>
      <c r="D101" s="476"/>
      <c r="E101" s="477"/>
      <c r="F101" s="476"/>
      <c r="G101" s="403" t="str">
        <f t="shared" si="0"/>
        <v>N.A.</v>
      </c>
      <c r="H101" s="478"/>
    </row>
    <row r="102" spans="1:9" x14ac:dyDescent="0.25">
      <c r="A102" s="483"/>
      <c r="B102" s="800"/>
      <c r="C102" s="480"/>
      <c r="D102" s="476"/>
      <c r="E102" s="477"/>
      <c r="F102" s="476"/>
      <c r="G102" s="403" t="str">
        <f t="shared" si="0"/>
        <v>N.A.</v>
      </c>
      <c r="H102" s="478"/>
    </row>
    <row r="103" spans="1:9" x14ac:dyDescent="0.25">
      <c r="A103" s="483"/>
      <c r="B103" s="800"/>
      <c r="C103" s="480"/>
      <c r="D103" s="476"/>
      <c r="E103" s="477"/>
      <c r="F103" s="476"/>
      <c r="G103" s="403" t="str">
        <f t="shared" si="0"/>
        <v>N.A.</v>
      </c>
      <c r="H103" s="478"/>
    </row>
    <row r="104" spans="1:9" x14ac:dyDescent="0.25">
      <c r="A104" s="483"/>
      <c r="B104" s="800"/>
      <c r="C104" s="480"/>
      <c r="D104" s="476"/>
      <c r="E104" s="477"/>
      <c r="F104" s="476"/>
      <c r="G104" s="403" t="str">
        <f t="shared" si="0"/>
        <v>N.A.</v>
      </c>
      <c r="H104" s="478"/>
    </row>
    <row r="105" spans="1:9" x14ac:dyDescent="0.25">
      <c r="A105" s="483"/>
      <c r="B105" s="800"/>
      <c r="C105" s="480"/>
      <c r="D105" s="476"/>
      <c r="E105" s="477"/>
      <c r="F105" s="476"/>
      <c r="G105" s="403" t="str">
        <f t="shared" si="0"/>
        <v>N.A.</v>
      </c>
      <c r="H105" s="478"/>
    </row>
    <row r="106" spans="1:9" ht="60" customHeight="1" thickBot="1" x14ac:dyDescent="0.3">
      <c r="A106" s="483"/>
      <c r="B106" s="801"/>
      <c r="C106" s="481"/>
      <c r="D106" s="421"/>
      <c r="E106" s="422"/>
      <c r="F106" s="421"/>
      <c r="G106" s="403" t="str">
        <f t="shared" si="0"/>
        <v>N.A.</v>
      </c>
      <c r="H106" s="423"/>
    </row>
    <row r="109" spans="1:9" x14ac:dyDescent="0.25">
      <c r="E109" s="530"/>
    </row>
    <row r="110" spans="1:9" s="430" customFormat="1" ht="15.75" thickBot="1" x14ac:dyDescent="0.3">
      <c r="B110" s="407"/>
      <c r="C110" s="407"/>
      <c r="D110" s="407"/>
      <c r="E110" s="530"/>
      <c r="F110" s="407"/>
      <c r="G110" s="408"/>
      <c r="H110" s="407"/>
      <c r="I110" s="407"/>
    </row>
    <row r="111" spans="1:9" s="430" customFormat="1" ht="15.75" thickBot="1" x14ac:dyDescent="0.3">
      <c r="B111" s="581" t="s">
        <v>973</v>
      </c>
      <c r="E111" s="628" t="s">
        <v>972</v>
      </c>
      <c r="F111" s="576"/>
      <c r="G111" s="628" t="s">
        <v>969</v>
      </c>
      <c r="I111" s="407"/>
    </row>
    <row r="112" spans="1:9" s="430" customFormat="1" ht="15.75" thickBot="1" x14ac:dyDescent="0.3">
      <c r="B112" s="471"/>
      <c r="D112" s="629"/>
      <c r="E112" s="630" t="str">
        <f>terms!A3</f>
        <v>Type of Certificate Holder (select)</v>
      </c>
      <c r="F112" s="575"/>
      <c r="G112" s="631" t="str">
        <f>VLOOKUP(E112,terms!$A$1:$J$24,3,FALSE)</f>
        <v>Type de titulaire de certificat (sélectionner)</v>
      </c>
      <c r="H112" s="473" t="str">
        <f>'Basic Risk Assessment DATASHEET'!B2</f>
        <v>Gestion</v>
      </c>
      <c r="I112" s="407"/>
    </row>
    <row r="113" spans="1:9" s="430" customFormat="1" ht="15.75" thickBot="1" x14ac:dyDescent="0.3">
      <c r="B113" s="632" t="str">
        <f>G127</f>
        <v>Certification de groupe</v>
      </c>
      <c r="D113" s="629"/>
      <c r="E113" s="633" t="str">
        <f>terms!A4</f>
        <v>Requirement in Standard</v>
      </c>
      <c r="F113" s="575"/>
      <c r="G113" s="631" t="str">
        <f>VLOOKUP(E113,terms!$A$1:$J$24,3,FALSE)</f>
        <v>Exigence du standard</v>
      </c>
      <c r="H113" s="474" t="str">
        <f>'Basic Risk Assessment DATASHEET'!B25</f>
        <v>Pratiques agricoles</v>
      </c>
      <c r="I113" s="407"/>
    </row>
    <row r="114" spans="1:9" s="430" customFormat="1" ht="15.75" thickBot="1" x14ac:dyDescent="0.3">
      <c r="B114" s="632" t="str">
        <f>G126</f>
        <v>Grand</v>
      </c>
      <c r="D114" s="629"/>
      <c r="E114" s="633" t="str">
        <f>terms!A5</f>
        <v>Issue</v>
      </c>
      <c r="F114" s="576"/>
      <c r="G114" s="631" t="str">
        <f>VLOOKUP(E114,terms!$A$1:$J$24,3,FALSE)</f>
        <v xml:space="preserve">Problème </v>
      </c>
      <c r="H114" s="474" t="str">
        <f>'Basic Risk Assessment DATASHEET'!B44</f>
        <v>Conditions de travail</v>
      </c>
      <c r="I114" s="407"/>
    </row>
    <row r="115" spans="1:9" s="430" customFormat="1" ht="15.75" thickBot="1" x14ac:dyDescent="0.3">
      <c r="B115" s="632" t="str">
        <f>G128</f>
        <v>Tous</v>
      </c>
      <c r="D115" s="629"/>
      <c r="E115" s="633" t="str">
        <f>terms!A6</f>
        <v>Question #</v>
      </c>
      <c r="F115" s="576"/>
      <c r="G115" s="631" t="str">
        <f>VLOOKUP(E115,terms!$A$1:$J$24,3,FALSE)</f>
        <v xml:space="preserve">No. de question </v>
      </c>
      <c r="H115" s="475" t="str">
        <f>'Basic Risk Assessment DATASHEET'!B97</f>
        <v>Environnement</v>
      </c>
      <c r="I115" s="407"/>
    </row>
    <row r="116" spans="1:9" s="430" customFormat="1" ht="15.75" thickBot="1" x14ac:dyDescent="0.3">
      <c r="B116" s="472"/>
      <c r="D116" s="629"/>
      <c r="E116" s="633" t="str">
        <f>terms!A7</f>
        <v>Question</v>
      </c>
      <c r="F116" s="576"/>
      <c r="G116" s="631" t="str">
        <f>VLOOKUP(E116,terms!$A$1:$J$24,3,FALSE)</f>
        <v>Question</v>
      </c>
      <c r="I116" s="407"/>
    </row>
    <row r="117" spans="1:9" s="430" customFormat="1" ht="15.75" thickBot="1" x14ac:dyDescent="0.3">
      <c r="B117" s="472"/>
      <c r="D117" s="629"/>
      <c r="E117" s="633" t="str">
        <f>terms!A8</f>
        <v>Answer (select)</v>
      </c>
      <c r="F117" s="576"/>
      <c r="G117" s="631" t="str">
        <f>VLOOKUP(E117,terms!$A$1:$J$24,3,FALSE)</f>
        <v>Réponse (sélectionner)</v>
      </c>
      <c r="I117" s="407"/>
    </row>
    <row r="118" spans="1:9" s="430" customFormat="1" ht="15.75" thickBot="1" x14ac:dyDescent="0.3">
      <c r="B118" s="634" t="str">
        <f>G122</f>
        <v>Oui</v>
      </c>
      <c r="D118" s="629"/>
      <c r="E118" s="633" t="str">
        <f>terms!A9</f>
        <v>Mitigation measure</v>
      </c>
      <c r="F118" s="576"/>
      <c r="G118" s="631" t="str">
        <f>VLOOKUP(E118,terms!$A$1:$J$24,3,FALSE)</f>
        <v>Mesure d’atténuation</v>
      </c>
      <c r="I118" s="407"/>
    </row>
    <row r="119" spans="1:9" s="430" customFormat="1" ht="15.75" thickBot="1" x14ac:dyDescent="0.3">
      <c r="B119" s="632" t="str">
        <f>G123</f>
        <v>Non</v>
      </c>
      <c r="D119" s="629"/>
      <c r="E119" s="633" t="str">
        <f>terms!A10</f>
        <v>Certificate's Holder own mitigation measure</v>
      </c>
      <c r="F119" s="576"/>
      <c r="G119" s="631" t="str">
        <f>VLOOKUP(E119,terms!$A$1:$J$24,3,FALSE)</f>
        <v>Mesure d'atténuation propre du titulaire de certificat</v>
      </c>
      <c r="I119" s="407"/>
    </row>
    <row r="120" spans="1:9" s="430" customFormat="1" ht="15.75" thickBot="1" x14ac:dyDescent="0.3">
      <c r="B120" s="532" t="str">
        <f>G125</f>
        <v>N.A.</v>
      </c>
      <c r="D120" s="629"/>
      <c r="E120" s="633" t="str">
        <f>terms!A11</f>
        <v>(Does not apply for this type of Certificate Holder)</v>
      </c>
      <c r="F120" s="576"/>
      <c r="G120" s="631" t="str">
        <f>VLOOKUP(E120,terms!$A$1:$J$24,3,FALSE)</f>
        <v>(Ne s'applique pas à ce type de Titulaire de Certificat)</v>
      </c>
      <c r="I120" s="407"/>
    </row>
    <row r="121" spans="1:9" s="430" customFormat="1" ht="15.75" thickBot="1" x14ac:dyDescent="0.3">
      <c r="B121" s="634" t="str">
        <f>G122</f>
        <v>Oui</v>
      </c>
      <c r="D121" s="629"/>
      <c r="E121" s="633" t="str">
        <f>terms!A12</f>
        <v>Certificate Holder's own risks identified</v>
      </c>
      <c r="F121" s="576"/>
      <c r="G121" s="631" t="str">
        <f>VLOOKUP(E121,terms!$A$1:$J$24,3,FALSE)</f>
        <v>Risques personnels auto-identifiés par les titulaires de certificats</v>
      </c>
      <c r="I121" s="407"/>
    </row>
    <row r="122" spans="1:9" ht="15.75" thickBot="1" x14ac:dyDescent="0.3">
      <c r="A122" s="430"/>
      <c r="B122" s="632" t="str">
        <f>G124</f>
        <v>Non/Ne sais pas</v>
      </c>
      <c r="C122" s="430"/>
      <c r="D122" s="629"/>
      <c r="E122" s="633" t="str">
        <f>terms!A13</f>
        <v>Yes</v>
      </c>
      <c r="F122" s="576"/>
      <c r="G122" s="631" t="str">
        <f>VLOOKUP(E122,terms!$A$1:$J$24,3,FALSE)</f>
        <v>Oui</v>
      </c>
      <c r="H122" s="430"/>
    </row>
    <row r="123" spans="1:9" ht="15.75" thickBot="1" x14ac:dyDescent="0.3">
      <c r="A123" s="430"/>
      <c r="B123" s="532" t="str">
        <f>G125</f>
        <v>N.A.</v>
      </c>
      <c r="C123" s="430"/>
      <c r="D123" s="629"/>
      <c r="E123" s="633" t="str">
        <f>terms!A14</f>
        <v>No</v>
      </c>
      <c r="F123" s="576"/>
      <c r="G123" s="631" t="str">
        <f>VLOOKUP(E123,terms!$A$1:$J$24,3,FALSE)</f>
        <v>Non</v>
      </c>
      <c r="H123" s="430"/>
    </row>
    <row r="124" spans="1:9" ht="15.75" thickBot="1" x14ac:dyDescent="0.3">
      <c r="A124" s="430"/>
      <c r="B124" s="634" t="str">
        <f>G122</f>
        <v>Oui</v>
      </c>
      <c r="C124" s="430"/>
      <c r="D124" s="629"/>
      <c r="E124" s="633" t="str">
        <f>terms!A15</f>
        <v>No/Don't know</v>
      </c>
      <c r="F124" s="576"/>
      <c r="G124" s="631" t="str">
        <f>VLOOKUP(E124,terms!$A$1:$J$24,3,FALSE)</f>
        <v>Non/Ne sais pas</v>
      </c>
      <c r="H124" s="430"/>
    </row>
    <row r="125" spans="1:9" ht="15.75" thickBot="1" x14ac:dyDescent="0.3">
      <c r="A125" s="430"/>
      <c r="B125" s="632" t="str">
        <f>G123</f>
        <v>Non</v>
      </c>
      <c r="C125" s="430"/>
      <c r="D125" s="629"/>
      <c r="E125" s="633" t="str">
        <f>terms!A16</f>
        <v>N/A</v>
      </c>
      <c r="F125" s="576"/>
      <c r="G125" s="631" t="str">
        <f>VLOOKUP(E125,terms!$A$1:$J$24,3,FALSE)</f>
        <v>N.A.</v>
      </c>
      <c r="H125" s="430"/>
    </row>
    <row r="126" spans="1:9" ht="15.75" thickBot="1" x14ac:dyDescent="0.3">
      <c r="A126" s="430"/>
      <c r="B126" s="632" t="str">
        <f>G124</f>
        <v>Non/Ne sais pas</v>
      </c>
      <c r="C126" s="430"/>
      <c r="D126" s="629"/>
      <c r="E126" s="633" t="str">
        <f>terms!A17</f>
        <v>Large</v>
      </c>
      <c r="F126" s="576"/>
      <c r="G126" s="631" t="str">
        <f>VLOOKUP(E126,terms!$A$1:$J$24,3,FALSE)</f>
        <v>Grand</v>
      </c>
      <c r="H126" s="430"/>
    </row>
    <row r="127" spans="1:9" ht="15.75" thickBot="1" x14ac:dyDescent="0.3">
      <c r="A127" s="430"/>
      <c r="B127" s="532" t="str">
        <f>G125</f>
        <v>N.A.</v>
      </c>
      <c r="C127" s="430"/>
      <c r="D127" s="629"/>
      <c r="E127" s="633" t="str">
        <f>terms!A18</f>
        <v>Group Certification</v>
      </c>
      <c r="F127" s="576"/>
      <c r="G127" s="631" t="str">
        <f>VLOOKUP(E127,terms!$A$1:$J$24,3,FALSE)</f>
        <v>Certification de groupe</v>
      </c>
      <c r="H127" s="430"/>
    </row>
    <row r="128" spans="1:9" ht="30.75" thickBot="1" x14ac:dyDescent="0.3">
      <c r="A128" s="430"/>
      <c r="B128" s="635" t="str">
        <f>G120</f>
        <v>(Ne s'applique pas à ce type de Titulaire de Certificat)</v>
      </c>
      <c r="C128" s="430"/>
      <c r="D128" s="629"/>
      <c r="E128" s="633" t="str">
        <f>terms!A19</f>
        <v>All</v>
      </c>
      <c r="F128" s="576"/>
      <c r="G128" s="631" t="str">
        <f>VLOOKUP(E128,terms!$A$1:$J$24,3,FALSE)</f>
        <v>Tous</v>
      </c>
      <c r="H128" s="430"/>
    </row>
    <row r="129" spans="1:8" ht="15.75" thickBot="1" x14ac:dyDescent="0.3">
      <c r="A129" s="430"/>
      <c r="B129" s="430"/>
      <c r="C129" s="430"/>
      <c r="D129" s="629"/>
      <c r="E129" s="633" t="str">
        <f>terms!A20</f>
        <v>Rainforest Alliance Basic Farm Risk Assessment Tool</v>
      </c>
      <c r="F129" s="576"/>
      <c r="G129" s="631" t="str">
        <f>VLOOKUP(E129,terms!$A$1:$J$24,3,FALSE)</f>
        <v>Outil de Base d’Evaluation des Risques</v>
      </c>
      <c r="H129" s="430"/>
    </row>
    <row r="130" spans="1:8" ht="21.75" customHeight="1" thickBot="1" x14ac:dyDescent="0.3">
      <c r="A130" s="430"/>
      <c r="B130" s="430"/>
      <c r="C130" s="430"/>
      <c r="D130" s="629"/>
      <c r="E130" s="633" t="str">
        <f>terms!A22</f>
        <v>Guidance M: Natural Ecosystems and Vegetation</v>
      </c>
      <c r="F130" s="576"/>
      <c r="G130" s="631" t="str">
        <f>VLOOKUP(E130,terms!$A$1:$J$24,3,FALSE)</f>
        <v>Document d’orientation M : Document d’orientation végétation indigène et écosystèmes naturels</v>
      </c>
      <c r="H130" s="430"/>
    </row>
    <row r="131" spans="1:8" ht="98.25" customHeight="1" thickBot="1" x14ac:dyDescent="0.3">
      <c r="A131" s="430"/>
      <c r="B131" s="430"/>
      <c r="C131" s="430"/>
      <c r="D131" s="629"/>
      <c r="E131" s="633" t="str">
        <f>terms!A21</f>
        <v>Mitigation measure 
("low, medium, high risk" refer to the Rainforest Alliance Risk Maps for Child Labor and Forced Labor applicable to your country and product)</v>
      </c>
      <c r="F131" s="576"/>
      <c r="G131" s="631" t="str">
        <f>VLOOKUP(E131,terms!$A$1:$J$24,3,FALSE)</f>
        <v>Mesures d'atténuation 
("risque bas, moyen, élevé" se refère aux cartes de risque Rainforest Alliance sur le Travail des Enfants et le Travail Forcé qui sont applicables à votre pays et votre produit)</v>
      </c>
      <c r="H131" s="430"/>
    </row>
    <row r="132" spans="1:8" ht="30.75" thickBot="1" x14ac:dyDescent="0.3">
      <c r="A132" s="430"/>
      <c r="B132" s="430"/>
      <c r="C132" s="430"/>
      <c r="D132" s="629"/>
      <c r="E132" s="633" t="str">
        <f>terms!A23</f>
        <v>For the countries or crops not included yet in the risk maps, please select the appropriate mitigation measures based on the identified risks.</v>
      </c>
      <c r="F132" s="576"/>
      <c r="G132" s="631" t="str">
        <f>VLOOKUP(E132,terms!$A$1:$J$24,3,FALSE)</f>
        <v>Pour les pays ou les cultures qui ne sont pas encore inclus dans les cartes de risques, veuillez sélectionner les mesures d'atténuation appropriées en vous basant sur les risques identifiés.</v>
      </c>
      <c r="H132" s="430"/>
    </row>
    <row r="133" spans="1:8" ht="93" customHeight="1" x14ac:dyDescent="0.25">
      <c r="A133" s="430"/>
      <c r="B133" s="430"/>
      <c r="C133" s="430"/>
      <c r="D133" s="629"/>
      <c r="E133" s="636" t="s">
        <v>975</v>
      </c>
      <c r="F133" s="637"/>
      <c r="G133" s="631" t="str">
        <f>VLOOKUP(E133,terms!$A$1:$J$24,3,FALSE)</f>
        <v>&lt;- Selectionnez "Grande" pour les grandes exploitations agricoles (individuelles et en groupe) et les petites exploitations agricoles certifiées individuellemen.</v>
      </c>
      <c r="H133" s="430"/>
    </row>
    <row r="134" spans="1:8" ht="75.75" thickBot="1" x14ac:dyDescent="0.3">
      <c r="A134" s="430"/>
      <c r="B134" s="430"/>
      <c r="C134" s="430"/>
      <c r="D134" s="430"/>
      <c r="E134" s="638" t="str">
        <f>_xlfn.CONCAT(terms!A21," &lt;- ", terms!A23)</f>
        <v>Mitigation measure 
("low, medium, high risk" refer to the Rainforest Alliance Risk Maps for Child Labor and Forced Labor applicable to your country and product) &lt;- For the countries or crops not included yet in the risk maps, please select the appropriate mitigation measures based on the identified risks.</v>
      </c>
      <c r="F134" s="575"/>
      <c r="G134" s="639" t="str">
        <f>_xlfn.CONCAT(G131," &lt;- ",G132)</f>
        <v>Mesures d'atténuation 
("risque bas, moyen, élevé" se refère aux cartes de risque Rainforest Alliance sur le Travail des Enfants et le Travail Forcé qui sont applicables à votre pays et votre produit) &lt;- Pour les pays ou les cultures qui ne sont pas encore inclus dans les cartes de risques, veuillez sélectionner les mesures d'atténuation appropriées en vous basant sur les risques identifiés.</v>
      </c>
      <c r="H134" s="430"/>
    </row>
    <row r="135" spans="1:8" ht="16.5" customHeight="1" x14ac:dyDescent="0.25">
      <c r="E135" s="530"/>
      <c r="G135" s="530"/>
    </row>
  </sheetData>
  <sheetProtection algorithmName="SHA-512" hashValue="ePbLIKW0Gx7j+LaKPaS2efPdVvVhiHIsc32pzKOaNvJqJZLNbIs/AgVF9eYDWSh4mAJD7vaUOWWUnwBd3rHWIA==" saltValue="cOoqlvOvzaMmiGfEvPPqlQ==" spinCount="100000" sheet="1" formatColumns="0" formatRows="0"/>
  <mergeCells count="13">
    <mergeCell ref="B97:B106"/>
    <mergeCell ref="B76:B80"/>
    <mergeCell ref="B83:B88"/>
    <mergeCell ref="B91:B94"/>
    <mergeCell ref="B26:G26"/>
    <mergeCell ref="B39:G39"/>
    <mergeCell ref="B73:G73"/>
    <mergeCell ref="B62:B66"/>
    <mergeCell ref="B7:G7"/>
    <mergeCell ref="B13:B17"/>
    <mergeCell ref="B21:B23"/>
    <mergeCell ref="B29:B31"/>
    <mergeCell ref="B34:B37"/>
  </mergeCells>
  <dataValidations count="3">
    <dataValidation type="list" allowBlank="1" showInputMessage="1" showErrorMessage="1" sqref="B5" xr:uid="{095471AF-2980-4974-9250-CC5A071C79DF}">
      <formula1>$B$113:$B$114</formula1>
    </dataValidation>
    <dataValidation type="list" allowBlank="1" showInputMessage="1" showErrorMessage="1" sqref="F85:F88 F10 F36:F37 F34 F91:F94 F46:F59 F76:F80 F62:F63 F70 F42 F65:F66 F29:F31 F13:F17" xr:uid="{2ED626D9-E3A0-4EFC-B59F-CC6385347409}">
      <formula1>$B$118:$B$120</formula1>
    </dataValidation>
    <dataValidation type="list" allowBlank="1" showInputMessage="1" showErrorMessage="1" sqref="F21:F23 F83:F84 F64 F35" xr:uid="{1546B796-F723-49D2-A45E-172DE0A39650}">
      <formula1>$B$121:$B$123</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C2BC-0542-4E15-A970-EECB67FB519E}">
  <sheetPr codeName="Sheet11">
    <tabColor rgb="FF00B050"/>
  </sheetPr>
  <dimension ref="A1:L131"/>
  <sheetViews>
    <sheetView zoomScale="75" zoomScaleNormal="75" workbookViewId="0">
      <pane ySplit="1" topLeftCell="A27" activePane="bottomLeft" state="frozen"/>
      <selection pane="bottomLeft" activeCell="K25" sqref="K25"/>
    </sheetView>
  </sheetViews>
  <sheetFormatPr defaultColWidth="9.140625" defaultRowHeight="15" x14ac:dyDescent="0.25"/>
  <cols>
    <col min="1" max="1" width="12.85546875" style="354" customWidth="1"/>
    <col min="2" max="2" width="19.7109375" customWidth="1"/>
    <col min="3" max="3" width="22.7109375" customWidth="1"/>
    <col min="4" max="4" width="18.140625" customWidth="1"/>
    <col min="5" max="6" width="27" style="340" customWidth="1"/>
    <col min="7" max="7" width="32.7109375" customWidth="1"/>
    <col min="8" max="8" width="14.85546875" bestFit="1" customWidth="1"/>
    <col min="9" max="10" width="18.28515625" customWidth="1"/>
    <col min="11" max="11" width="85" customWidth="1"/>
    <col min="12" max="12" width="32.140625" bestFit="1" customWidth="1"/>
  </cols>
  <sheetData>
    <row r="1" spans="1:11" ht="78.75" x14ac:dyDescent="0.25">
      <c r="A1" s="352" t="s">
        <v>5</v>
      </c>
      <c r="B1" s="317" t="s">
        <v>976</v>
      </c>
      <c r="C1" s="484" t="s">
        <v>977</v>
      </c>
      <c r="D1" s="318" t="s">
        <v>978</v>
      </c>
      <c r="E1" s="338" t="s">
        <v>979</v>
      </c>
      <c r="F1" s="366" t="s">
        <v>760</v>
      </c>
      <c r="G1" s="584" t="s">
        <v>980</v>
      </c>
      <c r="H1" s="485" t="s">
        <v>981</v>
      </c>
      <c r="I1" s="486" t="s">
        <v>982</v>
      </c>
      <c r="J1" s="367" t="s">
        <v>761</v>
      </c>
      <c r="K1" s="487" t="s">
        <v>983</v>
      </c>
    </row>
    <row r="2" spans="1:11" ht="15.75" x14ac:dyDescent="0.25">
      <c r="A2" s="353"/>
      <c r="B2" s="300" t="s">
        <v>984</v>
      </c>
      <c r="C2" s="488"/>
      <c r="D2" s="301"/>
      <c r="E2" s="339"/>
      <c r="F2" s="339"/>
      <c r="G2" s="489"/>
      <c r="H2" s="299"/>
      <c r="I2" s="489"/>
      <c r="J2" s="365"/>
      <c r="K2" s="319"/>
    </row>
    <row r="3" spans="1:11" ht="118.5" customHeight="1" x14ac:dyDescent="0.25">
      <c r="A3" s="389">
        <v>1</v>
      </c>
      <c r="B3" s="327" t="s">
        <v>985</v>
      </c>
      <c r="C3" s="490" t="s">
        <v>837</v>
      </c>
      <c r="D3" s="302"/>
      <c r="E3" s="371" t="s">
        <v>986</v>
      </c>
      <c r="F3" s="371" t="str">
        <f t="shared" ref="F3:F34" si="0">CONCATENATE(B3,A3,C3)</f>
        <v>1.2.10 Zone de l’exploitation agricole1Certification de groupe</v>
      </c>
      <c r="G3" s="374" t="s">
        <v>987</v>
      </c>
      <c r="H3" s="303" t="s">
        <v>867</v>
      </c>
      <c r="I3" s="491" t="s">
        <v>988</v>
      </c>
      <c r="J3" s="585" t="str">
        <f t="shared" ref="J3:J34" si="1">RIGHT(CONCATENATE(G3,H3),255)</f>
        <v>Vous attendez-vous à ce que les sites de production des membres du groupe s’étendent ou changent ?Non</v>
      </c>
      <c r="K3" s="320" t="s">
        <v>989</v>
      </c>
    </row>
    <row r="4" spans="1:11" ht="91.15" customHeight="1" x14ac:dyDescent="0.25">
      <c r="A4" s="389">
        <v>1</v>
      </c>
      <c r="B4" s="327" t="s">
        <v>985</v>
      </c>
      <c r="C4" s="490" t="s">
        <v>837</v>
      </c>
      <c r="D4" s="406"/>
      <c r="E4" s="307"/>
      <c r="F4" s="492" t="str">
        <f t="shared" si="0"/>
        <v>1.2.10 Zone de l’exploitation agricole1Certification de groupe</v>
      </c>
      <c r="G4" s="374" t="s">
        <v>987</v>
      </c>
      <c r="H4" s="304" t="s">
        <v>990</v>
      </c>
      <c r="I4" s="493" t="s">
        <v>830</v>
      </c>
      <c r="J4" s="585" t="str">
        <f t="shared" si="1"/>
        <v>Vous attendez-vous à ce que les sites de production des membres du groupe s’étendent ou changent ?oui</v>
      </c>
      <c r="K4" s="321" t="s">
        <v>991</v>
      </c>
    </row>
    <row r="5" spans="1:11" ht="51" x14ac:dyDescent="0.25">
      <c r="A5" s="389">
        <v>1</v>
      </c>
      <c r="B5" s="327" t="s">
        <v>985</v>
      </c>
      <c r="C5" s="490" t="s">
        <v>845</v>
      </c>
      <c r="D5" s="406"/>
      <c r="E5" s="307"/>
      <c r="F5" s="492" t="str">
        <f t="shared" si="0"/>
        <v>1.2.10 Zone de l’exploitation agricole1Grand</v>
      </c>
      <c r="G5" s="374" t="s">
        <v>992</v>
      </c>
      <c r="H5" s="303" t="s">
        <v>867</v>
      </c>
      <c r="I5" s="491" t="s">
        <v>988</v>
      </c>
      <c r="J5" s="585" t="str">
        <f t="shared" si="1"/>
        <v>Est-ce que les sites de production s’étendent ou changent ? Non</v>
      </c>
      <c r="K5" s="320" t="s">
        <v>989</v>
      </c>
    </row>
    <row r="6" spans="1:11" ht="56.65" customHeight="1" x14ac:dyDescent="0.25">
      <c r="A6" s="389">
        <v>1</v>
      </c>
      <c r="B6" s="327" t="s">
        <v>985</v>
      </c>
      <c r="C6" s="490" t="s">
        <v>845</v>
      </c>
      <c r="D6" s="406"/>
      <c r="E6" s="307"/>
      <c r="F6" s="492" t="str">
        <f t="shared" si="0"/>
        <v>1.2.10 Zone de l’exploitation agricole1Grand</v>
      </c>
      <c r="G6" s="374" t="s">
        <v>992</v>
      </c>
      <c r="H6" s="304" t="s">
        <v>990</v>
      </c>
      <c r="I6" s="493" t="s">
        <v>830</v>
      </c>
      <c r="J6" s="585" t="str">
        <f t="shared" si="1"/>
        <v>Est-ce que les sites de production s’étendent ou changent ? oui</v>
      </c>
      <c r="K6" s="321" t="s">
        <v>993</v>
      </c>
    </row>
    <row r="7" spans="1:11" ht="195.75" customHeight="1" x14ac:dyDescent="0.25">
      <c r="A7" s="378">
        <v>2</v>
      </c>
      <c r="B7" s="382" t="s">
        <v>994</v>
      </c>
      <c r="C7" s="347" t="s">
        <v>837</v>
      </c>
      <c r="D7" s="348"/>
      <c r="E7" s="553" t="s">
        <v>995</v>
      </c>
      <c r="F7" s="371" t="str">
        <f t="shared" si="0"/>
        <v>2.1 Traçabilité2Certification de groupe</v>
      </c>
      <c r="G7" s="552" t="s">
        <v>996</v>
      </c>
      <c r="H7" s="374" t="s">
        <v>990</v>
      </c>
      <c r="I7" s="552" t="s">
        <v>988</v>
      </c>
      <c r="J7" s="585" t="str">
        <f t="shared" si="1"/>
        <v>Utilisez-vous/Utiliserez-vous des intermédiaires et/ou des sous-traitants* dans votre chaîne d'approvisionnement ?oui</v>
      </c>
      <c r="K7" s="322" t="s">
        <v>997</v>
      </c>
    </row>
    <row r="8" spans="1:11" ht="99" customHeight="1" x14ac:dyDescent="0.25">
      <c r="A8" s="378">
        <v>2</v>
      </c>
      <c r="B8" s="382" t="s">
        <v>994</v>
      </c>
      <c r="C8" s="347" t="s">
        <v>837</v>
      </c>
      <c r="D8" s="377"/>
      <c r="E8" s="552" t="s">
        <v>995</v>
      </c>
      <c r="F8" s="371" t="str">
        <f t="shared" si="0"/>
        <v>2.1 Traçabilité2Certification de groupe</v>
      </c>
      <c r="G8" s="552" t="s">
        <v>996</v>
      </c>
      <c r="H8" s="374" t="s">
        <v>867</v>
      </c>
      <c r="I8" s="382" t="s">
        <v>988</v>
      </c>
      <c r="J8" s="585" t="str">
        <f t="shared" si="1"/>
        <v>Utilisez-vous/Utiliserez-vous des intermédiaires et/ou des sous-traitants* dans votre chaîne d'approvisionnement ?Non</v>
      </c>
      <c r="K8" s="494" t="s">
        <v>998</v>
      </c>
    </row>
    <row r="9" spans="1:11" ht="114.75" x14ac:dyDescent="0.25">
      <c r="A9" s="378">
        <v>2</v>
      </c>
      <c r="B9" s="382" t="s">
        <v>994</v>
      </c>
      <c r="C9" s="347" t="s">
        <v>845</v>
      </c>
      <c r="D9" s="377"/>
      <c r="E9" s="552" t="s">
        <v>999</v>
      </c>
      <c r="F9" s="371" t="str">
        <f t="shared" si="0"/>
        <v>2.1 Traçabilité2Grand</v>
      </c>
      <c r="G9" s="552" t="s">
        <v>1000</v>
      </c>
      <c r="H9" s="374" t="s">
        <v>990</v>
      </c>
      <c r="I9" s="382" t="s">
        <v>830</v>
      </c>
      <c r="J9" s="585" t="str">
        <f t="shared" si="1"/>
        <v>Utilisez-vous/Utiliserez-vous des sous-traitants* dans votre chaîne d'approvisionnement ?oui</v>
      </c>
      <c r="K9" s="380" t="s">
        <v>1001</v>
      </c>
    </row>
    <row r="10" spans="1:11" ht="84.95" customHeight="1" x14ac:dyDescent="0.25">
      <c r="A10" s="378">
        <v>2</v>
      </c>
      <c r="B10" s="382" t="s">
        <v>994</v>
      </c>
      <c r="C10" s="384" t="s">
        <v>845</v>
      </c>
      <c r="D10" s="379"/>
      <c r="E10" s="552" t="s">
        <v>999</v>
      </c>
      <c r="F10" s="371" t="str">
        <f t="shared" si="0"/>
        <v>2.1 Traçabilité2Grand</v>
      </c>
      <c r="G10" s="552" t="s">
        <v>1000</v>
      </c>
      <c r="H10" s="381" t="s">
        <v>867</v>
      </c>
      <c r="I10" s="495" t="s">
        <v>830</v>
      </c>
      <c r="J10" s="585" t="str">
        <f t="shared" si="1"/>
        <v>Utilisez-vous/Utiliserez-vous des sous-traitants* dans votre chaîne d'approvisionnement ?Non</v>
      </c>
      <c r="K10" s="380" t="s">
        <v>1002</v>
      </c>
    </row>
    <row r="11" spans="1:11" ht="101.65" customHeight="1" x14ac:dyDescent="0.25">
      <c r="A11" s="378">
        <v>3</v>
      </c>
      <c r="B11" s="382" t="s">
        <v>994</v>
      </c>
      <c r="C11" s="347" t="s">
        <v>837</v>
      </c>
      <c r="D11" s="348"/>
      <c r="E11" s="552" t="s">
        <v>1003</v>
      </c>
      <c r="F11" s="371" t="str">
        <f t="shared" si="0"/>
        <v>2.1 Traçabilité3Certification de groupe</v>
      </c>
      <c r="G11" s="371" t="s">
        <v>1004</v>
      </c>
      <c r="H11" s="374" t="s">
        <v>990</v>
      </c>
      <c r="I11" s="552" t="s">
        <v>988</v>
      </c>
      <c r="J11" s="585" t="str">
        <f t="shared" si="1"/>
        <v>Vous attendez-vous à ce que les agriculteurs aient des difficultés à tenir des registres (traçabilité) ?oui</v>
      </c>
      <c r="K11" s="322" t="s">
        <v>1005</v>
      </c>
    </row>
    <row r="12" spans="1:11" ht="76.5" x14ac:dyDescent="0.25">
      <c r="A12" s="378">
        <v>3</v>
      </c>
      <c r="B12" s="382" t="s">
        <v>994</v>
      </c>
      <c r="C12" s="216" t="s">
        <v>837</v>
      </c>
      <c r="D12" s="207"/>
      <c r="E12" s="552" t="s">
        <v>1003</v>
      </c>
      <c r="F12" s="371" t="str">
        <f t="shared" si="0"/>
        <v>2.1 Traçabilité3Certification de groupe</v>
      </c>
      <c r="G12" s="371" t="s">
        <v>1004</v>
      </c>
      <c r="H12" s="304" t="s">
        <v>867</v>
      </c>
      <c r="I12" s="550" t="s">
        <v>988</v>
      </c>
      <c r="J12" s="585" t="str">
        <f t="shared" si="1"/>
        <v>Vous attendez-vous à ce que les agriculteurs aient des difficultés à tenir des registres (traçabilité) ?Non</v>
      </c>
      <c r="K12" s="320" t="s">
        <v>989</v>
      </c>
    </row>
    <row r="13" spans="1:11" ht="51.95" customHeight="1" x14ac:dyDescent="0.25">
      <c r="A13" s="378">
        <v>4</v>
      </c>
      <c r="B13" s="382" t="s">
        <v>994</v>
      </c>
      <c r="C13" s="216" t="s">
        <v>837</v>
      </c>
      <c r="D13" s="207"/>
      <c r="E13" s="552" t="s">
        <v>1006</v>
      </c>
      <c r="F13" s="371" t="str">
        <f t="shared" si="0"/>
        <v>2.1 Traçabilité4Certification de groupe</v>
      </c>
      <c r="G13" s="371" t="s">
        <v>1007</v>
      </c>
      <c r="H13" s="304" t="s">
        <v>990</v>
      </c>
      <c r="I13" s="550" t="s">
        <v>988</v>
      </c>
      <c r="J13" s="585" t="str">
        <f t="shared" si="1"/>
        <v>Gérez-vous/allez-vous (direction) utiliser uniquement des produits certifiés RA et/ou achetez-vous/achèterez-vous uniquement à des producteurs certifiés RA ?oui</v>
      </c>
      <c r="K13" s="323" t="s">
        <v>1008</v>
      </c>
    </row>
    <row r="14" spans="1:11" ht="114.75" x14ac:dyDescent="0.25">
      <c r="A14" s="378">
        <v>4</v>
      </c>
      <c r="B14" s="382" t="s">
        <v>994</v>
      </c>
      <c r="C14" s="549" t="s">
        <v>837</v>
      </c>
      <c r="D14" s="377"/>
      <c r="E14" s="552" t="s">
        <v>1006</v>
      </c>
      <c r="F14" s="371" t="str">
        <f t="shared" si="0"/>
        <v>2.1 Traçabilité4Certification de groupe</v>
      </c>
      <c r="G14" s="371" t="s">
        <v>1007</v>
      </c>
      <c r="H14" s="374" t="s">
        <v>867</v>
      </c>
      <c r="I14" s="552" t="s">
        <v>988</v>
      </c>
      <c r="J14" s="585" t="str">
        <f t="shared" si="1"/>
        <v>Gérez-vous/allez-vous (direction) utiliser uniquement des produits certifiés RA et/ou achetez-vous/achèterez-vous uniquement à des producteurs certifiés RA ?Non</v>
      </c>
      <c r="K14" s="322" t="s">
        <v>1009</v>
      </c>
    </row>
    <row r="15" spans="1:11" ht="104.25" customHeight="1" x14ac:dyDescent="0.25">
      <c r="A15" s="378">
        <v>5</v>
      </c>
      <c r="B15" s="382" t="s">
        <v>994</v>
      </c>
      <c r="C15" s="347" t="s">
        <v>837</v>
      </c>
      <c r="D15" s="348"/>
      <c r="E15" s="552" t="s">
        <v>1010</v>
      </c>
      <c r="F15" s="371" t="str">
        <f t="shared" si="0"/>
        <v>2.1 Traçabilité5Certification de groupe</v>
      </c>
      <c r="G15" s="552" t="s">
        <v>1011</v>
      </c>
      <c r="H15" s="374" t="s">
        <v>990</v>
      </c>
      <c r="I15" s="552" t="s">
        <v>830</v>
      </c>
      <c r="J15" s="585" t="str">
        <f t="shared" si="1"/>
        <v>Les membres du groupe ont-ils accès à des débouchés commerciaux/acheteurs différents pour leurs produits certifiés ?oui</v>
      </c>
      <c r="K15" s="322" t="s">
        <v>1012</v>
      </c>
    </row>
    <row r="16" spans="1:11" ht="89.25" x14ac:dyDescent="0.25">
      <c r="A16" s="378">
        <v>5</v>
      </c>
      <c r="B16" s="382" t="s">
        <v>994</v>
      </c>
      <c r="C16" s="216" t="s">
        <v>837</v>
      </c>
      <c r="D16" s="207"/>
      <c r="E16" s="552" t="s">
        <v>1010</v>
      </c>
      <c r="F16" s="371" t="str">
        <f t="shared" si="0"/>
        <v>2.1 Traçabilité5Certification de groupe</v>
      </c>
      <c r="G16" s="552" t="s">
        <v>1011</v>
      </c>
      <c r="H16" s="304" t="s">
        <v>867</v>
      </c>
      <c r="I16" s="550" t="s">
        <v>830</v>
      </c>
      <c r="J16" s="585" t="str">
        <f t="shared" si="1"/>
        <v>Les membres du groupe ont-ils accès à des débouchés commerciaux/acheteurs différents pour leurs produits certifiés ?Non</v>
      </c>
      <c r="K16" s="320" t="s">
        <v>989</v>
      </c>
    </row>
    <row r="17" spans="1:11" ht="113.1" customHeight="1" x14ac:dyDescent="0.25">
      <c r="A17" s="378">
        <v>6</v>
      </c>
      <c r="B17" s="382" t="s">
        <v>994</v>
      </c>
      <c r="C17" s="347" t="s">
        <v>837</v>
      </c>
      <c r="D17" s="348"/>
      <c r="E17" s="552" t="s">
        <v>1013</v>
      </c>
      <c r="F17" s="371" t="str">
        <f t="shared" si="0"/>
        <v>2.1 Traçabilité6Certification de groupe</v>
      </c>
      <c r="G17" s="552" t="s">
        <v>1014</v>
      </c>
      <c r="H17" s="374" t="s">
        <v>990</v>
      </c>
      <c r="I17" s="552" t="s">
        <v>1015</v>
      </c>
      <c r="J17" s="585" t="str">
        <f t="shared" si="1"/>
        <v>Les membres du groupe dépendent-ils souvent des opérateurs des exploitations agricoles pour gérer leur exploitation agricole ?oui</v>
      </c>
      <c r="K17" s="322" t="s">
        <v>1016</v>
      </c>
    </row>
    <row r="18" spans="1:11" ht="102" x14ac:dyDescent="0.25">
      <c r="A18" s="378">
        <v>6</v>
      </c>
      <c r="B18" s="382" t="s">
        <v>994</v>
      </c>
      <c r="C18" s="216" t="s">
        <v>837</v>
      </c>
      <c r="D18" s="207"/>
      <c r="E18" s="552" t="s">
        <v>1013</v>
      </c>
      <c r="F18" s="371" t="str">
        <f t="shared" si="0"/>
        <v>2.1 Traçabilité6Certification de groupe</v>
      </c>
      <c r="G18" s="552" t="s">
        <v>1014</v>
      </c>
      <c r="H18" s="304" t="s">
        <v>867</v>
      </c>
      <c r="I18" s="550" t="s">
        <v>830</v>
      </c>
      <c r="J18" s="585" t="str">
        <f t="shared" si="1"/>
        <v>Les membres du groupe dépendent-ils souvent des opérateurs des exploitations agricoles pour gérer leur exploitation agricole ?Non</v>
      </c>
      <c r="K18" s="320" t="s">
        <v>989</v>
      </c>
    </row>
    <row r="19" spans="1:11" ht="140.25" x14ac:dyDescent="0.25">
      <c r="A19" s="378">
        <v>7</v>
      </c>
      <c r="B19" s="382" t="s">
        <v>1017</v>
      </c>
      <c r="C19" s="216" t="s">
        <v>837</v>
      </c>
      <c r="D19" s="207"/>
      <c r="E19" s="552" t="s">
        <v>1018</v>
      </c>
      <c r="F19" s="371" t="str">
        <f t="shared" si="0"/>
        <v>Le terme ‘productivité et rentabilité’ fait référence aux points suivants : 2.1.2 rendement des récoltes ; 1.3.6 entrées financières et compétences ; 1.3.7 diversification ; 3.1. coûts de production et Revenu vital7Certification de groupe</v>
      </c>
      <c r="G19" s="552" t="s">
        <v>1019</v>
      </c>
      <c r="H19" s="551" t="s">
        <v>990</v>
      </c>
      <c r="I19" s="550" t="s">
        <v>830</v>
      </c>
      <c r="J19" s="585" t="str">
        <f t="shared" si="1"/>
        <v>Le rendement moyen de la culture certifiée des membres du groupe est-il égal ou supérieur au rendement moyen dans votre région ?oui</v>
      </c>
      <c r="K19" s="320" t="s">
        <v>989</v>
      </c>
    </row>
    <row r="20" spans="1:11" ht="140.25" x14ac:dyDescent="0.25">
      <c r="A20" s="378">
        <v>7</v>
      </c>
      <c r="B20" s="382" t="s">
        <v>1017</v>
      </c>
      <c r="C20" s="347" t="s">
        <v>837</v>
      </c>
      <c r="D20" s="348"/>
      <c r="E20" s="552" t="s">
        <v>1018</v>
      </c>
      <c r="F20" s="371" t="str">
        <f t="shared" si="0"/>
        <v>Le terme ‘productivité et rentabilité’ fait référence aux points suivants : 2.1.2 rendement des récoltes ; 1.3.6 entrées financières et compétences ; 1.3.7 diversification ; 3.1. coûts de production et Revenu vital7Certification de groupe</v>
      </c>
      <c r="G20" s="552" t="s">
        <v>1019</v>
      </c>
      <c r="H20" s="552" t="s">
        <v>859</v>
      </c>
      <c r="I20" s="382" t="s">
        <v>830</v>
      </c>
      <c r="J20" s="585" t="str">
        <f t="shared" si="1"/>
        <v>Le rendement moyen de la culture certifiée des membres du groupe est-il égal ou supérieur au rendement moyen dans votre région ?Non/Ne sais pas</v>
      </c>
      <c r="K20" s="380" t="s">
        <v>1020</v>
      </c>
    </row>
    <row r="21" spans="1:11" ht="140.25" x14ac:dyDescent="0.25">
      <c r="A21" s="389">
        <v>8</v>
      </c>
      <c r="B21" s="382" t="s">
        <v>1017</v>
      </c>
      <c r="C21" s="216" t="s">
        <v>837</v>
      </c>
      <c r="D21" s="207"/>
      <c r="E21" s="180" t="s">
        <v>1021</v>
      </c>
      <c r="F21" s="371" t="str">
        <f t="shared" si="0"/>
        <v>Le terme ‘productivité et rentabilité’ fait référence aux points suivants : 2.1.2 rendement des récoltes ; 1.3.6 entrées financières et compétences ; 1.3.7 diversification ; 3.1. coûts de production et Revenu vital8Certification de groupe</v>
      </c>
      <c r="G21" s="371" t="s">
        <v>1022</v>
      </c>
      <c r="H21" s="551" t="s">
        <v>990</v>
      </c>
      <c r="I21" s="550" t="s">
        <v>830</v>
      </c>
      <c r="J21" s="585" t="str">
        <f t="shared" si="1"/>
        <v>Tous les membres du groupe ont-ils accès aux financements, aux intrants agricoles et aux connaissances adéquates pour optimiser la productivité ?oui</v>
      </c>
      <c r="K21" s="320" t="s">
        <v>989</v>
      </c>
    </row>
    <row r="22" spans="1:11" ht="103.9" customHeight="1" x14ac:dyDescent="0.25">
      <c r="A22" s="389">
        <v>8</v>
      </c>
      <c r="B22" s="382" t="s">
        <v>1017</v>
      </c>
      <c r="C22" s="347" t="s">
        <v>837</v>
      </c>
      <c r="D22" s="377"/>
      <c r="E22" s="552" t="s">
        <v>1021</v>
      </c>
      <c r="F22" s="371" t="str">
        <f t="shared" si="0"/>
        <v>Le terme ‘productivité et rentabilité’ fait référence aux points suivants : 2.1.2 rendement des récoltes ; 1.3.6 entrées financières et compétences ; 1.3.7 diversification ; 3.1. coûts de production et Revenu vital8Certification de groupe</v>
      </c>
      <c r="G22" s="371" t="s">
        <v>1022</v>
      </c>
      <c r="H22" s="552" t="s">
        <v>859</v>
      </c>
      <c r="I22" s="552" t="s">
        <v>830</v>
      </c>
      <c r="J22" s="585" t="str">
        <f t="shared" si="1"/>
        <v>Tous les membres du groupe ont-ils accès aux financements, aux intrants agricoles et aux connaissances adéquates pour optimiser la productivité ?Non/Ne sais pas</v>
      </c>
      <c r="K22" s="322" t="s">
        <v>1282</v>
      </c>
    </row>
    <row r="23" spans="1:11" ht="140.25" x14ac:dyDescent="0.25">
      <c r="A23" s="389">
        <v>9</v>
      </c>
      <c r="B23" s="382" t="s">
        <v>1017</v>
      </c>
      <c r="C23" s="216" t="s">
        <v>837</v>
      </c>
      <c r="D23" s="207"/>
      <c r="E23" s="552" t="s">
        <v>1023</v>
      </c>
      <c r="F23" s="371" t="str">
        <f t="shared" si="0"/>
        <v>Le terme ‘productivité et rentabilité’ fait référence aux points suivants : 2.1.2 rendement des récoltes ; 1.3.6 entrées financières et compétences ; 1.3.7 diversification ; 3.1. coûts de production et Revenu vital9Certification de groupe</v>
      </c>
      <c r="G23" s="552" t="s">
        <v>1024</v>
      </c>
      <c r="H23" s="551" t="s">
        <v>990</v>
      </c>
      <c r="I23" s="550" t="s">
        <v>830</v>
      </c>
      <c r="J23" s="585" t="str">
        <f t="shared" si="1"/>
        <v>Tous les membres du groupe tirent-ils un revenu décent avec la production de la culture certifiée ?oui</v>
      </c>
      <c r="K23" s="320" t="s">
        <v>989</v>
      </c>
    </row>
    <row r="24" spans="1:11" ht="196.5" customHeight="1" x14ac:dyDescent="0.25">
      <c r="A24" s="389">
        <v>9</v>
      </c>
      <c r="B24" s="382" t="s">
        <v>1017</v>
      </c>
      <c r="C24" s="347" t="s">
        <v>837</v>
      </c>
      <c r="D24" s="348"/>
      <c r="E24" s="552" t="s">
        <v>1023</v>
      </c>
      <c r="F24" s="371" t="str">
        <f t="shared" si="0"/>
        <v>Le terme ‘productivité et rentabilité’ fait référence aux points suivants : 2.1.2 rendement des récoltes ; 1.3.6 entrées financières et compétences ; 1.3.7 diversification ; 3.1. coûts de production et Revenu vital9Certification de groupe</v>
      </c>
      <c r="G24" s="552" t="s">
        <v>1024</v>
      </c>
      <c r="H24" s="552" t="s">
        <v>859</v>
      </c>
      <c r="I24" s="547" t="s">
        <v>830</v>
      </c>
      <c r="J24" s="585" t="str">
        <f t="shared" si="1"/>
        <v>Tous les membres du groupe tirent-ils un revenu décent avec la production de la culture certifiée ?Non/Ne sais pas</v>
      </c>
      <c r="K24" s="324" t="s">
        <v>1283</v>
      </c>
    </row>
    <row r="25" spans="1:11" ht="15.75" x14ac:dyDescent="0.25">
      <c r="A25" s="353"/>
      <c r="B25" s="305" t="s">
        <v>1025</v>
      </c>
      <c r="C25" s="488"/>
      <c r="D25" s="301"/>
      <c r="E25" s="299"/>
      <c r="F25" s="371" t="str">
        <f t="shared" si="0"/>
        <v>Pratiques agricoles</v>
      </c>
      <c r="G25" s="299"/>
      <c r="H25" s="303" t="s">
        <v>867</v>
      </c>
      <c r="I25" s="489"/>
      <c r="J25" s="585" t="str">
        <f t="shared" si="1"/>
        <v>Non</v>
      </c>
      <c r="K25" s="319"/>
    </row>
    <row r="26" spans="1:11" ht="217.5" customHeight="1" x14ac:dyDescent="0.25">
      <c r="A26" s="378">
        <v>10</v>
      </c>
      <c r="B26" s="327" t="s">
        <v>1026</v>
      </c>
      <c r="C26" s="384" t="s">
        <v>837</v>
      </c>
      <c r="D26" s="348" t="s">
        <v>1027</v>
      </c>
      <c r="E26" s="371" t="s">
        <v>1028</v>
      </c>
      <c r="F26" s="371" t="str">
        <f t="shared" si="0"/>
        <v>4.6 Gestion des produits agrochimiques10Certification de groupe</v>
      </c>
      <c r="G26" s="546" t="s">
        <v>1029</v>
      </c>
      <c r="H26" s="304" t="s">
        <v>990</v>
      </c>
      <c r="I26" s="552" t="s">
        <v>988</v>
      </c>
      <c r="J26" s="585" t="str">
        <f t="shared" si="1"/>
        <v>s produits agrochimiques interdits de Rainforest Alliance :
L’utilisation sur l’exploitation d’un ou plusieurs produits phytosanitaires inclus dans la Liste des produits interdits par Rainforest Alliance est-elle une pratique courante dans la région ?oui</v>
      </c>
      <c r="K26" s="381" t="s">
        <v>1030</v>
      </c>
    </row>
    <row r="27" spans="1:11" ht="116.25" customHeight="1" x14ac:dyDescent="0.25">
      <c r="A27" s="378">
        <v>10</v>
      </c>
      <c r="B27" s="327" t="s">
        <v>1026</v>
      </c>
      <c r="C27" s="490" t="s">
        <v>837</v>
      </c>
      <c r="D27" s="207" t="s">
        <v>1027</v>
      </c>
      <c r="E27" s="371" t="s">
        <v>1028</v>
      </c>
      <c r="F27" s="371" t="str">
        <f t="shared" si="0"/>
        <v>4.6 Gestion des produits agrochimiques10Certification de groupe</v>
      </c>
      <c r="G27" s="546" t="s">
        <v>1029</v>
      </c>
      <c r="H27" s="303" t="s">
        <v>867</v>
      </c>
      <c r="I27" s="550" t="s">
        <v>988</v>
      </c>
      <c r="J27" s="585" t="str">
        <f t="shared" si="1"/>
        <v>s produits agrochimiques interdits de Rainforest Alliance :
L’utilisation sur l’exploitation d’un ou plusieurs produits phytosanitaires inclus dans la Liste des produits interdits par Rainforest Alliance est-elle une pratique courante dans la région ?Non</v>
      </c>
      <c r="K27" s="320" t="s">
        <v>989</v>
      </c>
    </row>
    <row r="28" spans="1:11" ht="172.9" customHeight="1" x14ac:dyDescent="0.25">
      <c r="A28" s="378">
        <v>10</v>
      </c>
      <c r="B28" s="327" t="s">
        <v>1026</v>
      </c>
      <c r="C28" s="384" t="s">
        <v>845</v>
      </c>
      <c r="D28" s="348" t="s">
        <v>1027</v>
      </c>
      <c r="E28" s="371" t="s">
        <v>1028</v>
      </c>
      <c r="F28" s="371" t="str">
        <f t="shared" si="0"/>
        <v>4.6 Gestion des produits agrochimiques10Grand</v>
      </c>
      <c r="G28" s="546" t="s">
        <v>1031</v>
      </c>
      <c r="H28" s="304" t="s">
        <v>990</v>
      </c>
      <c r="I28" s="552" t="s">
        <v>988</v>
      </c>
      <c r="J28" s="585" t="str">
        <f t="shared" si="1"/>
        <v>Examiner la Liste des produits agrochimiques interdits de Rainforest Alliance :
Utilisez-vous sur l’exploitation un ou plusieurs des produits phytosanitaires inscrits dans la liste des produits interdits par Rainforest Alliance ? oui</v>
      </c>
      <c r="K28" s="381" t="s">
        <v>1032</v>
      </c>
    </row>
    <row r="29" spans="1:11" ht="191.25" x14ac:dyDescent="0.25">
      <c r="A29" s="378">
        <v>10</v>
      </c>
      <c r="B29" s="327" t="s">
        <v>1026</v>
      </c>
      <c r="C29" s="490" t="s">
        <v>845</v>
      </c>
      <c r="D29" s="207" t="s">
        <v>1027</v>
      </c>
      <c r="E29" s="371" t="s">
        <v>1028</v>
      </c>
      <c r="F29" s="371" t="str">
        <f t="shared" si="0"/>
        <v>4.6 Gestion des produits agrochimiques10Grand</v>
      </c>
      <c r="G29" s="546" t="s">
        <v>1031</v>
      </c>
      <c r="H29" s="374" t="s">
        <v>1033</v>
      </c>
      <c r="I29" s="550" t="s">
        <v>830</v>
      </c>
      <c r="J29" s="585" t="str">
        <f t="shared" si="1"/>
        <v>Examiner la Liste des produits agrochimiques interdits de Rainforest Alliance :
Utilisez-vous sur l’exploitation un ou plusieurs des produits phytosanitaires inscrits dans la liste des produits interdits par Rainforest Alliance ? non</v>
      </c>
      <c r="K29" s="320" t="s">
        <v>989</v>
      </c>
    </row>
    <row r="30" spans="1:11" ht="165.75" x14ac:dyDescent="0.25">
      <c r="A30" s="378">
        <v>11</v>
      </c>
      <c r="B30" s="327" t="s">
        <v>1026</v>
      </c>
      <c r="C30" s="496" t="s">
        <v>837</v>
      </c>
      <c r="D30" s="207" t="s">
        <v>1027</v>
      </c>
      <c r="E30" s="371" t="s">
        <v>1034</v>
      </c>
      <c r="F30" s="371" t="str">
        <f t="shared" si="0"/>
        <v>4.6 Gestion des produits agrochimiques11Certification de groupe</v>
      </c>
      <c r="G30" s="552" t="s">
        <v>1035</v>
      </c>
      <c r="H30" s="304" t="s">
        <v>990</v>
      </c>
      <c r="I30" s="550" t="s">
        <v>988</v>
      </c>
      <c r="J30" s="585" t="str">
        <f t="shared" si="1"/>
        <v>Est-il pratique habituelle pour les agriculteurs de d’abord essayer les méthodes de contrôle biologique, physique et autres méthodes non chimiques (PIC) pour le contrôle des ravageurs avant d’utiliser des produits agrochimiques ?oui</v>
      </c>
      <c r="K30" s="320" t="s">
        <v>989</v>
      </c>
    </row>
    <row r="31" spans="1:11" ht="152.44999999999999" customHeight="1" x14ac:dyDescent="0.25">
      <c r="A31" s="355">
        <v>11</v>
      </c>
      <c r="B31" s="327" t="s">
        <v>1026</v>
      </c>
      <c r="C31" s="384" t="s">
        <v>837</v>
      </c>
      <c r="D31" s="348" t="s">
        <v>1027</v>
      </c>
      <c r="E31" s="371" t="s">
        <v>1034</v>
      </c>
      <c r="F31" s="371" t="str">
        <f t="shared" si="0"/>
        <v>4.6 Gestion des produits agrochimiques11Certification de groupe</v>
      </c>
      <c r="G31" s="552" t="s">
        <v>1035</v>
      </c>
      <c r="H31" s="304" t="s">
        <v>1033</v>
      </c>
      <c r="I31" s="552" t="s">
        <v>988</v>
      </c>
      <c r="J31" s="585" t="str">
        <f t="shared" si="1"/>
        <v>Est-il pratique habituelle pour les agriculteurs de d’abord essayer les méthodes de contrôle biologique, physique et autres méthodes non chimiques (PIC) pour le contrôle des ravageurs avant d’utiliser des produits agrochimiques ?non</v>
      </c>
      <c r="K31" s="325" t="s">
        <v>1036</v>
      </c>
    </row>
    <row r="32" spans="1:11" ht="45.4" customHeight="1" x14ac:dyDescent="0.25">
      <c r="A32" s="355">
        <v>12</v>
      </c>
      <c r="B32" s="327" t="s">
        <v>1026</v>
      </c>
      <c r="C32" s="496" t="s">
        <v>837</v>
      </c>
      <c r="D32" s="207" t="s">
        <v>1027</v>
      </c>
      <c r="E32" s="303" t="s">
        <v>1037</v>
      </c>
      <c r="F32" s="371" t="str">
        <f t="shared" si="0"/>
        <v>4.6 Gestion des produits agrochimiques12Certification de groupe</v>
      </c>
      <c r="G32" s="552" t="s">
        <v>1038</v>
      </c>
      <c r="H32" s="374" t="s">
        <v>990</v>
      </c>
      <c r="I32" s="550" t="s">
        <v>988</v>
      </c>
      <c r="J32" s="585" t="str">
        <f t="shared" si="1"/>
        <v>Est-il pratique habituelle que les membres du groupe et/ou leurs travailleurs utilisent des Équipements de protection individuelle (EPI) pour l’application des produits agrochimiques ? oui</v>
      </c>
      <c r="K32" s="320" t="s">
        <v>989</v>
      </c>
    </row>
    <row r="33" spans="1:12" ht="168.95" customHeight="1" x14ac:dyDescent="0.25">
      <c r="A33" s="355">
        <v>12</v>
      </c>
      <c r="B33" s="327" t="s">
        <v>1026</v>
      </c>
      <c r="C33" s="384" t="s">
        <v>837</v>
      </c>
      <c r="D33" s="348" t="s">
        <v>1027</v>
      </c>
      <c r="E33" s="371" t="s">
        <v>1037</v>
      </c>
      <c r="F33" s="371" t="str">
        <f t="shared" si="0"/>
        <v>4.6 Gestion des produits agrochimiques12Certification de groupe</v>
      </c>
      <c r="G33" s="552" t="s">
        <v>1038</v>
      </c>
      <c r="H33" s="374" t="s">
        <v>1033</v>
      </c>
      <c r="I33" s="552" t="s">
        <v>988</v>
      </c>
      <c r="J33" s="585" t="str">
        <f t="shared" si="1"/>
        <v>Est-il pratique habituelle que les membres du groupe et/ou leurs travailleurs utilisent des Équipements de protection individuelle (EPI) pour l’application des produits agrochimiques ? non</v>
      </c>
      <c r="K33" s="381" t="s">
        <v>1039</v>
      </c>
    </row>
    <row r="34" spans="1:12" ht="51" customHeight="1" x14ac:dyDescent="0.25">
      <c r="A34" s="355">
        <v>12</v>
      </c>
      <c r="B34" s="327" t="s">
        <v>1026</v>
      </c>
      <c r="C34" s="496" t="s">
        <v>845</v>
      </c>
      <c r="D34" s="207" t="s">
        <v>1027</v>
      </c>
      <c r="E34" s="303" t="s">
        <v>1037</v>
      </c>
      <c r="F34" s="371" t="str">
        <f t="shared" si="0"/>
        <v>4.6 Gestion des produits agrochimiques12Grand</v>
      </c>
      <c r="G34" s="552" t="s">
        <v>1040</v>
      </c>
      <c r="H34" s="304" t="s">
        <v>990</v>
      </c>
      <c r="I34" s="497" t="s">
        <v>988</v>
      </c>
      <c r="J34" s="585" t="str">
        <f t="shared" si="1"/>
        <v>A chaque fois qu'ils appliquent des produits agrochimiques, est-ce que tous les travailleurs utilisent les Équipements de protection individuelle (EPI)  ?oui</v>
      </c>
      <c r="K34" s="320" t="s">
        <v>989</v>
      </c>
    </row>
    <row r="35" spans="1:12" ht="218.25" customHeight="1" x14ac:dyDescent="0.25">
      <c r="A35" s="355">
        <v>12</v>
      </c>
      <c r="B35" s="327" t="s">
        <v>1026</v>
      </c>
      <c r="C35" s="384" t="s">
        <v>845</v>
      </c>
      <c r="D35" s="348" t="s">
        <v>1027</v>
      </c>
      <c r="E35" s="371" t="s">
        <v>1037</v>
      </c>
      <c r="F35" s="371" t="str">
        <f t="shared" ref="F35:F66" si="2">CONCATENATE(B35,A35,C35)</f>
        <v>4.6 Gestion des produits agrochimiques12Grand</v>
      </c>
      <c r="G35" s="552" t="s">
        <v>1040</v>
      </c>
      <c r="H35" s="374" t="s">
        <v>1033</v>
      </c>
      <c r="I35" s="498" t="s">
        <v>988</v>
      </c>
      <c r="J35" s="585" t="str">
        <f t="shared" ref="J35:J66" si="3">RIGHT(CONCATENATE(G35,H35),255)</f>
        <v>A chaque fois qu'ils appliquent des produits agrochimiques, est-ce que tous les travailleurs utilisent les Équipements de protection individuelle (EPI)  ?non</v>
      </c>
      <c r="K35" s="381" t="s">
        <v>1041</v>
      </c>
    </row>
    <row r="36" spans="1:12" ht="38.25" customHeight="1" x14ac:dyDescent="0.25">
      <c r="A36" s="389">
        <v>13</v>
      </c>
      <c r="B36" s="327" t="s">
        <v>1042</v>
      </c>
      <c r="C36" s="490" t="s">
        <v>830</v>
      </c>
      <c r="D36" s="306"/>
      <c r="E36" s="303" t="s">
        <v>1043</v>
      </c>
      <c r="F36" s="371" t="str">
        <f t="shared" si="2"/>
        <v>4.4 Fertilité et conservation des sols13Tous</v>
      </c>
      <c r="G36" s="371" t="s">
        <v>1044</v>
      </c>
      <c r="H36" s="304" t="s">
        <v>990</v>
      </c>
      <c r="I36" s="499" t="s">
        <v>830</v>
      </c>
      <c r="J36" s="585" t="str">
        <f t="shared" si="3"/>
        <v>Est-ce qu'il y a des zones qui ont une pente supérieure à 1m de haut sur 3m de long sur une zone &gt;0,1ha ?oui</v>
      </c>
      <c r="K36" s="321" t="s">
        <v>1045</v>
      </c>
    </row>
    <row r="37" spans="1:12" ht="76.5" x14ac:dyDescent="0.25">
      <c r="A37" s="500">
        <v>13</v>
      </c>
      <c r="B37" s="327" t="s">
        <v>1042</v>
      </c>
      <c r="C37" s="490" t="s">
        <v>830</v>
      </c>
      <c r="D37" s="306"/>
      <c r="E37" s="303" t="s">
        <v>1043</v>
      </c>
      <c r="F37" s="371" t="str">
        <f t="shared" si="2"/>
        <v>4.4 Fertilité et conservation des sols13Tous</v>
      </c>
      <c r="G37" s="371" t="s">
        <v>1044</v>
      </c>
      <c r="H37" s="551" t="s">
        <v>1033</v>
      </c>
      <c r="I37" s="499" t="s">
        <v>830</v>
      </c>
      <c r="J37" s="585" t="str">
        <f t="shared" si="3"/>
        <v>Est-ce qu'il y a des zones qui ont une pente supérieure à 1m de haut sur 3m de long sur une zone &gt;0,1ha ?non</v>
      </c>
      <c r="K37" s="321" t="s">
        <v>1046</v>
      </c>
    </row>
    <row r="38" spans="1:12" ht="38.25" customHeight="1" x14ac:dyDescent="0.25">
      <c r="A38" s="389">
        <v>14</v>
      </c>
      <c r="B38" s="327" t="s">
        <v>1042</v>
      </c>
      <c r="C38" s="307" t="s">
        <v>830</v>
      </c>
      <c r="D38" s="306"/>
      <c r="E38" s="303" t="s">
        <v>1047</v>
      </c>
      <c r="F38" s="371" t="str">
        <f t="shared" si="2"/>
        <v>4.4 Fertilité et conservation des sols14Tous</v>
      </c>
      <c r="G38" s="371" t="s">
        <v>1048</v>
      </c>
      <c r="H38" s="552" t="s">
        <v>990</v>
      </c>
      <c r="I38" s="499" t="s">
        <v>830</v>
      </c>
      <c r="J38" s="585" t="str">
        <f t="shared" si="3"/>
        <v>Après les pluies, y-a-t-il des zones au sein de l’exploitation agricole/des exploitations agricoles des membres du groupe avec de longues périodes d’eaux stagnantes ?oui</v>
      </c>
      <c r="K38" s="321" t="s">
        <v>1049</v>
      </c>
    </row>
    <row r="39" spans="1:12" ht="140.25" x14ac:dyDescent="0.25">
      <c r="A39" s="389">
        <v>14</v>
      </c>
      <c r="B39" s="327" t="s">
        <v>1042</v>
      </c>
      <c r="C39" s="307" t="s">
        <v>830</v>
      </c>
      <c r="D39" s="306"/>
      <c r="E39" s="303" t="s">
        <v>1047</v>
      </c>
      <c r="F39" s="371" t="str">
        <f t="shared" si="2"/>
        <v>4.4 Fertilité et conservation des sols14Tous</v>
      </c>
      <c r="G39" s="371" t="s">
        <v>1048</v>
      </c>
      <c r="H39" s="552" t="s">
        <v>859</v>
      </c>
      <c r="I39" s="499" t="s">
        <v>830</v>
      </c>
      <c r="J39" s="585" t="str">
        <f t="shared" si="3"/>
        <v>Après les pluies, y-a-t-il des zones au sein de l’exploitation agricole/des exploitations agricoles des membres du groupe avec de longues périodes d’eaux stagnantes ?Non/Ne sais pas</v>
      </c>
      <c r="K39" s="320" t="s">
        <v>989</v>
      </c>
    </row>
    <row r="40" spans="1:12" ht="63.75" x14ac:dyDescent="0.25">
      <c r="A40" s="389">
        <v>15</v>
      </c>
      <c r="B40" s="327" t="s">
        <v>1042</v>
      </c>
      <c r="C40" s="384" t="s">
        <v>830</v>
      </c>
      <c r="D40" s="379"/>
      <c r="E40" s="303" t="s">
        <v>1047</v>
      </c>
      <c r="F40" s="371" t="str">
        <f t="shared" si="2"/>
        <v>4.4 Fertilité et conservation des sols15Tous</v>
      </c>
      <c r="G40" s="371" t="s">
        <v>1050</v>
      </c>
      <c r="H40" s="552" t="s">
        <v>990</v>
      </c>
      <c r="I40" s="374" t="s">
        <v>830</v>
      </c>
      <c r="J40" s="585" t="str">
        <f t="shared" si="3"/>
        <v>Est-ce que le niveau élevé des eaux souterraines est un problème dans certaines zones ?oui</v>
      </c>
      <c r="K40" s="327" t="s">
        <v>1051</v>
      </c>
    </row>
    <row r="41" spans="1:12" ht="63.75" x14ac:dyDescent="0.25">
      <c r="A41" s="379">
        <v>15</v>
      </c>
      <c r="B41" s="327" t="s">
        <v>1042</v>
      </c>
      <c r="C41" s="307" t="s">
        <v>830</v>
      </c>
      <c r="D41" s="306"/>
      <c r="E41" s="303" t="s">
        <v>1047</v>
      </c>
      <c r="F41" s="371" t="str">
        <f t="shared" si="2"/>
        <v>4.4 Fertilité et conservation des sols15Tous</v>
      </c>
      <c r="G41" s="371" t="s">
        <v>1050</v>
      </c>
      <c r="H41" s="551" t="s">
        <v>1033</v>
      </c>
      <c r="I41" s="499" t="s">
        <v>830</v>
      </c>
      <c r="J41" s="585" t="str">
        <f t="shared" si="3"/>
        <v>Est-ce que le niveau élevé des eaux souterraines est un problème dans certaines zones ?non</v>
      </c>
      <c r="K41" s="320" t="s">
        <v>989</v>
      </c>
    </row>
    <row r="42" spans="1:12" ht="127.5" x14ac:dyDescent="0.25">
      <c r="A42" s="379">
        <v>16</v>
      </c>
      <c r="B42" s="327" t="s">
        <v>1042</v>
      </c>
      <c r="C42" s="384" t="s">
        <v>830</v>
      </c>
      <c r="D42" s="379"/>
      <c r="E42" s="371" t="s">
        <v>1052</v>
      </c>
      <c r="F42" s="371" t="str">
        <f t="shared" si="2"/>
        <v>4.4 Fertilité et conservation des sols16Tous</v>
      </c>
      <c r="G42" s="371" t="s">
        <v>1053</v>
      </c>
      <c r="H42" s="552" t="s">
        <v>990</v>
      </c>
      <c r="I42" s="374" t="s">
        <v>830</v>
      </c>
      <c r="J42" s="585" t="str">
        <f t="shared" si="3"/>
        <v>Est-ce que la sécheresse est (devient) un facteur limitant pour la production des cultures ?oui</v>
      </c>
      <c r="K42" s="327" t="s">
        <v>1054</v>
      </c>
    </row>
    <row r="43" spans="1:12" ht="76.5" x14ac:dyDescent="0.25">
      <c r="A43" s="379">
        <v>16</v>
      </c>
      <c r="B43" s="327" t="s">
        <v>1042</v>
      </c>
      <c r="C43" s="307" t="s">
        <v>830</v>
      </c>
      <c r="D43" s="306"/>
      <c r="E43" s="303" t="s">
        <v>1052</v>
      </c>
      <c r="F43" s="371" t="str">
        <f t="shared" si="2"/>
        <v>4.4 Fertilité et conservation des sols16Tous</v>
      </c>
      <c r="G43" s="371" t="s">
        <v>1053</v>
      </c>
      <c r="H43" s="303" t="s">
        <v>867</v>
      </c>
      <c r="I43" s="499" t="s">
        <v>830</v>
      </c>
      <c r="J43" s="585" t="str">
        <f t="shared" si="3"/>
        <v>Est-ce que la sécheresse est (devient) un facteur limitant pour la production des cultures ?Non</v>
      </c>
      <c r="K43" s="328" t="s">
        <v>1055</v>
      </c>
    </row>
    <row r="44" spans="1:12" ht="15.75" x14ac:dyDescent="0.25">
      <c r="A44" s="353"/>
      <c r="B44" s="300" t="s">
        <v>1056</v>
      </c>
      <c r="C44" s="488"/>
      <c r="D44" s="301"/>
      <c r="E44" s="299"/>
      <c r="F44" s="371" t="str">
        <f t="shared" si="2"/>
        <v>Conditions de travail</v>
      </c>
      <c r="G44" s="489"/>
      <c r="H44" s="304"/>
      <c r="I44" s="299"/>
      <c r="J44" s="585" t="str">
        <f t="shared" si="3"/>
        <v/>
      </c>
      <c r="K44" s="319"/>
    </row>
    <row r="45" spans="1:12" ht="140.25" x14ac:dyDescent="0.25">
      <c r="A45" s="348">
        <v>17</v>
      </c>
      <c r="B45" s="381" t="s">
        <v>1057</v>
      </c>
      <c r="C45" s="501" t="s">
        <v>830</v>
      </c>
      <c r="D45" s="308"/>
      <c r="E45" s="304" t="s">
        <v>1058</v>
      </c>
      <c r="F45" s="371" t="str">
        <f t="shared" si="2"/>
        <v>1.5 Mécanisme de réclamation17Tous</v>
      </c>
      <c r="G45" s="498" t="s">
        <v>1059</v>
      </c>
      <c r="H45" s="303" t="s">
        <v>990</v>
      </c>
      <c r="I45" s="499" t="s">
        <v>830</v>
      </c>
      <c r="J45" s="585" t="str">
        <f t="shared" si="3"/>
        <v>L’information relative au mécanisme de réclamation et au comité d’évaluation et de résolution est-elle visible et accessible par tous les individus, travailleurs, communautés et/ou la société civile ?oui</v>
      </c>
      <c r="K45" s="321" t="s">
        <v>1060</v>
      </c>
    </row>
    <row r="46" spans="1:12" ht="140.25" x14ac:dyDescent="0.25">
      <c r="A46" s="348">
        <v>17</v>
      </c>
      <c r="B46" s="381" t="s">
        <v>1057</v>
      </c>
      <c r="C46" s="501" t="s">
        <v>830</v>
      </c>
      <c r="D46" s="308"/>
      <c r="E46" s="304" t="s">
        <v>1061</v>
      </c>
      <c r="F46" s="371" t="str">
        <f t="shared" si="2"/>
        <v>1.5 Mécanisme de réclamation17Tous</v>
      </c>
      <c r="G46" s="498" t="s">
        <v>1059</v>
      </c>
      <c r="H46" s="304" t="s">
        <v>1033</v>
      </c>
      <c r="I46" s="499" t="s">
        <v>830</v>
      </c>
      <c r="J46" s="585" t="str">
        <f t="shared" si="3"/>
        <v>L’information relative au mécanisme de réclamation et au comité d’évaluation et de résolution est-elle visible et accessible par tous les individus, travailleurs, communautés et/ou la société civile ?non</v>
      </c>
      <c r="K46" s="321" t="s">
        <v>1062</v>
      </c>
    </row>
    <row r="47" spans="1:12" ht="191.25" x14ac:dyDescent="0.25">
      <c r="A47" s="348">
        <v>18</v>
      </c>
      <c r="B47" s="381" t="s">
        <v>1063</v>
      </c>
      <c r="C47" s="501" t="s">
        <v>830</v>
      </c>
      <c r="D47" s="308"/>
      <c r="E47" s="304" t="s">
        <v>1064</v>
      </c>
      <c r="F47" s="371" t="str">
        <f t="shared" si="2"/>
        <v>5.1 Évaluation-et-Résolution18Tous</v>
      </c>
      <c r="G47" s="374" t="s">
        <v>1065</v>
      </c>
      <c r="H47" s="303" t="s">
        <v>990</v>
      </c>
      <c r="I47" s="499" t="s">
        <v>830</v>
      </c>
      <c r="J47" s="585" t="str">
        <f t="shared" si="3"/>
        <v>ns suivantes sont-elles présentes sur ou à proximité de l’exploitation agricole ou du groupe ? Travailleurs migrants, minorités ethniques particulières, populations autochtones, personnes qui ne parlent pas la langue principale du pays et de la région.oui</v>
      </c>
      <c r="K47" s="321" t="s">
        <v>1066</v>
      </c>
      <c r="L47" t="s">
        <v>1067</v>
      </c>
    </row>
    <row r="48" spans="1:12" ht="191.25" customHeight="1" x14ac:dyDescent="0.25">
      <c r="A48" s="348">
        <v>18</v>
      </c>
      <c r="B48" s="381" t="s">
        <v>1063</v>
      </c>
      <c r="C48" s="501" t="s">
        <v>830</v>
      </c>
      <c r="D48" s="308"/>
      <c r="E48" s="304" t="s">
        <v>1064</v>
      </c>
      <c r="F48" s="371" t="str">
        <f t="shared" si="2"/>
        <v>5.1 Évaluation-et-Résolution18Tous</v>
      </c>
      <c r="G48" s="374" t="s">
        <v>1065</v>
      </c>
      <c r="H48" s="303" t="s">
        <v>1033</v>
      </c>
      <c r="I48" s="499" t="s">
        <v>830</v>
      </c>
      <c r="J48" s="585" t="str">
        <f t="shared" si="3"/>
        <v>ns suivantes sont-elles présentes sur ou à proximité de l’exploitation agricole ou du groupe ? Travailleurs migrants, minorités ethniques particulières, populations autochtones, personnes qui ne parlent pas la langue principale du pays et de la région.non</v>
      </c>
      <c r="K48" s="320" t="s">
        <v>989</v>
      </c>
    </row>
    <row r="49" spans="1:11" ht="114.75" x14ac:dyDescent="0.25">
      <c r="A49" s="348">
        <v>19</v>
      </c>
      <c r="B49" s="382" t="s">
        <v>1063</v>
      </c>
      <c r="C49" s="347" t="s">
        <v>845</v>
      </c>
      <c r="D49" s="348"/>
      <c r="E49" s="304" t="s">
        <v>1064</v>
      </c>
      <c r="F49" s="371" t="str">
        <f t="shared" si="2"/>
        <v>5.1 Évaluation-et-Résolution19Grand</v>
      </c>
      <c r="G49" s="502" t="s">
        <v>1068</v>
      </c>
      <c r="H49" s="374" t="s">
        <v>990</v>
      </c>
      <c r="I49" s="497" t="s">
        <v>830</v>
      </c>
      <c r="J49" s="585" t="str">
        <f t="shared" si="3"/>
        <v>Est-ce que les procédures d’embauche suivent les règles et les réglementations permettant d’empêcher les pratiques discriminatoires ?oui</v>
      </c>
      <c r="K49" s="320" t="s">
        <v>989</v>
      </c>
    </row>
    <row r="50" spans="1:11" ht="127.5" x14ac:dyDescent="0.25">
      <c r="A50" s="348">
        <v>19</v>
      </c>
      <c r="B50" s="382" t="s">
        <v>1063</v>
      </c>
      <c r="C50" s="347" t="s">
        <v>845</v>
      </c>
      <c r="D50" s="350"/>
      <c r="E50" s="304" t="s">
        <v>1064</v>
      </c>
      <c r="F50" s="371" t="str">
        <f t="shared" si="2"/>
        <v>5.1 Évaluation-et-Résolution19Grand</v>
      </c>
      <c r="G50" s="502" t="s">
        <v>1068</v>
      </c>
      <c r="H50" s="381" t="s">
        <v>867</v>
      </c>
      <c r="I50" s="497" t="s">
        <v>830</v>
      </c>
      <c r="J50" s="585" t="str">
        <f t="shared" si="3"/>
        <v>Est-ce que les procédures d’embauche suivent les règles et les réglementations permettant d’empêcher les pratiques discriminatoires ?Non</v>
      </c>
      <c r="K50" s="321" t="s">
        <v>1069</v>
      </c>
    </row>
    <row r="51" spans="1:11" ht="102" x14ac:dyDescent="0.25">
      <c r="A51" s="348">
        <v>20</v>
      </c>
      <c r="B51" s="382" t="s">
        <v>1063</v>
      </c>
      <c r="C51" s="309" t="s">
        <v>830</v>
      </c>
      <c r="D51" s="207"/>
      <c r="E51" s="552" t="s">
        <v>1070</v>
      </c>
      <c r="F51" s="371" t="str">
        <f t="shared" si="2"/>
        <v>5.1 Évaluation-et-Résolution20Tous</v>
      </c>
      <c r="G51" s="552" t="s">
        <v>1071</v>
      </c>
      <c r="H51" s="374" t="s">
        <v>990</v>
      </c>
      <c r="I51" s="497" t="s">
        <v>830</v>
      </c>
      <c r="J51" s="585" t="str">
        <f t="shared" si="3"/>
        <v>Est-ce que la direction met en place des actions ciblées pour empêcher la violence et le harcèlement (dont le harcèlement sexuel) ? oui</v>
      </c>
      <c r="K51" s="320" t="s">
        <v>989</v>
      </c>
    </row>
    <row r="52" spans="1:11" ht="165.75" x14ac:dyDescent="0.25">
      <c r="A52" s="348">
        <v>20</v>
      </c>
      <c r="B52" s="382" t="s">
        <v>1063</v>
      </c>
      <c r="C52" s="356" t="s">
        <v>830</v>
      </c>
      <c r="D52" s="348"/>
      <c r="E52" s="552" t="s">
        <v>1070</v>
      </c>
      <c r="F52" s="371" t="str">
        <f t="shared" si="2"/>
        <v>5.1 Évaluation-et-Résolution20Tous</v>
      </c>
      <c r="G52" s="547" t="s">
        <v>1071</v>
      </c>
      <c r="H52" s="304" t="s">
        <v>867</v>
      </c>
      <c r="I52" s="498" t="s">
        <v>830</v>
      </c>
      <c r="J52" s="585" t="str">
        <f t="shared" si="3"/>
        <v>Est-ce que la direction met en place des actions ciblées pour empêcher la violence et le harcèlement (dont le harcèlement sexuel) ? Non</v>
      </c>
      <c r="K52" s="390" t="s">
        <v>1072</v>
      </c>
    </row>
    <row r="53" spans="1:11" ht="165.75" x14ac:dyDescent="0.25">
      <c r="A53" s="348">
        <v>21</v>
      </c>
      <c r="B53" s="382" t="s">
        <v>1063</v>
      </c>
      <c r="C53" s="356" t="s">
        <v>845</v>
      </c>
      <c r="D53" s="348"/>
      <c r="E53" s="552" t="s">
        <v>1070</v>
      </c>
      <c r="F53" s="371" t="str">
        <f t="shared" si="2"/>
        <v>5.1 Évaluation-et-Résolution21Grand</v>
      </c>
      <c r="G53" s="552" t="s">
        <v>1073</v>
      </c>
      <c r="H53" s="304" t="s">
        <v>990</v>
      </c>
      <c r="I53" s="503" t="s">
        <v>830</v>
      </c>
      <c r="J53" s="585" t="str">
        <f t="shared" si="3"/>
        <v>Est-ce que le Comité de réclamation a partagé les informations permettant de contacter une personne/organisation de confiance externe, en particulier pour le harcèlement sexuel concernant les travailleurs ?oui</v>
      </c>
      <c r="K53" s="320" t="s">
        <v>989</v>
      </c>
    </row>
    <row r="54" spans="1:11" ht="165.75" x14ac:dyDescent="0.25">
      <c r="A54" s="348">
        <v>21</v>
      </c>
      <c r="B54" s="382" t="s">
        <v>1063</v>
      </c>
      <c r="C54" s="356" t="s">
        <v>845</v>
      </c>
      <c r="D54" s="349"/>
      <c r="E54" s="552" t="s">
        <v>1070</v>
      </c>
      <c r="F54" s="371" t="str">
        <f t="shared" si="2"/>
        <v>5.1 Évaluation-et-Résolution21Grand</v>
      </c>
      <c r="G54" s="552" t="s">
        <v>1073</v>
      </c>
      <c r="H54" s="374" t="s">
        <v>867</v>
      </c>
      <c r="I54" s="503" t="s">
        <v>830</v>
      </c>
      <c r="J54" s="585" t="str">
        <f t="shared" si="3"/>
        <v>Est-ce que le Comité de réclamation a partagé les informations permettant de contacter une personne/organisation de confiance externe, en particulier pour le harcèlement sexuel concernant les travailleurs ?Non</v>
      </c>
      <c r="K54" s="383" t="s">
        <v>1074</v>
      </c>
    </row>
    <row r="55" spans="1:11" ht="140.25" x14ac:dyDescent="0.25">
      <c r="A55" s="357">
        <v>22</v>
      </c>
      <c r="B55" s="382" t="s">
        <v>1063</v>
      </c>
      <c r="C55" s="216" t="s">
        <v>837</v>
      </c>
      <c r="D55" s="207"/>
      <c r="E55" s="552" t="s">
        <v>1075</v>
      </c>
      <c r="F55" s="371" t="str">
        <f t="shared" si="2"/>
        <v>5.1 Évaluation-et-Résolution22Certification de groupe</v>
      </c>
      <c r="G55" s="552" t="s">
        <v>1076</v>
      </c>
      <c r="H55" s="374" t="s">
        <v>1033</v>
      </c>
      <c r="I55" s="497" t="s">
        <v>830</v>
      </c>
      <c r="J55" s="585" t="str">
        <f t="shared" si="3"/>
        <v>Le risque existe-t-il que les membres du groupe d’exploitations agricoles ne vérifient pas de la conformité de l’âge des travailleurs employés au moment de leur embauche ?non</v>
      </c>
      <c r="K55" s="329" t="s">
        <v>1077</v>
      </c>
    </row>
    <row r="56" spans="1:11" ht="119.25" customHeight="1" x14ac:dyDescent="0.25">
      <c r="A56" s="357">
        <v>22</v>
      </c>
      <c r="B56" s="382" t="s">
        <v>1063</v>
      </c>
      <c r="C56" s="347" t="s">
        <v>837</v>
      </c>
      <c r="D56" s="348"/>
      <c r="E56" s="552" t="s">
        <v>1075</v>
      </c>
      <c r="F56" s="371" t="str">
        <f t="shared" si="2"/>
        <v>5.1 Évaluation-et-Résolution22Certification de groupe</v>
      </c>
      <c r="G56" s="552" t="s">
        <v>1076</v>
      </c>
      <c r="H56" s="304" t="s">
        <v>990</v>
      </c>
      <c r="I56" s="498" t="s">
        <v>830</v>
      </c>
      <c r="J56" s="585" t="str">
        <f t="shared" si="3"/>
        <v>Le risque existe-t-il que les membres du groupe d’exploitations agricoles ne vérifient pas de la conformité de l’âge des travailleurs employés au moment de leur embauche ?oui</v>
      </c>
      <c r="K56" s="382" t="s">
        <v>1078</v>
      </c>
    </row>
    <row r="57" spans="1:11" ht="120" customHeight="1" x14ac:dyDescent="0.25">
      <c r="A57" s="357">
        <v>22</v>
      </c>
      <c r="B57" s="382" t="s">
        <v>1063</v>
      </c>
      <c r="C57" s="549" t="s">
        <v>845</v>
      </c>
      <c r="D57" s="377"/>
      <c r="E57" s="552" t="s">
        <v>1075</v>
      </c>
      <c r="F57" s="371" t="str">
        <f t="shared" si="2"/>
        <v>5.1 Évaluation-et-Résolution22Grand</v>
      </c>
      <c r="G57" s="374" t="s">
        <v>1079</v>
      </c>
      <c r="H57" s="374" t="s">
        <v>990</v>
      </c>
      <c r="I57" s="504" t="s">
        <v>1080</v>
      </c>
      <c r="J57" s="585" t="str">
        <f t="shared" si="3"/>
        <v>Est-ce que le site exige une preuve d’âge et en prend note lorsqu’il embauche des travailleurs ?oui</v>
      </c>
      <c r="K57" s="342" t="s">
        <v>1081</v>
      </c>
    </row>
    <row r="58" spans="1:11" ht="201.75" customHeight="1" x14ac:dyDescent="0.25">
      <c r="A58" s="357">
        <v>22</v>
      </c>
      <c r="B58" s="382" t="s">
        <v>1063</v>
      </c>
      <c r="C58" s="347" t="s">
        <v>845</v>
      </c>
      <c r="D58" s="348"/>
      <c r="E58" s="552" t="s">
        <v>1075</v>
      </c>
      <c r="F58" s="371" t="str">
        <f t="shared" si="2"/>
        <v>5.1 Évaluation-et-Résolution22Grand</v>
      </c>
      <c r="G58" s="374" t="s">
        <v>1079</v>
      </c>
      <c r="H58" s="304" t="s">
        <v>867</v>
      </c>
      <c r="I58" s="374" t="s">
        <v>830</v>
      </c>
      <c r="J58" s="585" t="str">
        <f t="shared" si="3"/>
        <v>Est-ce que le site exige une preuve d’âge et en prend note lorsqu’il embauche des travailleurs ?Non</v>
      </c>
      <c r="K58" s="381" t="s">
        <v>1082</v>
      </c>
    </row>
    <row r="59" spans="1:11" ht="195.6" customHeight="1" x14ac:dyDescent="0.25">
      <c r="A59" s="348">
        <v>23</v>
      </c>
      <c r="B59" s="382" t="s">
        <v>1063</v>
      </c>
      <c r="C59" s="216" t="s">
        <v>837</v>
      </c>
      <c r="D59" s="207"/>
      <c r="E59" s="552" t="s">
        <v>1083</v>
      </c>
      <c r="F59" s="371" t="str">
        <f t="shared" si="2"/>
        <v>5.1 Évaluation-et-Résolution23Certification de groupe</v>
      </c>
      <c r="G59" s="505" t="s">
        <v>1084</v>
      </c>
      <c r="H59" s="551" t="s">
        <v>990</v>
      </c>
      <c r="I59" s="497" t="s">
        <v>830</v>
      </c>
      <c r="J59" s="585" t="str">
        <f t="shared" si="3"/>
        <v>Est-ce que la direction du groupe a listé des tâches, des processus ou des conditions de travail qui pourraient être dangereuses pour les jeunes travailleurs ?oui</v>
      </c>
      <c r="K59" s="329" t="s">
        <v>1085</v>
      </c>
    </row>
    <row r="60" spans="1:11" ht="282" customHeight="1" x14ac:dyDescent="0.25">
      <c r="A60" s="348">
        <v>23</v>
      </c>
      <c r="B60" s="382" t="s">
        <v>1063</v>
      </c>
      <c r="C60" s="216" t="s">
        <v>837</v>
      </c>
      <c r="D60" s="207"/>
      <c r="E60" s="552" t="s">
        <v>1083</v>
      </c>
      <c r="F60" s="371" t="str">
        <f t="shared" si="2"/>
        <v>5.1 Évaluation-et-Résolution23Certification de groupe</v>
      </c>
      <c r="G60" s="505" t="s">
        <v>1084</v>
      </c>
      <c r="H60" s="552" t="s">
        <v>867</v>
      </c>
      <c r="I60" s="497" t="s">
        <v>830</v>
      </c>
      <c r="J60" s="585" t="str">
        <f t="shared" si="3"/>
        <v>Est-ce que la direction du groupe a listé des tâches, des processus ou des conditions de travail qui pourraient être dangereuses pour les jeunes travailleurs ?Non</v>
      </c>
      <c r="K60" s="329" t="s">
        <v>1086</v>
      </c>
    </row>
    <row r="61" spans="1:11" ht="83.25" customHeight="1" x14ac:dyDescent="0.25">
      <c r="A61" s="348">
        <v>23</v>
      </c>
      <c r="B61" s="382" t="s">
        <v>1063</v>
      </c>
      <c r="C61" s="216" t="s">
        <v>845</v>
      </c>
      <c r="D61" s="310" t="s">
        <v>1087</v>
      </c>
      <c r="E61" s="552" t="s">
        <v>1083</v>
      </c>
      <c r="F61" s="371" t="str">
        <f t="shared" si="2"/>
        <v>5.1 Évaluation-et-Résolution23Grand</v>
      </c>
      <c r="G61" s="374" t="s">
        <v>1088</v>
      </c>
      <c r="H61" s="551" t="s">
        <v>990</v>
      </c>
      <c r="I61" s="497" t="s">
        <v>830</v>
      </c>
      <c r="J61" s="585" t="str">
        <f t="shared" si="3"/>
        <v>Est-ce que la direction de l’exploitation agricole a listé les tâches, les processus ou les conditions de travail ayant lieu dans l’exploitation agricole et pouvant être dangereuses pour les jeunes travailleurs ? oui</v>
      </c>
      <c r="K61" s="329" t="s">
        <v>1089</v>
      </c>
    </row>
    <row r="62" spans="1:11" ht="409.5" customHeight="1" x14ac:dyDescent="0.25">
      <c r="A62" s="348">
        <v>23</v>
      </c>
      <c r="B62" s="382" t="s">
        <v>1063</v>
      </c>
      <c r="C62" s="347" t="s">
        <v>845</v>
      </c>
      <c r="D62" s="358" t="s">
        <v>1087</v>
      </c>
      <c r="E62" s="553"/>
      <c r="F62" s="371" t="str">
        <f t="shared" si="2"/>
        <v>5.1 Évaluation-et-Résolution23Grand</v>
      </c>
      <c r="G62" s="374" t="s">
        <v>1088</v>
      </c>
      <c r="H62" s="552" t="s">
        <v>1033</v>
      </c>
      <c r="I62" s="506" t="s">
        <v>1090</v>
      </c>
      <c r="J62" s="585" t="str">
        <f t="shared" si="3"/>
        <v>Est-ce que la direction de l’exploitation agricole a listé les tâches, les processus ou les conditions de travail ayant lieu dans l’exploitation agricole et pouvant être dangereuses pour les jeunes travailleurs ? non</v>
      </c>
      <c r="K62" s="381" t="s">
        <v>1091</v>
      </c>
    </row>
    <row r="63" spans="1:11" ht="178.5" x14ac:dyDescent="0.25">
      <c r="A63" s="348">
        <v>24</v>
      </c>
      <c r="B63" s="382" t="s">
        <v>1063</v>
      </c>
      <c r="C63" s="347" t="s">
        <v>837</v>
      </c>
      <c r="D63" s="348"/>
      <c r="E63" s="552" t="s">
        <v>153</v>
      </c>
      <c r="F63" s="371" t="str">
        <f t="shared" si="2"/>
        <v>5.1 Évaluation-et-Résolution24Certification de groupe</v>
      </c>
      <c r="G63" s="498" t="s">
        <v>1092</v>
      </c>
      <c r="H63" s="551" t="s">
        <v>990</v>
      </c>
      <c r="I63" s="498" t="s">
        <v>830</v>
      </c>
      <c r="J63" s="585" t="str">
        <f t="shared" si="3"/>
        <v>upe, ou des membres du groupe, ou les enfants des travailleurs, en âge scolaire, ne puissent fréquenter une école implantée à une distance de transport ou de marche garantissant leur sécurité ? (Utiliser la carte de la zone du groupe pour évaluer cela)oui</v>
      </c>
      <c r="K63" s="325" t="s">
        <v>1093</v>
      </c>
    </row>
    <row r="64" spans="1:11" ht="178.5" x14ac:dyDescent="0.25">
      <c r="A64" s="348">
        <v>24</v>
      </c>
      <c r="B64" s="382" t="s">
        <v>1063</v>
      </c>
      <c r="C64" s="216" t="s">
        <v>837</v>
      </c>
      <c r="D64" s="207"/>
      <c r="E64" s="552" t="s">
        <v>153</v>
      </c>
      <c r="F64" s="371" t="str">
        <f t="shared" si="2"/>
        <v>5.1 Évaluation-et-Résolution24Certification de groupe</v>
      </c>
      <c r="G64" s="498" t="s">
        <v>1092</v>
      </c>
      <c r="H64" s="552" t="s">
        <v>867</v>
      </c>
      <c r="I64" s="497" t="s">
        <v>1090</v>
      </c>
      <c r="J64" s="585" t="str">
        <f t="shared" si="3"/>
        <v>upe, ou des membres du groupe, ou les enfants des travailleurs, en âge scolaire, ne puissent fréquenter une école implantée à une distance de transport ou de marche garantissant leur sécurité ? (Utiliser la carte de la zone du groupe pour évaluer cela)Non</v>
      </c>
      <c r="K64" s="320" t="s">
        <v>989</v>
      </c>
    </row>
    <row r="65" spans="1:11" ht="174.75" customHeight="1" x14ac:dyDescent="0.25">
      <c r="A65" s="348">
        <v>24</v>
      </c>
      <c r="B65" s="382" t="s">
        <v>1063</v>
      </c>
      <c r="C65" s="216" t="s">
        <v>845</v>
      </c>
      <c r="D65" s="207" t="s">
        <v>1094</v>
      </c>
      <c r="E65" s="552" t="s">
        <v>153</v>
      </c>
      <c r="F65" s="371" t="str">
        <f t="shared" si="2"/>
        <v>5.1 Évaluation-et-Résolution24Grand</v>
      </c>
      <c r="G65" s="498" t="s">
        <v>1095</v>
      </c>
      <c r="H65" s="303" t="s">
        <v>867</v>
      </c>
      <c r="I65" s="497" t="s">
        <v>1090</v>
      </c>
      <c r="J65" s="585" t="str">
        <f t="shared" si="3"/>
        <v>Les enfants vivant sur le site et en âge scolaire vont-ils à l’école à une distance de marche sécurisée ou à une distance raisonnable en utilisant un transport sûr ? Non</v>
      </c>
      <c r="K65" s="391" t="s">
        <v>1096</v>
      </c>
    </row>
    <row r="66" spans="1:11" ht="113.25" customHeight="1" x14ac:dyDescent="0.25">
      <c r="A66" s="348">
        <v>24</v>
      </c>
      <c r="B66" s="382" t="s">
        <v>1063</v>
      </c>
      <c r="C66" s="549" t="s">
        <v>845</v>
      </c>
      <c r="D66" s="377" t="s">
        <v>1094</v>
      </c>
      <c r="E66" s="552" t="s">
        <v>153</v>
      </c>
      <c r="F66" s="371" t="str">
        <f t="shared" si="2"/>
        <v>5.1 Évaluation-et-Résolution24Grand</v>
      </c>
      <c r="G66" s="498" t="s">
        <v>1095</v>
      </c>
      <c r="H66" s="304" t="s">
        <v>990</v>
      </c>
      <c r="I66" s="497" t="s">
        <v>1090</v>
      </c>
      <c r="J66" s="585" t="str">
        <f t="shared" si="3"/>
        <v>Les enfants vivant sur le site et en âge scolaire vont-ils à l’école à une distance de marche sécurisée ou à une distance raisonnable en utilisant un transport sûr ? oui</v>
      </c>
      <c r="K66" s="382" t="s">
        <v>1097</v>
      </c>
    </row>
    <row r="67" spans="1:11" ht="287.45" customHeight="1" x14ac:dyDescent="0.25">
      <c r="A67" s="357">
        <v>25</v>
      </c>
      <c r="B67" s="382" t="s">
        <v>1063</v>
      </c>
      <c r="C67" s="347" t="s">
        <v>845</v>
      </c>
      <c r="D67" s="348"/>
      <c r="E67" s="552" t="s">
        <v>1098</v>
      </c>
      <c r="F67" s="371" t="str">
        <f t="shared" ref="F67:F98" si="4">CONCATENATE(B67,A67,C67)</f>
        <v>5.1 Évaluation-et-Résolution25Grand</v>
      </c>
      <c r="G67" s="552" t="s">
        <v>1099</v>
      </c>
      <c r="H67" s="303" t="s">
        <v>990</v>
      </c>
      <c r="I67" s="507" t="s">
        <v>1100</v>
      </c>
      <c r="J67" s="585" t="str">
        <f t="shared" ref="J67:J98" si="5">RIGHT(CONCATENATE(G67,H67),255)</f>
        <v>Est-ce qu’il y a un risque que des jeunes de moins de 18 ans travaillent dans l’exploitation agricole ?oui</v>
      </c>
      <c r="K67" s="330" t="s">
        <v>1101</v>
      </c>
    </row>
    <row r="68" spans="1:11" ht="76.5" x14ac:dyDescent="0.25">
      <c r="A68" s="348">
        <v>25</v>
      </c>
      <c r="B68" s="382" t="s">
        <v>1063</v>
      </c>
      <c r="C68" s="216" t="s">
        <v>845</v>
      </c>
      <c r="D68" s="207"/>
      <c r="E68" s="180" t="s">
        <v>1098</v>
      </c>
      <c r="F68" s="371" t="str">
        <f t="shared" si="4"/>
        <v>5.1 Évaluation-et-Résolution25Grand</v>
      </c>
      <c r="G68" s="552" t="s">
        <v>1099</v>
      </c>
      <c r="H68" s="304" t="s">
        <v>1033</v>
      </c>
      <c r="I68" s="497" t="s">
        <v>1102</v>
      </c>
      <c r="J68" s="585" t="str">
        <f t="shared" si="5"/>
        <v>Est-ce qu’il y a un risque que des jeunes de moins de 18 ans travaillent dans l’exploitation agricole ?non</v>
      </c>
      <c r="K68" s="331" t="s">
        <v>1103</v>
      </c>
    </row>
    <row r="69" spans="1:11" ht="225" customHeight="1" x14ac:dyDescent="0.25">
      <c r="A69" s="357">
        <v>25</v>
      </c>
      <c r="B69" s="382" t="s">
        <v>1063</v>
      </c>
      <c r="C69" s="347" t="s">
        <v>837</v>
      </c>
      <c r="D69" s="377"/>
      <c r="E69" s="552" t="s">
        <v>1098</v>
      </c>
      <c r="F69" s="371" t="str">
        <f t="shared" si="4"/>
        <v>5.1 Évaluation-et-Résolution25Certification de groupe</v>
      </c>
      <c r="G69" s="552" t="s">
        <v>1104</v>
      </c>
      <c r="H69" s="374" t="s">
        <v>990</v>
      </c>
      <c r="I69" s="507" t="s">
        <v>1090</v>
      </c>
      <c r="J69" s="585" t="str">
        <f t="shared" si="5"/>
        <v>Existe-t-il un risque que des jeunes de moins de 18 ans soient assignés à des tâches dangereuses et/ou pour lesquelles ils sont trop jeunes dans l’une  des exploitations du groupe ?oui</v>
      </c>
      <c r="K69" s="392" t="s">
        <v>1105</v>
      </c>
    </row>
    <row r="70" spans="1:11" ht="123" customHeight="1" x14ac:dyDescent="0.25">
      <c r="A70" s="348">
        <v>25</v>
      </c>
      <c r="B70" s="382" t="s">
        <v>1063</v>
      </c>
      <c r="C70" s="549" t="s">
        <v>837</v>
      </c>
      <c r="D70" s="377"/>
      <c r="E70" s="552" t="s">
        <v>1098</v>
      </c>
      <c r="F70" s="371" t="str">
        <f t="shared" si="4"/>
        <v>5.1 Évaluation-et-Résolution25Certification de groupe</v>
      </c>
      <c r="G70" s="552" t="s">
        <v>1104</v>
      </c>
      <c r="H70" s="374" t="s">
        <v>867</v>
      </c>
      <c r="I70" s="507" t="s">
        <v>1106</v>
      </c>
      <c r="J70" s="585" t="str">
        <f t="shared" si="5"/>
        <v>Existe-t-il un risque que des jeunes de moins de 18 ans soient assignés à des tâches dangereuses et/ou pour lesquelles ils sont trop jeunes dans l’une  des exploitations du groupe ?Non</v>
      </c>
      <c r="K70" s="320" t="s">
        <v>989</v>
      </c>
    </row>
    <row r="71" spans="1:11" ht="70.5" customHeight="1" x14ac:dyDescent="0.25">
      <c r="A71" s="348">
        <v>26</v>
      </c>
      <c r="B71" s="382" t="s">
        <v>1063</v>
      </c>
      <c r="C71" s="490" t="s">
        <v>837</v>
      </c>
      <c r="D71" s="306"/>
      <c r="E71" s="303" t="s">
        <v>1107</v>
      </c>
      <c r="F71" s="371" t="str">
        <f t="shared" si="4"/>
        <v>5.1 Évaluation-et-Résolution26Certification de groupe</v>
      </c>
      <c r="G71" s="371" t="s">
        <v>1108</v>
      </c>
      <c r="H71" s="374" t="s">
        <v>1033</v>
      </c>
      <c r="I71" s="499" t="s">
        <v>830</v>
      </c>
      <c r="J71" s="585" t="str">
        <f t="shared" si="5"/>
        <v>Est-il probable que les membres du groupe utilisent des agences de placement de main-d'œuvre pour recruter les travailleurs ?non</v>
      </c>
      <c r="K71" s="320" t="s">
        <v>989</v>
      </c>
    </row>
    <row r="72" spans="1:11" ht="324" customHeight="1" x14ac:dyDescent="0.25">
      <c r="A72" s="348">
        <v>26</v>
      </c>
      <c r="B72" s="382" t="s">
        <v>1063</v>
      </c>
      <c r="C72" s="384" t="s">
        <v>837</v>
      </c>
      <c r="D72" s="379"/>
      <c r="E72" s="371" t="s">
        <v>1107</v>
      </c>
      <c r="F72" s="371" t="str">
        <f t="shared" si="4"/>
        <v>5.1 Évaluation-et-Résolution26Certification de groupe</v>
      </c>
      <c r="G72" s="371" t="s">
        <v>1108</v>
      </c>
      <c r="H72" s="381" t="s">
        <v>990</v>
      </c>
      <c r="I72" s="374" t="s">
        <v>1090</v>
      </c>
      <c r="J72" s="585" t="str">
        <f t="shared" si="5"/>
        <v>Est-il probable que les membres du groupe utilisent des agences de placement de main-d'œuvre pour recruter les travailleurs ?oui</v>
      </c>
      <c r="K72" s="393" t="s">
        <v>1109</v>
      </c>
    </row>
    <row r="73" spans="1:11" ht="114.75" x14ac:dyDescent="0.25">
      <c r="A73" s="349">
        <v>27</v>
      </c>
      <c r="B73" s="382" t="s">
        <v>1063</v>
      </c>
      <c r="C73" s="490" t="s">
        <v>830</v>
      </c>
      <c r="D73" s="306"/>
      <c r="E73" s="303" t="s">
        <v>1107</v>
      </c>
      <c r="F73" s="371" t="str">
        <f t="shared" si="4"/>
        <v>5.1 Évaluation-et-Résolution27Tous</v>
      </c>
      <c r="G73" s="371" t="s">
        <v>1110</v>
      </c>
      <c r="H73" s="374" t="s">
        <v>1033</v>
      </c>
      <c r="I73" s="499" t="s">
        <v>830</v>
      </c>
      <c r="J73" s="585" t="str">
        <f t="shared" si="5"/>
        <v>Est-ce que la direction du groupe/exploitation agricole utilise des agences de placement de main-d'œuvre pour recruter des travailleurs ?non</v>
      </c>
      <c r="K73" s="320" t="s">
        <v>989</v>
      </c>
    </row>
    <row r="74" spans="1:11" ht="363" customHeight="1" x14ac:dyDescent="0.25">
      <c r="A74" s="349">
        <v>27</v>
      </c>
      <c r="B74" s="382" t="s">
        <v>1063</v>
      </c>
      <c r="C74" s="490" t="s">
        <v>830</v>
      </c>
      <c r="D74" s="306"/>
      <c r="E74" s="303" t="s">
        <v>1107</v>
      </c>
      <c r="F74" s="371" t="str">
        <f t="shared" si="4"/>
        <v>5.1 Évaluation-et-Résolution27Tous</v>
      </c>
      <c r="G74" s="371" t="s">
        <v>1110</v>
      </c>
      <c r="H74" s="304" t="s">
        <v>990</v>
      </c>
      <c r="I74" s="374" t="s">
        <v>1090</v>
      </c>
      <c r="J74" s="585" t="str">
        <f t="shared" si="5"/>
        <v>Est-ce que la direction du groupe/exploitation agricole utilise des agences de placement de main-d'œuvre pour recruter des travailleurs ?oui</v>
      </c>
      <c r="K74" s="394" t="s">
        <v>1111</v>
      </c>
    </row>
    <row r="75" spans="1:11" ht="102" x14ac:dyDescent="0.25">
      <c r="A75" s="348">
        <v>28</v>
      </c>
      <c r="B75" s="382" t="s">
        <v>1063</v>
      </c>
      <c r="C75" s="490" t="s">
        <v>837</v>
      </c>
      <c r="D75" s="306"/>
      <c r="E75" s="303" t="s">
        <v>1112</v>
      </c>
      <c r="F75" s="371" t="str">
        <f t="shared" si="4"/>
        <v>5.1 Évaluation-et-Résolution28Certification de groupe</v>
      </c>
      <c r="G75" s="508" t="s">
        <v>1113</v>
      </c>
      <c r="H75" s="304" t="s">
        <v>1033</v>
      </c>
      <c r="I75" s="491" t="s">
        <v>830</v>
      </c>
      <c r="J75" s="585" t="str">
        <f t="shared" si="5"/>
        <v>Les membres du groupes rémunèrent-ils les travailleurs à la production/au quota/à la pièce, au moins à certaines époques de l’année ?non</v>
      </c>
      <c r="K75" s="320" t="s">
        <v>989</v>
      </c>
    </row>
    <row r="76" spans="1:11" ht="127.5" x14ac:dyDescent="0.25">
      <c r="A76" s="348">
        <v>28</v>
      </c>
      <c r="B76" s="382" t="s">
        <v>1063</v>
      </c>
      <c r="C76" s="490" t="s">
        <v>837</v>
      </c>
      <c r="D76" s="306"/>
      <c r="E76" s="303" t="s">
        <v>1112</v>
      </c>
      <c r="F76" s="371" t="str">
        <f t="shared" si="4"/>
        <v>5.1 Évaluation-et-Résolution28Certification de groupe</v>
      </c>
      <c r="G76" s="508" t="s">
        <v>1113</v>
      </c>
      <c r="H76" s="374" t="s">
        <v>990</v>
      </c>
      <c r="I76" s="491" t="s">
        <v>830</v>
      </c>
      <c r="J76" s="585" t="str">
        <f t="shared" si="5"/>
        <v>Les membres du groupes rémunèrent-ils les travailleurs à la production/au quota/à la pièce, au moins à certaines époques de l’année ?oui</v>
      </c>
      <c r="K76" s="394" t="s">
        <v>1114</v>
      </c>
    </row>
    <row r="77" spans="1:11" ht="187.15" customHeight="1" x14ac:dyDescent="0.25">
      <c r="A77" s="348">
        <v>28</v>
      </c>
      <c r="B77" s="382" t="s">
        <v>1063</v>
      </c>
      <c r="C77" s="490" t="s">
        <v>845</v>
      </c>
      <c r="D77" s="379"/>
      <c r="E77" s="371" t="s">
        <v>1112</v>
      </c>
      <c r="F77" s="371" t="str">
        <f t="shared" si="4"/>
        <v>5.1 Évaluation-et-Résolution28Grand</v>
      </c>
      <c r="G77" s="552" t="s">
        <v>1115</v>
      </c>
      <c r="H77" s="374" t="s">
        <v>990</v>
      </c>
      <c r="I77" s="371" t="s">
        <v>830</v>
      </c>
      <c r="J77" s="585" t="str">
        <f t="shared" si="5"/>
        <v>L’exploitation ou la direction du groupe rémunère-t-elle les travailleurs à la production/au quota/à la pièce, au moins à certaines époques de l’année ?oui</v>
      </c>
      <c r="K77" s="395" t="s">
        <v>1116</v>
      </c>
    </row>
    <row r="78" spans="1:11" ht="114.75" x14ac:dyDescent="0.25">
      <c r="A78" s="348">
        <v>28</v>
      </c>
      <c r="B78" s="382" t="s">
        <v>1063</v>
      </c>
      <c r="C78" s="490" t="s">
        <v>845</v>
      </c>
      <c r="D78" s="306"/>
      <c r="E78" s="303" t="s">
        <v>1112</v>
      </c>
      <c r="F78" s="371" t="str">
        <f t="shared" si="4"/>
        <v>5.1 Évaluation-et-Résolution28Grand</v>
      </c>
      <c r="G78" s="552" t="s">
        <v>1115</v>
      </c>
      <c r="H78" s="304" t="s">
        <v>867</v>
      </c>
      <c r="I78" s="491" t="s">
        <v>830</v>
      </c>
      <c r="J78" s="585" t="str">
        <f t="shared" si="5"/>
        <v>L’exploitation ou la direction du groupe rémunère-t-elle les travailleurs à la production/au quota/à la pièce, au moins à certaines époques de l’année ?Non</v>
      </c>
      <c r="K78" s="320" t="s">
        <v>989</v>
      </c>
    </row>
    <row r="79" spans="1:11" ht="51" x14ac:dyDescent="0.25">
      <c r="A79" s="348">
        <v>29</v>
      </c>
      <c r="B79" s="382" t="s">
        <v>1063</v>
      </c>
      <c r="C79" s="490" t="s">
        <v>845</v>
      </c>
      <c r="D79" s="306"/>
      <c r="E79" s="371" t="s">
        <v>1117</v>
      </c>
      <c r="F79" s="371" t="str">
        <f t="shared" si="4"/>
        <v>5.1 Évaluation-et-Résolution29Grand</v>
      </c>
      <c r="G79" s="374" t="s">
        <v>1118</v>
      </c>
      <c r="H79" s="374" t="s">
        <v>1033</v>
      </c>
      <c r="I79" s="491" t="s">
        <v>830</v>
      </c>
      <c r="J79" s="585" t="str">
        <f t="shared" si="5"/>
        <v>Est-ce qu’il y a des gardes de sécurité dans l’exploitation agricole ?non</v>
      </c>
      <c r="K79" s="320" t="s">
        <v>989</v>
      </c>
    </row>
    <row r="80" spans="1:11" ht="174" customHeight="1" x14ac:dyDescent="0.25">
      <c r="A80" s="348">
        <v>29</v>
      </c>
      <c r="B80" s="382" t="s">
        <v>1063</v>
      </c>
      <c r="C80" s="509" t="s">
        <v>845</v>
      </c>
      <c r="D80" s="379"/>
      <c r="E80" s="372"/>
      <c r="F80" s="371" t="str">
        <f t="shared" si="4"/>
        <v>5.1 Évaluation-et-Résolution29Grand</v>
      </c>
      <c r="G80" s="374" t="s">
        <v>1118</v>
      </c>
      <c r="H80" s="304" t="s">
        <v>990</v>
      </c>
      <c r="I80" s="546" t="s">
        <v>830</v>
      </c>
      <c r="J80" s="585" t="str">
        <f t="shared" si="5"/>
        <v>Est-ce qu’il y a des gardes de sécurité dans l’exploitation agricole ?oui</v>
      </c>
      <c r="K80" s="382" t="s">
        <v>1119</v>
      </c>
    </row>
    <row r="81" spans="1:11" ht="72.75" customHeight="1" x14ac:dyDescent="0.25">
      <c r="A81" s="348">
        <v>30</v>
      </c>
      <c r="B81" s="382" t="s">
        <v>1063</v>
      </c>
      <c r="C81" s="490" t="s">
        <v>830</v>
      </c>
      <c r="D81" s="306"/>
      <c r="E81" s="371" t="s">
        <v>1120</v>
      </c>
      <c r="F81" s="371" t="str">
        <f t="shared" si="4"/>
        <v>5.1 Évaluation-et-Résolution30Tous</v>
      </c>
      <c r="G81" s="374" t="s">
        <v>1121</v>
      </c>
      <c r="H81" s="551" t="s">
        <v>1033</v>
      </c>
      <c r="I81" s="491" t="s">
        <v>830</v>
      </c>
      <c r="J81" s="585" t="str">
        <f t="shared" si="5"/>
        <v>Y-a-t-il des travailleurs recrutés/fournis à l’exploitation agricole/groupe par le personnel pénitentiaire ou les militaires ?non</v>
      </c>
      <c r="K81" s="320" t="s">
        <v>989</v>
      </c>
    </row>
    <row r="82" spans="1:11" ht="117.6" customHeight="1" x14ac:dyDescent="0.25">
      <c r="A82" s="348">
        <v>30</v>
      </c>
      <c r="B82" s="382" t="s">
        <v>1063</v>
      </c>
      <c r="C82" s="509" t="s">
        <v>830</v>
      </c>
      <c r="D82" s="379"/>
      <c r="E82" s="371" t="s">
        <v>1120</v>
      </c>
      <c r="F82" s="371" t="str">
        <f t="shared" si="4"/>
        <v>5.1 Évaluation-et-Résolution30Tous</v>
      </c>
      <c r="G82" s="374" t="s">
        <v>1121</v>
      </c>
      <c r="H82" s="552" t="s">
        <v>990</v>
      </c>
      <c r="I82" s="546" t="s">
        <v>830</v>
      </c>
      <c r="J82" s="585" t="str">
        <f t="shared" si="5"/>
        <v>Y-a-t-il des travailleurs recrutés/fournis à l’exploitation agricole/groupe par le personnel pénitentiaire ou les militaires ?oui</v>
      </c>
      <c r="K82" s="382" t="s">
        <v>1122</v>
      </c>
    </row>
    <row r="83" spans="1:11" ht="165.75" x14ac:dyDescent="0.25">
      <c r="A83" s="348">
        <v>31</v>
      </c>
      <c r="B83" s="382" t="s">
        <v>1063</v>
      </c>
      <c r="C83" s="490" t="s">
        <v>830</v>
      </c>
      <c r="D83" s="306"/>
      <c r="E83" s="371" t="s">
        <v>1123</v>
      </c>
      <c r="F83" s="371" t="str">
        <f t="shared" si="4"/>
        <v>5.1 Évaluation-et-Résolution31Tous</v>
      </c>
      <c r="G83" s="552" t="s">
        <v>1124</v>
      </c>
      <c r="H83" s="551" t="s">
        <v>1033</v>
      </c>
      <c r="I83" s="491" t="s">
        <v>830</v>
      </c>
      <c r="J83" s="585" t="str">
        <f t="shared" si="5"/>
        <v>Est-ce que les travailleurs fournissent des liquidités (tels que des cautions) ou des documents originaux (tels que les passeports) à la direction de l'exploitation agricole ou aux agences de placement ?non</v>
      </c>
      <c r="K83" s="320" t="s">
        <v>989</v>
      </c>
    </row>
    <row r="84" spans="1:11" ht="165.75" x14ac:dyDescent="0.25">
      <c r="A84" s="348">
        <v>31</v>
      </c>
      <c r="B84" s="382" t="s">
        <v>1063</v>
      </c>
      <c r="C84" s="509" t="s">
        <v>830</v>
      </c>
      <c r="D84" s="379"/>
      <c r="E84" s="372"/>
      <c r="F84" s="371" t="str">
        <f t="shared" si="4"/>
        <v>5.1 Évaluation-et-Résolution31Tous</v>
      </c>
      <c r="G84" s="552" t="s">
        <v>1124</v>
      </c>
      <c r="H84" s="552" t="s">
        <v>990</v>
      </c>
      <c r="I84" s="546" t="s">
        <v>830</v>
      </c>
      <c r="J84" s="585" t="str">
        <f t="shared" si="5"/>
        <v>Est-ce que les travailleurs fournissent des liquidités (tels que des cautions) ou des documents originaux (tels que les passeports) à la direction de l'exploitation agricole ou aux agences de placement ?oui</v>
      </c>
      <c r="K84" s="382" t="s">
        <v>1125</v>
      </c>
    </row>
    <row r="85" spans="1:11" ht="153" x14ac:dyDescent="0.25">
      <c r="A85" s="348">
        <v>32</v>
      </c>
      <c r="B85" s="382" t="s">
        <v>1126</v>
      </c>
      <c r="C85" s="216" t="s">
        <v>830</v>
      </c>
      <c r="D85" s="207"/>
      <c r="E85" s="802" t="s">
        <v>1127</v>
      </c>
      <c r="F85" s="371" t="str">
        <f t="shared" si="4"/>
        <v>1.6 Égalité des genres32Tous</v>
      </c>
      <c r="G85" s="371" t="s">
        <v>1128</v>
      </c>
      <c r="H85" s="551" t="s">
        <v>990</v>
      </c>
      <c r="I85" s="550" t="s">
        <v>830</v>
      </c>
      <c r="J85" s="585" t="str">
        <f t="shared" si="5"/>
        <v>Est-ce que la direction de l'exploitation agricole/du groupe a déjà pris des mesures pour résoudre le problème de l’autonomisation des femmes et/ou des genres depuis plus d'un an au moins ?oui</v>
      </c>
      <c r="K85" s="320" t="s">
        <v>1129</v>
      </c>
    </row>
    <row r="86" spans="1:11" ht="153" x14ac:dyDescent="0.25">
      <c r="A86" s="348">
        <v>32</v>
      </c>
      <c r="B86" s="382" t="s">
        <v>1126</v>
      </c>
      <c r="C86" s="549" t="s">
        <v>830</v>
      </c>
      <c r="D86" s="377"/>
      <c r="E86" s="803"/>
      <c r="F86" s="371" t="str">
        <f t="shared" si="4"/>
        <v>1.6 Égalité des genres32Tous</v>
      </c>
      <c r="G86" s="371" t="s">
        <v>1128</v>
      </c>
      <c r="H86" s="552" t="s">
        <v>1033</v>
      </c>
      <c r="I86" s="547" t="s">
        <v>830</v>
      </c>
      <c r="J86" s="585" t="str">
        <f t="shared" si="5"/>
        <v>Est-ce que la direction de l'exploitation agricole/du groupe a déjà pris des mesures pour résoudre le problème de l’autonomisation des femmes et/ou des genres depuis plus d'un an au moins ?non</v>
      </c>
      <c r="K86" s="382" t="s">
        <v>1130</v>
      </c>
    </row>
    <row r="87" spans="1:11" ht="42.4" customHeight="1" x14ac:dyDescent="0.25">
      <c r="A87" s="348">
        <v>33</v>
      </c>
      <c r="B87" s="382" t="s">
        <v>1126</v>
      </c>
      <c r="C87" s="216" t="s">
        <v>837</v>
      </c>
      <c r="D87" s="207"/>
      <c r="E87" s="802" t="s">
        <v>1131</v>
      </c>
      <c r="F87" s="371" t="str">
        <f t="shared" si="4"/>
        <v>1.6 Égalité des genres33Certification de groupe</v>
      </c>
      <c r="G87" s="552" t="s">
        <v>1132</v>
      </c>
      <c r="H87" s="303" t="s">
        <v>990</v>
      </c>
      <c r="I87" s="550" t="s">
        <v>830</v>
      </c>
      <c r="J87" s="585" t="str">
        <f t="shared" si="5"/>
        <v>Est-ce que les membres femmes représentent au moins 25% du nombre total des membres du groupe ? oui</v>
      </c>
      <c r="K87" s="320" t="s">
        <v>989</v>
      </c>
    </row>
    <row r="88" spans="1:11" ht="66" customHeight="1" x14ac:dyDescent="0.25">
      <c r="A88" s="348">
        <v>33</v>
      </c>
      <c r="B88" s="382" t="s">
        <v>1126</v>
      </c>
      <c r="C88" s="549" t="s">
        <v>837</v>
      </c>
      <c r="D88" s="377"/>
      <c r="E88" s="803"/>
      <c r="F88" s="371" t="str">
        <f t="shared" si="4"/>
        <v>1.6 Égalité des genres33Certification de groupe</v>
      </c>
      <c r="G88" s="552" t="s">
        <v>1132</v>
      </c>
      <c r="H88" s="304" t="s">
        <v>1033</v>
      </c>
      <c r="I88" s="547" t="s">
        <v>830</v>
      </c>
      <c r="J88" s="585" t="str">
        <f t="shared" si="5"/>
        <v>Est-ce que les membres femmes représentent au moins 25% du nombre total des membres du groupe ? non</v>
      </c>
      <c r="K88" s="332" t="s">
        <v>1133</v>
      </c>
    </row>
    <row r="89" spans="1:11" ht="178.5" x14ac:dyDescent="0.25">
      <c r="A89" s="348">
        <v>34</v>
      </c>
      <c r="B89" s="382" t="s">
        <v>1126</v>
      </c>
      <c r="C89" s="216" t="s">
        <v>830</v>
      </c>
      <c r="D89" s="207"/>
      <c r="E89" s="552" t="s">
        <v>1134</v>
      </c>
      <c r="F89" s="371" t="str">
        <f t="shared" si="4"/>
        <v>1.6 Égalité des genres34Tous</v>
      </c>
      <c r="G89" s="552" t="s">
        <v>1135</v>
      </c>
      <c r="H89" s="303" t="s">
        <v>990</v>
      </c>
      <c r="I89" s="550" t="s">
        <v>830</v>
      </c>
      <c r="J89" s="585" t="str">
        <f t="shared" si="5"/>
        <v>anière égale (par rapport au % total de membres femmes ou de travailleuses) parmi les formateurs, les superviseurs, le personnel de la direction et/ou les autres fonctions de haut niveau au sein de la direction du groupe ou de l'exploitation agricole ?oui</v>
      </c>
      <c r="K89" s="320" t="s">
        <v>989</v>
      </c>
    </row>
    <row r="90" spans="1:11" ht="196.5" customHeight="1" x14ac:dyDescent="0.25">
      <c r="A90" s="348">
        <v>34</v>
      </c>
      <c r="B90" s="382" t="s">
        <v>1126</v>
      </c>
      <c r="C90" s="549" t="s">
        <v>830</v>
      </c>
      <c r="D90" s="377"/>
      <c r="E90" s="553"/>
      <c r="F90" s="371" t="str">
        <f t="shared" si="4"/>
        <v>1.6 Égalité des genres34Tous</v>
      </c>
      <c r="G90" s="552" t="s">
        <v>1135</v>
      </c>
      <c r="H90" s="510" t="s">
        <v>859</v>
      </c>
      <c r="I90" s="547" t="s">
        <v>830</v>
      </c>
      <c r="J90" s="585" t="str">
        <f t="shared" si="5"/>
        <v xml:space="preserve"> (par rapport au % total de membres femmes ou de travailleuses) parmi les formateurs, les superviseurs, le personnel de la direction et/ou les autres fonctions de haut niveau au sein de la direction du groupe ou de l'exploitation agricole ?Non/Ne sais pas</v>
      </c>
      <c r="K90" s="382" t="s">
        <v>1136</v>
      </c>
    </row>
    <row r="91" spans="1:11" ht="127.5" x14ac:dyDescent="0.25">
      <c r="A91" s="348">
        <v>35</v>
      </c>
      <c r="B91" s="382" t="s">
        <v>1126</v>
      </c>
      <c r="C91" s="216" t="s">
        <v>830</v>
      </c>
      <c r="D91" s="207"/>
      <c r="E91" s="180" t="s">
        <v>1137</v>
      </c>
      <c r="F91" s="371" t="str">
        <f t="shared" si="4"/>
        <v>1.6 Égalité des genres35Tous</v>
      </c>
      <c r="G91" s="552" t="s">
        <v>1138</v>
      </c>
      <c r="H91" s="374" t="s">
        <v>990</v>
      </c>
      <c r="I91" s="550" t="s">
        <v>1015</v>
      </c>
      <c r="J91" s="585" t="str">
        <f t="shared" si="5"/>
        <v>Est-ce que les membres femmes du groupe/travailleuses participent actuellement de manière égale aux formations (comparé au % total de membres femmes ou de travailleuses) ?oui</v>
      </c>
      <c r="K91" s="329" t="s">
        <v>1139</v>
      </c>
    </row>
    <row r="92" spans="1:11" ht="108" customHeight="1" x14ac:dyDescent="0.25">
      <c r="A92" s="348">
        <v>35</v>
      </c>
      <c r="B92" s="382" t="s">
        <v>1126</v>
      </c>
      <c r="C92" s="549" t="s">
        <v>830</v>
      </c>
      <c r="D92" s="377"/>
      <c r="E92" s="552" t="s">
        <v>1137</v>
      </c>
      <c r="F92" s="371" t="str">
        <f t="shared" si="4"/>
        <v>1.6 Égalité des genres35Tous</v>
      </c>
      <c r="G92" s="552" t="s">
        <v>1138</v>
      </c>
      <c r="H92" s="374" t="s">
        <v>867</v>
      </c>
      <c r="I92" s="547" t="s">
        <v>1015</v>
      </c>
      <c r="J92" s="585" t="str">
        <f t="shared" si="5"/>
        <v>Est-ce que les membres femmes du groupe/travailleuses participent actuellement de manière égale aux formations (comparé au % total de membres femmes ou de travailleuses) ?Non</v>
      </c>
      <c r="K92" s="325" t="s">
        <v>1140</v>
      </c>
    </row>
    <row r="93" spans="1:11" ht="72.95" customHeight="1" x14ac:dyDescent="0.25">
      <c r="A93" s="348">
        <v>36</v>
      </c>
      <c r="B93" s="382" t="s">
        <v>1126</v>
      </c>
      <c r="C93" s="549" t="s">
        <v>837</v>
      </c>
      <c r="D93" s="377"/>
      <c r="E93" s="552" t="s">
        <v>1137</v>
      </c>
      <c r="F93" s="371" t="str">
        <f t="shared" si="4"/>
        <v>1.6 Égalité des genres36Certification de groupe</v>
      </c>
      <c r="G93" s="552" t="s">
        <v>1141</v>
      </c>
      <c r="H93" s="374" t="s">
        <v>990</v>
      </c>
      <c r="I93" s="547" t="s">
        <v>1015</v>
      </c>
      <c r="J93" s="585" t="str">
        <f t="shared" si="5"/>
        <v>Est-ce habituel que les épouses des membres hommes ou d’autres travailleuses de la famille participent aux activités de formation ?oui</v>
      </c>
      <c r="K93" s="320" t="s">
        <v>989</v>
      </c>
    </row>
    <row r="94" spans="1:11" ht="102" x14ac:dyDescent="0.25">
      <c r="A94" s="348">
        <v>36</v>
      </c>
      <c r="B94" s="382" t="s">
        <v>1126</v>
      </c>
      <c r="C94" s="549" t="s">
        <v>837</v>
      </c>
      <c r="D94" s="377"/>
      <c r="E94" s="552" t="s">
        <v>1137</v>
      </c>
      <c r="F94" s="371" t="str">
        <f t="shared" si="4"/>
        <v>1.6 Égalité des genres36Certification de groupe</v>
      </c>
      <c r="G94" s="552" t="s">
        <v>1141</v>
      </c>
      <c r="H94" s="374" t="s">
        <v>1033</v>
      </c>
      <c r="I94" s="547" t="s">
        <v>1015</v>
      </c>
      <c r="J94" s="585" t="str">
        <f t="shared" si="5"/>
        <v>Est-ce habituel que les épouses des membres hommes ou d’autres travailleuses de la famille participent aux activités de formation ?non</v>
      </c>
      <c r="K94" s="326" t="s">
        <v>1142</v>
      </c>
    </row>
    <row r="95" spans="1:11" ht="153" x14ac:dyDescent="0.25">
      <c r="A95" s="348">
        <v>37</v>
      </c>
      <c r="B95" s="359" t="s">
        <v>1143</v>
      </c>
      <c r="C95" s="549" t="s">
        <v>845</v>
      </c>
      <c r="E95" s="377" t="s">
        <v>1094</v>
      </c>
      <c r="F95" s="371" t="str">
        <f t="shared" si="4"/>
        <v>5.7 Conditions de vie et de logement37Grand</v>
      </c>
      <c r="G95" s="552" t="s">
        <v>1144</v>
      </c>
      <c r="H95" s="374" t="s">
        <v>990</v>
      </c>
      <c r="I95" s="547" t="s">
        <v>1015</v>
      </c>
      <c r="J95" s="585" t="str">
        <f t="shared" si="5"/>
        <v>Est-ce qu’il y a des variations dans le régime climatique ou des périodes intensives de travail qui nécessiteraient que vous preniez des mesures adaptatives au niveau des conditions de logement fournies aux travailleurs ?oui</v>
      </c>
      <c r="K95" s="333" t="s">
        <v>1145</v>
      </c>
    </row>
    <row r="96" spans="1:11" ht="153" x14ac:dyDescent="0.25">
      <c r="A96" s="348">
        <v>37</v>
      </c>
      <c r="B96" s="359" t="s">
        <v>1143</v>
      </c>
      <c r="C96" s="216" t="s">
        <v>845</v>
      </c>
      <c r="E96" s="207" t="s">
        <v>1094</v>
      </c>
      <c r="F96" s="371" t="str">
        <f t="shared" si="4"/>
        <v>5.7 Conditions de vie et de logement37Grand</v>
      </c>
      <c r="G96" s="552" t="s">
        <v>1144</v>
      </c>
      <c r="H96" s="381" t="s">
        <v>867</v>
      </c>
      <c r="I96" s="550" t="s">
        <v>1015</v>
      </c>
      <c r="J96" s="585" t="str">
        <f t="shared" si="5"/>
        <v>Est-ce qu’il y a des variations dans le régime climatique ou des périodes intensives de travail qui nécessiteraient que vous preniez des mesures adaptatives au niveau des conditions de logement fournies aux travailleurs ?Non</v>
      </c>
      <c r="K96" s="320" t="s">
        <v>989</v>
      </c>
    </row>
    <row r="97" spans="1:12" ht="15.75" x14ac:dyDescent="0.25">
      <c r="A97" s="353"/>
      <c r="B97" s="300" t="s">
        <v>1146</v>
      </c>
      <c r="C97" s="488"/>
      <c r="D97" s="301"/>
      <c r="E97" s="299"/>
      <c r="F97" s="371" t="str">
        <f t="shared" si="4"/>
        <v>Environnement</v>
      </c>
      <c r="G97" s="489"/>
      <c r="H97" s="374" t="s">
        <v>990</v>
      </c>
      <c r="I97" s="489"/>
      <c r="J97" s="585" t="str">
        <f t="shared" si="5"/>
        <v>oui</v>
      </c>
      <c r="K97" s="319"/>
    </row>
    <row r="98" spans="1:12" ht="76.5" x14ac:dyDescent="0.25">
      <c r="A98" s="379">
        <v>38</v>
      </c>
      <c r="B98" s="327" t="s">
        <v>1147</v>
      </c>
      <c r="C98" s="501" t="s">
        <v>830</v>
      </c>
      <c r="D98" s="302"/>
      <c r="E98" s="303" t="s">
        <v>1148</v>
      </c>
      <c r="F98" s="371" t="str">
        <f t="shared" si="4"/>
        <v>6.1.3 / 6.1.4 Évaluation des HVC38Tous</v>
      </c>
      <c r="G98" s="498" t="s">
        <v>1149</v>
      </c>
      <c r="H98" s="304" t="s">
        <v>990</v>
      </c>
      <c r="I98" s="499" t="s">
        <v>830</v>
      </c>
      <c r="J98" s="585" t="str">
        <f t="shared" si="5"/>
        <v>L’exploitation agricole est-elle implantée à moins de 5 km d’une zone forestière naturelle intacte ?oui</v>
      </c>
      <c r="K98" s="321" t="s">
        <v>1150</v>
      </c>
    </row>
    <row r="99" spans="1:12" ht="76.5" x14ac:dyDescent="0.25">
      <c r="A99" s="379">
        <v>38</v>
      </c>
      <c r="B99" s="327" t="s">
        <v>1147</v>
      </c>
      <c r="C99" s="501" t="s">
        <v>830</v>
      </c>
      <c r="D99" s="302"/>
      <c r="E99" s="303" t="s">
        <v>1148</v>
      </c>
      <c r="F99" s="371" t="str">
        <f t="shared" ref="F99:F131" si="6">CONCATENATE(B99,A99,C99)</f>
        <v>6.1.3 / 6.1.4 Évaluation des HVC38Tous</v>
      </c>
      <c r="G99" s="498" t="s">
        <v>1149</v>
      </c>
      <c r="H99" s="304" t="s">
        <v>1033</v>
      </c>
      <c r="I99" s="499" t="s">
        <v>830</v>
      </c>
      <c r="J99" s="585" t="str">
        <f t="shared" ref="J99:J131" si="7">RIGHT(CONCATENATE(G99,H99),255)</f>
        <v>L’exploitation agricole est-elle implantée à moins de 5 km d’une zone forestière naturelle intacte ?non</v>
      </c>
      <c r="K99" s="320" t="s">
        <v>989</v>
      </c>
    </row>
    <row r="100" spans="1:12" ht="76.900000000000006" customHeight="1" x14ac:dyDescent="0.25">
      <c r="A100" s="379">
        <v>39</v>
      </c>
      <c r="B100" s="327" t="s">
        <v>1147</v>
      </c>
      <c r="C100" s="501" t="s">
        <v>830</v>
      </c>
      <c r="D100" s="302"/>
      <c r="E100" s="303" t="s">
        <v>1148</v>
      </c>
      <c r="F100" s="371" t="str">
        <f t="shared" si="6"/>
        <v>6.1.3 / 6.1.4 Évaluation des HVC39Tous</v>
      </c>
      <c r="G100" s="498" t="s">
        <v>1151</v>
      </c>
      <c r="H100" s="374" t="s">
        <v>990</v>
      </c>
      <c r="I100" s="499" t="s">
        <v>830</v>
      </c>
      <c r="J100" s="585" t="str">
        <f t="shared" si="7"/>
        <v>L’exploitation agricole ou le groupe d'exploitations agricoles est-il implanté à moins de 2 km d'une Aire protégée (AP) enregistrée, d'une aire sensible de biodiversité (ASB), d'un site Ramsar ou d'un site inscrit au Patrimoine mondial de l’UNESCO ?oui</v>
      </c>
      <c r="K100" s="321" t="s">
        <v>1152</v>
      </c>
    </row>
    <row r="101" spans="1:12" ht="86.1" customHeight="1" x14ac:dyDescent="0.25">
      <c r="A101" s="379">
        <v>39</v>
      </c>
      <c r="B101" s="327" t="s">
        <v>1147</v>
      </c>
      <c r="C101" s="501" t="s">
        <v>830</v>
      </c>
      <c r="D101" s="302"/>
      <c r="E101" s="303" t="s">
        <v>1148</v>
      </c>
      <c r="F101" s="371" t="str">
        <f t="shared" si="6"/>
        <v>6.1.3 / 6.1.4 Évaluation des HVC39Tous</v>
      </c>
      <c r="G101" s="498" t="s">
        <v>1151</v>
      </c>
      <c r="H101" s="374" t="s">
        <v>1033</v>
      </c>
      <c r="I101" s="499" t="s">
        <v>830</v>
      </c>
      <c r="J101" s="585" t="str">
        <f t="shared" si="7"/>
        <v>L’exploitation agricole ou le groupe d'exploitations agricoles est-il implanté à moins de 2 km d'une Aire protégée (AP) enregistrée, d'une aire sensible de biodiversité (ASB), d'un site Ramsar ou d'un site inscrit au Patrimoine mondial de l’UNESCO ?non</v>
      </c>
      <c r="K101" s="320" t="s">
        <v>989</v>
      </c>
    </row>
    <row r="102" spans="1:12" ht="76.5" x14ac:dyDescent="0.25">
      <c r="A102" s="351">
        <v>40</v>
      </c>
      <c r="B102" s="327" t="s">
        <v>1147</v>
      </c>
      <c r="C102" s="501" t="s">
        <v>830</v>
      </c>
      <c r="D102" s="302"/>
      <c r="E102" s="303" t="s">
        <v>1148</v>
      </c>
      <c r="F102" s="371" t="str">
        <f t="shared" si="6"/>
        <v>6.1.3 / 6.1.4 Évaluation des HVC40Tous</v>
      </c>
      <c r="G102" s="371" t="s">
        <v>1153</v>
      </c>
      <c r="H102" s="304" t="s">
        <v>867</v>
      </c>
      <c r="I102" s="499" t="s">
        <v>988</v>
      </c>
      <c r="J102" s="585" t="str">
        <f t="shared" si="7"/>
        <v>Est-ce que les communautés locales ont des droits coutumiers ou légaux sur l’exploitation agricole ? Non</v>
      </c>
      <c r="K102" s="320" t="s">
        <v>989</v>
      </c>
    </row>
    <row r="103" spans="1:12" ht="109.15" customHeight="1" x14ac:dyDescent="0.25">
      <c r="A103" s="351">
        <v>40</v>
      </c>
      <c r="B103" s="327" t="s">
        <v>1147</v>
      </c>
      <c r="C103" s="511" t="s">
        <v>830</v>
      </c>
      <c r="D103" s="370"/>
      <c r="E103" s="371" t="s">
        <v>1148</v>
      </c>
      <c r="F103" s="371" t="str">
        <f t="shared" si="6"/>
        <v>6.1.3 / 6.1.4 Évaluation des HVC40Tous</v>
      </c>
      <c r="G103" s="371" t="s">
        <v>1153</v>
      </c>
      <c r="H103" s="374" t="s">
        <v>990</v>
      </c>
      <c r="I103" s="512" t="s">
        <v>830</v>
      </c>
      <c r="J103" s="585" t="str">
        <f t="shared" si="7"/>
        <v>Est-ce que les communautés locales ont des droits coutumiers ou légaux sur l’exploitation agricole ? oui</v>
      </c>
      <c r="K103" s="382" t="s">
        <v>1154</v>
      </c>
    </row>
    <row r="104" spans="1:12" ht="114.75" x14ac:dyDescent="0.25">
      <c r="A104" s="351">
        <v>41</v>
      </c>
      <c r="B104" s="327" t="s">
        <v>1147</v>
      </c>
      <c r="C104" s="511" t="s">
        <v>830</v>
      </c>
      <c r="D104" s="370"/>
      <c r="E104" s="371" t="s">
        <v>1148</v>
      </c>
      <c r="F104" s="371" t="str">
        <f t="shared" si="6"/>
        <v>6.1.3 / 6.1.4 Évaluation des HVC41Tous</v>
      </c>
      <c r="G104" s="371" t="s">
        <v>1155</v>
      </c>
      <c r="H104" s="304" t="s">
        <v>990</v>
      </c>
      <c r="I104" s="512" t="s">
        <v>830</v>
      </c>
      <c r="J104" s="585" t="str">
        <f t="shared" si="7"/>
        <v>Est-ce que vous utilisez des terres communales pour des raisons liées à la production ou à la transformation de culture certifiée, ex : la collecte du bois ?oui</v>
      </c>
      <c r="K104" s="327" t="s">
        <v>1156</v>
      </c>
    </row>
    <row r="105" spans="1:12" ht="114.75" x14ac:dyDescent="0.25">
      <c r="A105" s="351">
        <v>41</v>
      </c>
      <c r="B105" s="327" t="s">
        <v>1147</v>
      </c>
      <c r="C105" s="501" t="s">
        <v>830</v>
      </c>
      <c r="D105" s="302"/>
      <c r="E105" s="303" t="s">
        <v>1148</v>
      </c>
      <c r="F105" s="371" t="str">
        <f t="shared" si="6"/>
        <v>6.1.3 / 6.1.4 Évaluation des HVC41Tous</v>
      </c>
      <c r="G105" s="371" t="s">
        <v>1155</v>
      </c>
      <c r="H105" s="551" t="s">
        <v>1033</v>
      </c>
      <c r="I105" s="513" t="s">
        <v>988</v>
      </c>
      <c r="J105" s="585" t="str">
        <f t="shared" si="7"/>
        <v>Est-ce que vous utilisez des terres communales pour des raisons liées à la production ou à la transformation de culture certifiée, ex : la collecte du bois ?non</v>
      </c>
      <c r="K105" s="320" t="s">
        <v>989</v>
      </c>
    </row>
    <row r="106" spans="1:12" ht="191.25" x14ac:dyDescent="0.25">
      <c r="A106" s="379">
        <v>42</v>
      </c>
      <c r="B106" s="327" t="s">
        <v>1147</v>
      </c>
      <c r="C106" s="511" t="s">
        <v>845</v>
      </c>
      <c r="D106" s="370" t="s">
        <v>1157</v>
      </c>
      <c r="E106" s="371" t="s">
        <v>1148</v>
      </c>
      <c r="F106" s="371" t="str">
        <f t="shared" si="6"/>
        <v>6.1.3 / 6.1.4 Évaluation des HVC42Grand</v>
      </c>
      <c r="G106" s="374" t="s">
        <v>1158</v>
      </c>
      <c r="H106" s="552" t="s">
        <v>990</v>
      </c>
      <c r="I106" s="514" t="s">
        <v>830</v>
      </c>
      <c r="J106" s="585" t="str">
        <f t="shared" si="7"/>
        <v>Avez-vous répondu oui aux questions concernant les Territoires de forêt intacte (TFI), les Zones importantes pour la biodiversité (ZIB), etc. ou les droits coutumiers des communautés ?oui</v>
      </c>
      <c r="K106" s="381" t="s">
        <v>1159</v>
      </c>
    </row>
    <row r="107" spans="1:12" ht="140.25" x14ac:dyDescent="0.25">
      <c r="A107" s="379">
        <v>42</v>
      </c>
      <c r="B107" s="327" t="s">
        <v>1147</v>
      </c>
      <c r="C107" s="501" t="s">
        <v>845</v>
      </c>
      <c r="D107" s="302" t="s">
        <v>1157</v>
      </c>
      <c r="E107" s="303" t="s">
        <v>1148</v>
      </c>
      <c r="F107" s="371" t="str">
        <f t="shared" si="6"/>
        <v>6.1.3 / 6.1.4 Évaluation des HVC42Grand</v>
      </c>
      <c r="G107" s="374" t="s">
        <v>1158</v>
      </c>
      <c r="H107" s="551" t="s">
        <v>1033</v>
      </c>
      <c r="I107" s="515" t="s">
        <v>830</v>
      </c>
      <c r="J107" s="585" t="str">
        <f t="shared" si="7"/>
        <v>Avez-vous répondu oui aux questions concernant les Territoires de forêt intacte (TFI), les Zones importantes pour la biodiversité (ZIB), etc. ou les droits coutumiers des communautés ?non</v>
      </c>
      <c r="K107" s="320" t="s">
        <v>989</v>
      </c>
    </row>
    <row r="108" spans="1:12" ht="89.25" x14ac:dyDescent="0.25">
      <c r="A108" s="361">
        <v>43</v>
      </c>
      <c r="B108" s="360" t="s">
        <v>1206</v>
      </c>
      <c r="C108" s="511" t="s">
        <v>845</v>
      </c>
      <c r="D108" s="311"/>
      <c r="E108" s="312" t="s">
        <v>1160</v>
      </c>
      <c r="F108" s="371" t="str">
        <f t="shared" si="6"/>
        <v>6.2 Conservation et amélioration de la végétation et des écosystèmes naturels43Grand</v>
      </c>
      <c r="G108" s="374" t="s">
        <v>1161</v>
      </c>
      <c r="H108" s="552" t="s">
        <v>990</v>
      </c>
      <c r="I108" s="499" t="s">
        <v>830</v>
      </c>
      <c r="J108" s="585" t="str">
        <f t="shared" si="7"/>
        <v>Est-ce que les zones d’écosystème naturel et de couvert de végétation naturelle sont connectées par des corridors de territoires ? oui</v>
      </c>
      <c r="K108" s="320" t="s">
        <v>989</v>
      </c>
      <c r="L108" s="388"/>
    </row>
    <row r="109" spans="1:12" ht="102" x14ac:dyDescent="0.25">
      <c r="A109" s="361">
        <v>43</v>
      </c>
      <c r="B109" s="360" t="s">
        <v>1206</v>
      </c>
      <c r="C109" s="511" t="s">
        <v>845</v>
      </c>
      <c r="D109" s="373"/>
      <c r="E109" s="517" t="s">
        <v>1160</v>
      </c>
      <c r="F109" s="371" t="str">
        <f t="shared" si="6"/>
        <v>6.2 Conservation et amélioration de la végétation et des écosystèmes naturels43Grand</v>
      </c>
      <c r="G109" s="374" t="s">
        <v>1161</v>
      </c>
      <c r="H109" s="551" t="s">
        <v>859</v>
      </c>
      <c r="I109" s="507" t="s">
        <v>830</v>
      </c>
      <c r="J109" s="585" t="str">
        <f t="shared" si="7"/>
        <v>Est-ce que les zones d’écosystème naturel et de couvert de végétation naturelle sont connectées par des corridors de territoires ? Non/Ne sais pas</v>
      </c>
      <c r="K109" s="334" t="s">
        <v>1162</v>
      </c>
      <c r="L109" s="388"/>
    </row>
    <row r="110" spans="1:12" ht="89.25" x14ac:dyDescent="0.25">
      <c r="A110" s="586">
        <v>43</v>
      </c>
      <c r="B110" s="360" t="s">
        <v>1206</v>
      </c>
      <c r="C110" s="516" t="s">
        <v>837</v>
      </c>
      <c r="D110" s="396"/>
      <c r="E110" s="518" t="s">
        <v>1160</v>
      </c>
      <c r="F110" s="552" t="str">
        <f t="shared" si="6"/>
        <v>6.2 Conservation et amélioration de la végétation et des écosystèmes naturels43Certification de groupe</v>
      </c>
      <c r="G110" s="498" t="s">
        <v>1161</v>
      </c>
      <c r="H110" s="548" t="s">
        <v>990</v>
      </c>
      <c r="I110" s="506" t="s">
        <v>830</v>
      </c>
      <c r="J110" s="585" t="str">
        <f t="shared" si="7"/>
        <v>Est-ce que les zones d’écosystème naturel et de couvert de végétation naturelle sont connectées par des corridors de territoires ? oui</v>
      </c>
      <c r="K110" s="397" t="s">
        <v>1163</v>
      </c>
      <c r="L110" s="388" t="s">
        <v>1164</v>
      </c>
    </row>
    <row r="111" spans="1:12" ht="102" x14ac:dyDescent="0.25">
      <c r="A111" s="586">
        <v>43</v>
      </c>
      <c r="B111" s="360" t="s">
        <v>1206</v>
      </c>
      <c r="C111" s="516" t="s">
        <v>837</v>
      </c>
      <c r="D111" s="396"/>
      <c r="E111" s="518" t="s">
        <v>1160</v>
      </c>
      <c r="F111" s="552" t="str">
        <f t="shared" si="6"/>
        <v>6.2 Conservation et amélioration de la végétation et des écosystèmes naturels43Certification de groupe</v>
      </c>
      <c r="G111" s="498" t="s">
        <v>1161</v>
      </c>
      <c r="H111" s="548" t="s">
        <v>1165</v>
      </c>
      <c r="I111" s="506" t="s">
        <v>830</v>
      </c>
      <c r="J111" s="585" t="str">
        <f t="shared" si="7"/>
        <v>Est-ce que les zones d’écosystème naturel et de couvert de végétation naturelle sont connectées par des corridors de territoires ? non/ne sais pas</v>
      </c>
      <c r="K111" s="397" t="s">
        <v>1166</v>
      </c>
      <c r="L111" s="388" t="s">
        <v>1164</v>
      </c>
    </row>
    <row r="112" spans="1:12" ht="191.25" x14ac:dyDescent="0.25">
      <c r="A112" s="361">
        <v>44</v>
      </c>
      <c r="B112" s="360" t="s">
        <v>1206</v>
      </c>
      <c r="C112" s="519" t="s">
        <v>830</v>
      </c>
      <c r="D112" s="311"/>
      <c r="E112" s="312" t="s">
        <v>1207</v>
      </c>
      <c r="F112" s="371" t="str">
        <f t="shared" si="6"/>
        <v>6.2 Conservation et amélioration de la végétation et des écosystèmes naturels44Tous</v>
      </c>
      <c r="G112" s="374" t="s">
        <v>1167</v>
      </c>
      <c r="H112" s="552" t="s">
        <v>990</v>
      </c>
      <c r="I112" s="499" t="s">
        <v>830</v>
      </c>
      <c r="J112" s="585" t="str">
        <f t="shared" si="7"/>
        <v>révoyez-vous que tous les écosystèmes naturels de l’exploitation agricole, dont les haies, les limites forestières, les zones tampons ripariennes et les forêts, aient une diversité en espèces et contiennent en majorité des espèces adaptées localement ?oui</v>
      </c>
      <c r="K112" s="335" t="s">
        <v>1168</v>
      </c>
    </row>
    <row r="113" spans="1:12" ht="178.5" x14ac:dyDescent="0.25">
      <c r="A113" s="361">
        <v>44</v>
      </c>
      <c r="B113" s="360" t="s">
        <v>1206</v>
      </c>
      <c r="C113" s="519" t="s">
        <v>830</v>
      </c>
      <c r="D113" s="311"/>
      <c r="E113" s="312" t="s">
        <v>1207</v>
      </c>
      <c r="F113" s="371" t="str">
        <f t="shared" si="6"/>
        <v>6.2 Conservation et amélioration de la végétation et des écosystèmes naturels44Tous</v>
      </c>
      <c r="G113" s="374" t="s">
        <v>1167</v>
      </c>
      <c r="H113" s="303" t="s">
        <v>859</v>
      </c>
      <c r="I113" s="499" t="s">
        <v>830</v>
      </c>
      <c r="J113" s="585" t="str">
        <f t="shared" si="7"/>
        <v xml:space="preserve"> que tous les écosystèmes naturels de l’exploitation agricole, dont les haies, les limites forestières, les zones tampons ripariennes et les forêts, aient une diversité en espèces et contiennent en majorité des espèces adaptées localement ?Non/Ne sais pas</v>
      </c>
      <c r="K113" s="335" t="s">
        <v>1169</v>
      </c>
    </row>
    <row r="114" spans="1:12" ht="228.75" customHeight="1" x14ac:dyDescent="0.25">
      <c r="A114" s="363">
        <v>45</v>
      </c>
      <c r="B114" s="360" t="s">
        <v>1206</v>
      </c>
      <c r="C114" s="520" t="s">
        <v>830</v>
      </c>
      <c r="D114" s="311" t="s">
        <v>1170</v>
      </c>
      <c r="E114" s="313" t="s">
        <v>1171</v>
      </c>
      <c r="F114" s="371" t="str">
        <f t="shared" si="6"/>
        <v>6.2 Conservation et amélioration de la végétation et des écosystèmes naturels45Tous</v>
      </c>
      <c r="G114" s="371" t="s">
        <v>1204</v>
      </c>
      <c r="H114" s="303" t="s">
        <v>990</v>
      </c>
      <c r="I114" s="491" t="s">
        <v>830</v>
      </c>
      <c r="J114" s="585" t="str">
        <f t="shared" si="7"/>
        <v>matière de couvert de canopée, de strates forestières et de présence de lianes et de plantes grimpantes ? Pour plus d'informations, voir le document intitulé Document d’orientation M : Document d’orientation végétation indigène et écosystèmes naturels.oui</v>
      </c>
      <c r="K114" s="320" t="s">
        <v>989</v>
      </c>
    </row>
    <row r="115" spans="1:12" ht="139.5" customHeight="1" x14ac:dyDescent="0.25">
      <c r="A115" s="363">
        <v>45</v>
      </c>
      <c r="B115" s="360" t="s">
        <v>1206</v>
      </c>
      <c r="C115" s="520" t="s">
        <v>830</v>
      </c>
      <c r="D115" s="311" t="s">
        <v>1170</v>
      </c>
      <c r="E115" s="313" t="s">
        <v>1171</v>
      </c>
      <c r="F115" s="371" t="str">
        <f t="shared" si="6"/>
        <v>6.2 Conservation et amélioration de la végétation et des écosystèmes naturels45Tous</v>
      </c>
      <c r="G115" s="371" t="s">
        <v>1204</v>
      </c>
      <c r="H115" s="304" t="s">
        <v>1033</v>
      </c>
      <c r="I115" s="491" t="s">
        <v>830</v>
      </c>
      <c r="J115" s="585" t="str">
        <f t="shared" si="7"/>
        <v>matière de couvert de canopée, de strates forestières et de présence de lianes et de plantes grimpantes ? Pour plus d'informations, voir le document intitulé Document d’orientation M : Document d’orientation végétation indigène et écosystèmes naturels.non</v>
      </c>
      <c r="K115" s="336" t="s">
        <v>1205</v>
      </c>
    </row>
    <row r="116" spans="1:12" ht="178.5" x14ac:dyDescent="0.25">
      <c r="A116" s="364">
        <v>46</v>
      </c>
      <c r="B116" s="360" t="s">
        <v>1206</v>
      </c>
      <c r="C116" s="520" t="s">
        <v>830</v>
      </c>
      <c r="D116" s="311" t="s">
        <v>1172</v>
      </c>
      <c r="E116" s="313" t="s">
        <v>1173</v>
      </c>
      <c r="F116" s="371" t="str">
        <f t="shared" si="6"/>
        <v>6.2 Conservation et amélioration de la végétation et des écosystèmes naturels46Tous</v>
      </c>
      <c r="G116" s="371" t="s">
        <v>1174</v>
      </c>
      <c r="H116" s="374" t="s">
        <v>990</v>
      </c>
      <c r="I116" s="491" t="s">
        <v>830</v>
      </c>
      <c r="J116" s="585" t="str">
        <f t="shared" si="7"/>
        <v>Répondre uniquement si vous avez des zones humides au sein du groupe/exploitation agricole --
Est-ce que les zones humides stockent ou acheminent les eaux d'inondation à n’importe quel moment de l’année ?oui</v>
      </c>
      <c r="K116" s="336" t="s">
        <v>1175</v>
      </c>
    </row>
    <row r="117" spans="1:12" ht="178.5" x14ac:dyDescent="0.25">
      <c r="A117" s="364">
        <v>46</v>
      </c>
      <c r="B117" s="360" t="s">
        <v>1206</v>
      </c>
      <c r="C117" s="520" t="s">
        <v>830</v>
      </c>
      <c r="D117" s="311" t="s">
        <v>1176</v>
      </c>
      <c r="E117" s="313" t="s">
        <v>1173</v>
      </c>
      <c r="F117" s="371" t="str">
        <f t="shared" si="6"/>
        <v>6.2 Conservation et amélioration de la végétation et des écosystèmes naturels46Tous</v>
      </c>
      <c r="G117" s="371" t="s">
        <v>1174</v>
      </c>
      <c r="H117" s="374" t="s">
        <v>867</v>
      </c>
      <c r="I117" s="491" t="s">
        <v>830</v>
      </c>
      <c r="J117" s="585" t="str">
        <f t="shared" si="7"/>
        <v>Répondre uniquement si vous avez des zones humides au sein du groupe/exploitation agricole --
Est-ce que les zones humides stockent ou acheminent les eaux d'inondation à n’importe quel moment de l’année ?Non</v>
      </c>
      <c r="K117" s="320" t="s">
        <v>989</v>
      </c>
    </row>
    <row r="118" spans="1:12" ht="191.25" x14ac:dyDescent="0.25">
      <c r="A118" s="364">
        <v>47</v>
      </c>
      <c r="B118" s="360" t="s">
        <v>1206</v>
      </c>
      <c r="C118" s="520" t="s">
        <v>830</v>
      </c>
      <c r="D118" s="311" t="s">
        <v>1177</v>
      </c>
      <c r="E118" s="313" t="s">
        <v>1178</v>
      </c>
      <c r="F118" s="371" t="str">
        <f t="shared" si="6"/>
        <v>6.2 Conservation et amélioration de la végétation et des écosystèmes naturels47Tous</v>
      </c>
      <c r="G118" s="371" t="s">
        <v>1179</v>
      </c>
      <c r="H118" s="374" t="s">
        <v>990</v>
      </c>
      <c r="I118" s="491" t="s">
        <v>830</v>
      </c>
      <c r="J118" s="585" t="str">
        <f t="shared" si="7"/>
        <v>iries/pâturages ou des déserts non naturels au sein du groupe/exploitation agricole --
Est-ce que les prairies/pâturages ou les zones de désert non naturel contiennent de vastes zones à nu qui sont en danger d’érosion au sein des cours d’eau proches ?oui</v>
      </c>
      <c r="K118" s="336" t="s">
        <v>1180</v>
      </c>
    </row>
    <row r="119" spans="1:12" ht="191.25" x14ac:dyDescent="0.25">
      <c r="A119" s="364">
        <v>47</v>
      </c>
      <c r="B119" s="360" t="s">
        <v>1206</v>
      </c>
      <c r="C119" s="520" t="s">
        <v>830</v>
      </c>
      <c r="D119" s="311" t="s">
        <v>1177</v>
      </c>
      <c r="E119" s="313" t="s">
        <v>1178</v>
      </c>
      <c r="F119" s="371" t="str">
        <f t="shared" si="6"/>
        <v>6.2 Conservation et amélioration de la végétation et des écosystèmes naturels47Tous</v>
      </c>
      <c r="G119" s="371" t="s">
        <v>1179</v>
      </c>
      <c r="H119" s="381" t="s">
        <v>867</v>
      </c>
      <c r="I119" s="491" t="s">
        <v>830</v>
      </c>
      <c r="J119" s="585" t="str">
        <f t="shared" si="7"/>
        <v>iries/pâturages ou des déserts non naturels au sein du groupe/exploitation agricole --
Est-ce que les prairies/pâturages ou les zones de désert non naturel contiennent de vastes zones à nu qui sont en danger d’érosion au sein des cours d’eau proches ?Non</v>
      </c>
      <c r="K119" s="336" t="s">
        <v>1181</v>
      </c>
    </row>
    <row r="120" spans="1:12" ht="153" x14ac:dyDescent="0.25">
      <c r="A120" s="364">
        <v>48</v>
      </c>
      <c r="B120" s="360" t="s">
        <v>1206</v>
      </c>
      <c r="C120" s="520" t="s">
        <v>830</v>
      </c>
      <c r="D120" s="311" t="s">
        <v>1182</v>
      </c>
      <c r="E120" s="313" t="s">
        <v>1183</v>
      </c>
      <c r="F120" s="371" t="str">
        <f t="shared" si="6"/>
        <v>6.2 Conservation et amélioration de la végétation et des écosystèmes naturels48Tous</v>
      </c>
      <c r="G120" s="371" t="s">
        <v>1184</v>
      </c>
      <c r="H120" s="374" t="s">
        <v>990</v>
      </c>
      <c r="I120" s="491" t="s">
        <v>830</v>
      </c>
      <c r="J120" s="585" t="str">
        <f t="shared" si="7"/>
        <v>Répondre uniquement si vous avez des terres en jachère au sein du groupe/exploitation agricole --
Est-ce que les arbres se régénèrent naturellement sur les terre en jachère permanente ?oui</v>
      </c>
      <c r="K120" s="320" t="s">
        <v>989</v>
      </c>
    </row>
    <row r="121" spans="1:12" ht="153" x14ac:dyDescent="0.25">
      <c r="A121" s="364">
        <v>48</v>
      </c>
      <c r="B121" s="360" t="s">
        <v>1206</v>
      </c>
      <c r="C121" s="521" t="s">
        <v>830</v>
      </c>
      <c r="D121" s="522" t="s">
        <v>1185</v>
      </c>
      <c r="E121" s="523" t="s">
        <v>1183</v>
      </c>
      <c r="F121" s="371" t="str">
        <f t="shared" si="6"/>
        <v>6.2 Conservation et amélioration de la végétation et des écosystèmes naturels48Tous</v>
      </c>
      <c r="G121" s="371" t="s">
        <v>1184</v>
      </c>
      <c r="H121" s="304" t="s">
        <v>867</v>
      </c>
      <c r="I121" s="546" t="s">
        <v>830</v>
      </c>
      <c r="J121" s="585" t="str">
        <f t="shared" si="7"/>
        <v>Répondre uniquement si vous avez des terres en jachère au sein du groupe/exploitation agricole --
Est-ce que les arbres se régénèrent naturellement sur les terre en jachère permanente ?Non</v>
      </c>
      <c r="K121" s="341" t="s">
        <v>1186</v>
      </c>
    </row>
    <row r="122" spans="1:12" ht="178.5" x14ac:dyDescent="0.25">
      <c r="A122" s="587">
        <v>49</v>
      </c>
      <c r="B122" s="362" t="s">
        <v>1187</v>
      </c>
      <c r="C122" s="524" t="s">
        <v>830</v>
      </c>
      <c r="D122" s="343"/>
      <c r="E122" s="344" t="s">
        <v>1188</v>
      </c>
      <c r="F122" s="371" t="str">
        <f t="shared" si="6"/>
        <v>Changement climatique 49Tous</v>
      </c>
      <c r="G122" s="362" t="s">
        <v>1189</v>
      </c>
      <c r="H122" s="304" t="s">
        <v>1033</v>
      </c>
      <c r="I122" s="525" t="s">
        <v>830</v>
      </c>
      <c r="J122" s="585" t="str">
        <f t="shared" si="7"/>
        <v>Est-ce que la direction, les superviseurs et/ou le personnel technique sont formés à l’évaluation des risques et des impacts infligés par le changement climatique sur les moyens de subsistance et sur les systèmes de production ?non</v>
      </c>
      <c r="K122" s="345" t="s">
        <v>1190</v>
      </c>
    </row>
    <row r="123" spans="1:12" ht="178.5" x14ac:dyDescent="0.25">
      <c r="A123" s="587">
        <v>49</v>
      </c>
      <c r="B123" s="362" t="s">
        <v>1187</v>
      </c>
      <c r="C123" s="229" t="s">
        <v>830</v>
      </c>
      <c r="D123" s="314"/>
      <c r="E123" s="313" t="s">
        <v>1188</v>
      </c>
      <c r="F123" s="371" t="str">
        <f t="shared" si="6"/>
        <v>Changement climatique 49Tous</v>
      </c>
      <c r="G123" s="362" t="s">
        <v>1189</v>
      </c>
      <c r="H123" s="374" t="s">
        <v>990</v>
      </c>
      <c r="I123" s="513" t="s">
        <v>830</v>
      </c>
      <c r="J123" s="585" t="str">
        <f t="shared" si="7"/>
        <v>Est-ce que la direction, les superviseurs et/ou le personnel technique sont formés à l’évaluation des risques et des impacts infligés par le changement climatique sur les moyens de subsistance et sur les systèmes de production ?oui</v>
      </c>
      <c r="K123" s="320" t="s">
        <v>989</v>
      </c>
    </row>
    <row r="124" spans="1:12" ht="51" customHeight="1" x14ac:dyDescent="0.25">
      <c r="A124" s="588">
        <v>50</v>
      </c>
      <c r="B124" s="362" t="s">
        <v>1187</v>
      </c>
      <c r="C124" s="526" t="s">
        <v>830</v>
      </c>
      <c r="D124" s="804"/>
      <c r="E124" s="369" t="s">
        <v>1188</v>
      </c>
      <c r="F124" s="371" t="str">
        <f t="shared" si="6"/>
        <v>Changement climatique 50Tous</v>
      </c>
      <c r="G124" s="371" t="s">
        <v>1191</v>
      </c>
      <c r="H124" s="374" t="s">
        <v>1033</v>
      </c>
      <c r="I124" s="512" t="s">
        <v>830</v>
      </c>
      <c r="J124" s="585" t="str">
        <f t="shared" si="7"/>
        <v xml:space="preserve"> que la direction, les superviseurs et/ou le personnel technique ont identifiés les menaces /risques/impacts (actuels et prévus) les plus significatifs du changement climatique sur les ressources en moyens de subsistance et sur les systèmes agricoles ?non</v>
      </c>
      <c r="K124" s="368" t="s">
        <v>1192</v>
      </c>
      <c r="L124" s="11"/>
    </row>
    <row r="125" spans="1:12" ht="191.25" x14ac:dyDescent="0.25">
      <c r="A125" s="588">
        <v>50</v>
      </c>
      <c r="B125" s="362" t="s">
        <v>1187</v>
      </c>
      <c r="C125" s="524" t="s">
        <v>830</v>
      </c>
      <c r="D125" s="805"/>
      <c r="E125" s="346" t="s">
        <v>1188</v>
      </c>
      <c r="F125" s="371" t="str">
        <f t="shared" si="6"/>
        <v>Changement climatique 50Tous</v>
      </c>
      <c r="G125" s="371" t="s">
        <v>1191</v>
      </c>
      <c r="H125" s="304" t="s">
        <v>990</v>
      </c>
      <c r="I125" s="513" t="s">
        <v>830</v>
      </c>
      <c r="J125" s="585" t="str">
        <f t="shared" si="7"/>
        <v xml:space="preserve"> que la direction, les superviseurs et/ou le personnel technique ont identifiés les menaces /risques/impacts (actuels et prévus) les plus significatifs du changement climatique sur les ressources en moyens de subsistance et sur les systèmes agricoles ?oui</v>
      </c>
      <c r="K125" s="320" t="s">
        <v>989</v>
      </c>
    </row>
    <row r="126" spans="1:12" ht="191.25" x14ac:dyDescent="0.25">
      <c r="A126" s="588">
        <v>51</v>
      </c>
      <c r="B126" s="362" t="s">
        <v>1187</v>
      </c>
      <c r="C126" s="524" t="s">
        <v>830</v>
      </c>
      <c r="D126" s="806"/>
      <c r="E126" s="346" t="s">
        <v>1188</v>
      </c>
      <c r="F126" s="371" t="str">
        <f t="shared" si="6"/>
        <v>Changement climatique 51Tous</v>
      </c>
      <c r="G126" s="371" t="s">
        <v>1193</v>
      </c>
      <c r="H126" s="374" t="s">
        <v>1033</v>
      </c>
      <c r="I126" s="513" t="s">
        <v>830</v>
      </c>
      <c r="J126" s="585" t="str">
        <f t="shared" si="7"/>
        <v>Est-ce que la direction, les superviseurs et/ou le personnel technique ont accès aux informations, aux compétences et aux services appropriés concernant le changement climatique afin d’élaborer et d’utiliser les stratégies d’adaptation ?  non</v>
      </c>
      <c r="K126" s="323" t="s">
        <v>1194</v>
      </c>
    </row>
    <row r="127" spans="1:12" ht="191.25" x14ac:dyDescent="0.25">
      <c r="A127" s="588">
        <v>51</v>
      </c>
      <c r="B127" s="362" t="s">
        <v>1187</v>
      </c>
      <c r="C127" s="524" t="s">
        <v>830</v>
      </c>
      <c r="D127" s="807"/>
      <c r="E127" s="346" t="s">
        <v>1188</v>
      </c>
      <c r="F127" s="371" t="str">
        <f t="shared" si="6"/>
        <v>Changement climatique 51Tous</v>
      </c>
      <c r="G127" s="371" t="s">
        <v>1193</v>
      </c>
      <c r="H127" s="304" t="s">
        <v>990</v>
      </c>
      <c r="I127" s="513" t="s">
        <v>830</v>
      </c>
      <c r="J127" s="585" t="str">
        <f t="shared" si="7"/>
        <v>Est-ce que la direction, les superviseurs et/ou le personnel technique ont accès aux informations, aux compétences et aux services appropriés concernant le changement climatique afin d’élaborer et d’utiliser les stratégies d’adaptation ?  oui</v>
      </c>
      <c r="K127" s="320" t="s">
        <v>989</v>
      </c>
    </row>
    <row r="128" spans="1:12" ht="140.25" x14ac:dyDescent="0.25">
      <c r="A128" s="588">
        <v>52</v>
      </c>
      <c r="B128" s="362" t="s">
        <v>1187</v>
      </c>
      <c r="C128" s="511" t="s">
        <v>845</v>
      </c>
      <c r="D128" s="806"/>
      <c r="E128" s="554" t="s">
        <v>1188</v>
      </c>
      <c r="F128" s="371" t="str">
        <f t="shared" si="6"/>
        <v>Changement climatique 52Grand</v>
      </c>
      <c r="G128" s="527" t="s">
        <v>1195</v>
      </c>
      <c r="H128" s="551" t="s">
        <v>1033</v>
      </c>
      <c r="I128" s="513" t="s">
        <v>830</v>
      </c>
      <c r="J128" s="585" t="str">
        <f t="shared" si="7"/>
        <v>Est-ce que des mesures d’urgence pour agir en cas d’événements climatiques extrêmes et leurs impacts potentiels (c’est-à-dire le plan d’évacuation) ont été élaborées et mises en place ?non</v>
      </c>
      <c r="K128" s="323" t="s">
        <v>1196</v>
      </c>
    </row>
    <row r="129" spans="1:12" ht="140.25" x14ac:dyDescent="0.25">
      <c r="A129" s="588">
        <v>52</v>
      </c>
      <c r="B129" s="362" t="s">
        <v>1187</v>
      </c>
      <c r="C129" s="511" t="s">
        <v>845</v>
      </c>
      <c r="D129" s="808"/>
      <c r="E129" s="337" t="s">
        <v>1188</v>
      </c>
      <c r="F129" s="371" t="str">
        <f t="shared" si="6"/>
        <v>Changement climatique 52Grand</v>
      </c>
      <c r="G129" s="527" t="s">
        <v>1195</v>
      </c>
      <c r="H129" s="552" t="s">
        <v>990</v>
      </c>
      <c r="I129" s="512" t="s">
        <v>830</v>
      </c>
      <c r="J129" s="585" t="str">
        <f t="shared" si="7"/>
        <v>Est-ce que des mesures d’urgence pour agir en cas d’événements climatiques extrêmes et leurs impacts potentiels (c’est-à-dire le plan d’évacuation) ont été élaborées et mises en place ?oui</v>
      </c>
      <c r="K129" s="320" t="s">
        <v>989</v>
      </c>
    </row>
    <row r="130" spans="1:12" ht="140.25" x14ac:dyDescent="0.25">
      <c r="A130" s="589">
        <v>52</v>
      </c>
      <c r="B130" s="362" t="s">
        <v>1187</v>
      </c>
      <c r="C130" s="516" t="s">
        <v>837</v>
      </c>
      <c r="D130" s="398"/>
      <c r="E130" s="399" t="s">
        <v>1188</v>
      </c>
      <c r="F130" s="528" t="str">
        <f t="shared" si="6"/>
        <v>Changement climatique 52Certification de groupe</v>
      </c>
      <c r="G130" s="527" t="s">
        <v>1197</v>
      </c>
      <c r="H130" s="400" t="s">
        <v>1033</v>
      </c>
      <c r="I130" s="590" t="s">
        <v>830</v>
      </c>
      <c r="J130" s="585" t="str">
        <f t="shared" si="7"/>
        <v>Les membres du groupe ont-t-ils connaissance des mesures d’urgence permettant de faire face aux événements climatiques extrêmes et à leurs impacts potentiels (c’est-à-dire le plan d’évacuation) ?non</v>
      </c>
      <c r="K130" s="401" t="s">
        <v>1198</v>
      </c>
      <c r="L130" s="11" t="s">
        <v>1164</v>
      </c>
    </row>
    <row r="131" spans="1:12" ht="140.25" x14ac:dyDescent="0.25">
      <c r="A131" s="591">
        <v>52</v>
      </c>
      <c r="B131" s="362" t="s">
        <v>1187</v>
      </c>
      <c r="C131" s="516" t="s">
        <v>837</v>
      </c>
      <c r="D131" s="398"/>
      <c r="E131" s="402" t="s">
        <v>1188</v>
      </c>
      <c r="F131" s="529" t="str">
        <f t="shared" si="6"/>
        <v>Changement climatique 52Certification de groupe</v>
      </c>
      <c r="G131" s="527" t="s">
        <v>1197</v>
      </c>
      <c r="H131" s="400" t="s">
        <v>990</v>
      </c>
      <c r="I131" s="590" t="s">
        <v>830</v>
      </c>
      <c r="J131" s="585" t="str">
        <f t="shared" si="7"/>
        <v>Les membres du groupe ont-t-ils connaissance des mesures d’urgence permettant de faire face aux événements climatiques extrêmes et à leurs impacts potentiels (c’est-à-dire le plan d’évacuation) ?oui</v>
      </c>
      <c r="K131" s="320" t="s">
        <v>989</v>
      </c>
      <c r="L131" s="11" t="s">
        <v>1164</v>
      </c>
    </row>
  </sheetData>
  <sheetProtection algorithmName="SHA-512" hashValue="W/cT0iGtiEC8A3kw3GUuS3EF0j6E6n2vEm/Aq+LYu+DSCsqXNZL7c14JNnPQgmZrCsNUERQeSv9Hiv9inf0q0A==" saltValue="ZnpI7S/OdpsyzOS5aXdYGg==" spinCount="100000" sheet="1" formatColumns="0" formatRows="0"/>
  <mergeCells count="5">
    <mergeCell ref="E85:E86"/>
    <mergeCell ref="E87:E88"/>
    <mergeCell ref="D124:D125"/>
    <mergeCell ref="D126:D127"/>
    <mergeCell ref="D128:D129"/>
  </mergeCells>
  <pageMargins left="0.7" right="0.7" top="0.75" bottom="0.75" header="0.3" footer="0.3"/>
  <pageSetup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B5113-6911-478D-82E7-FF04A41B2D37}">
  <sheetPr>
    <tabColor rgb="FF00B0F0"/>
  </sheetPr>
  <dimension ref="A1"/>
  <sheetViews>
    <sheetView showGridLines="0" workbookViewId="0">
      <selection activeCell="A2" sqref="A2"/>
    </sheetView>
  </sheetViews>
  <sheetFormatPr defaultColWidth="9.140625" defaultRowHeight="15" x14ac:dyDescent="0.25"/>
  <sheetData/>
  <sheetProtection algorithmName="SHA-512" hashValue="ux1sAmTHrgUU+tmv122rnEVqCnsXG6luxKV7QEyVxcjJ+KX6EPyO+buGAuqLJCG37WeOgQeRXRsqoyefnsONVw==" saltValue="L47tegOgjfy9OE6XqtuWTQ==" spinCount="100000" sheet="1" objects="1" scenarios="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F40C-7854-4C1C-B3DA-15B7013BD3FC}">
  <sheetPr>
    <tabColor rgb="FF00B0F0"/>
  </sheetPr>
  <dimension ref="A1:I143"/>
  <sheetViews>
    <sheetView zoomScaleNormal="100" workbookViewId="0"/>
  </sheetViews>
  <sheetFormatPr defaultColWidth="9.140625" defaultRowHeight="15" x14ac:dyDescent="0.25"/>
  <cols>
    <col min="1" max="1" width="10.28515625" customWidth="1"/>
    <col min="2" max="2" width="15.7109375" customWidth="1"/>
    <col min="3" max="3" width="21.85546875" customWidth="1"/>
    <col min="4" max="4" width="35.28515625" customWidth="1"/>
    <col min="5" max="5" width="10.85546875" customWidth="1"/>
    <col min="6" max="6" width="96.5703125" customWidth="1"/>
    <col min="7" max="7" width="51.140625" style="407" customWidth="1"/>
    <col min="8" max="9" width="9.140625" style="407"/>
  </cols>
  <sheetData>
    <row r="1" spans="1:7" ht="47.25" x14ac:dyDescent="0.25">
      <c r="A1" s="533" t="s">
        <v>5</v>
      </c>
      <c r="B1" s="534" t="s">
        <v>1220</v>
      </c>
      <c r="C1" s="535" t="s">
        <v>979</v>
      </c>
      <c r="D1" s="536" t="s">
        <v>1221</v>
      </c>
      <c r="E1" s="536" t="s">
        <v>981</v>
      </c>
      <c r="F1" s="534" t="s">
        <v>1222</v>
      </c>
      <c r="G1" s="596" t="s">
        <v>1223</v>
      </c>
    </row>
    <row r="2" spans="1:7" ht="41.25" customHeight="1" x14ac:dyDescent="0.25">
      <c r="A2" s="849">
        <v>1</v>
      </c>
      <c r="B2" s="852" t="s">
        <v>1057</v>
      </c>
      <c r="C2" s="811" t="s">
        <v>1058</v>
      </c>
      <c r="D2" s="645" t="s">
        <v>1224</v>
      </c>
      <c r="E2" s="597" t="s">
        <v>874</v>
      </c>
      <c r="F2" s="180" t="s">
        <v>1225</v>
      </c>
      <c r="G2" s="483"/>
    </row>
    <row r="3" spans="1:7" ht="67.5" customHeight="1" x14ac:dyDescent="0.25">
      <c r="A3" s="849"/>
      <c r="B3" s="853"/>
      <c r="C3" s="823"/>
      <c r="D3" s="647"/>
      <c r="E3" s="597" t="s">
        <v>867</v>
      </c>
      <c r="F3" s="180" t="s">
        <v>1226</v>
      </c>
      <c r="G3" s="483"/>
    </row>
    <row r="4" spans="1:7" ht="85.5" customHeight="1" x14ac:dyDescent="0.25">
      <c r="A4" s="847">
        <v>2</v>
      </c>
      <c r="B4" s="820" t="s">
        <v>1063</v>
      </c>
      <c r="C4" s="815" t="s">
        <v>1227</v>
      </c>
      <c r="D4" s="817" t="s">
        <v>1228</v>
      </c>
      <c r="E4" s="537" t="s">
        <v>874</v>
      </c>
      <c r="F4" s="538" t="s">
        <v>1229</v>
      </c>
      <c r="G4" s="483"/>
    </row>
    <row r="5" spans="1:7" ht="27.75" customHeight="1" x14ac:dyDescent="0.25">
      <c r="A5" s="847"/>
      <c r="B5" s="821"/>
      <c r="C5" s="816"/>
      <c r="D5" s="818"/>
      <c r="E5" s="537" t="s">
        <v>867</v>
      </c>
      <c r="F5" s="538" t="s">
        <v>989</v>
      </c>
      <c r="G5" s="483"/>
    </row>
    <row r="6" spans="1:7" ht="23.25" customHeight="1" x14ac:dyDescent="0.25">
      <c r="A6" s="809">
        <v>3</v>
      </c>
      <c r="B6" s="821"/>
      <c r="C6" s="696" t="s">
        <v>1227</v>
      </c>
      <c r="D6" s="645" t="s">
        <v>1068</v>
      </c>
      <c r="E6" s="597" t="s">
        <v>874</v>
      </c>
      <c r="F6" s="598" t="s">
        <v>989</v>
      </c>
      <c r="G6" s="483"/>
    </row>
    <row r="7" spans="1:7" ht="44.25" customHeight="1" x14ac:dyDescent="0.25">
      <c r="A7" s="819"/>
      <c r="B7" s="821"/>
      <c r="C7" s="697"/>
      <c r="D7" s="647"/>
      <c r="E7" s="597" t="s">
        <v>867</v>
      </c>
      <c r="F7" s="186" t="s">
        <v>1069</v>
      </c>
      <c r="G7" s="483"/>
    </row>
    <row r="8" spans="1:7" ht="23.25" customHeight="1" x14ac:dyDescent="0.25">
      <c r="A8" s="854">
        <v>4</v>
      </c>
      <c r="B8" s="821"/>
      <c r="C8" s="815" t="s">
        <v>1070</v>
      </c>
      <c r="D8" s="857" t="s">
        <v>1230</v>
      </c>
      <c r="E8" s="537" t="s">
        <v>874</v>
      </c>
      <c r="F8" s="539" t="s">
        <v>989</v>
      </c>
      <c r="G8" s="483"/>
    </row>
    <row r="9" spans="1:7" ht="15" customHeight="1" x14ac:dyDescent="0.25">
      <c r="A9" s="855"/>
      <c r="B9" s="821"/>
      <c r="C9" s="848"/>
      <c r="D9" s="858"/>
      <c r="E9" s="837" t="s">
        <v>1231</v>
      </c>
      <c r="F9" s="850" t="s">
        <v>1074</v>
      </c>
      <c r="G9" s="483"/>
    </row>
    <row r="10" spans="1:7" ht="54" customHeight="1" x14ac:dyDescent="0.25">
      <c r="A10" s="856"/>
      <c r="B10" s="821"/>
      <c r="C10" s="816"/>
      <c r="D10" s="859"/>
      <c r="E10" s="838"/>
      <c r="F10" s="851"/>
      <c r="G10" s="483"/>
    </row>
    <row r="11" spans="1:7" ht="22.5" customHeight="1" x14ac:dyDescent="0.25">
      <c r="A11" s="809">
        <v>5</v>
      </c>
      <c r="B11" s="821"/>
      <c r="C11" s="811" t="s">
        <v>1070</v>
      </c>
      <c r="D11" s="645" t="s">
        <v>1232</v>
      </c>
      <c r="E11" s="597" t="s">
        <v>874</v>
      </c>
      <c r="F11" s="599" t="s">
        <v>989</v>
      </c>
      <c r="G11" s="483"/>
    </row>
    <row r="12" spans="1:7" ht="145.5" customHeight="1" x14ac:dyDescent="0.25">
      <c r="A12" s="819"/>
      <c r="B12" s="821"/>
      <c r="C12" s="823"/>
      <c r="D12" s="647"/>
      <c r="E12" s="597" t="s">
        <v>867</v>
      </c>
      <c r="F12" s="600" t="s">
        <v>1233</v>
      </c>
      <c r="G12" s="483"/>
    </row>
    <row r="13" spans="1:7" ht="39" customHeight="1" x14ac:dyDescent="0.25">
      <c r="A13" s="847">
        <v>6</v>
      </c>
      <c r="B13" s="821"/>
      <c r="C13" s="815" t="s">
        <v>1075</v>
      </c>
      <c r="D13" s="817" t="s">
        <v>1079</v>
      </c>
      <c r="E13" s="540" t="s">
        <v>874</v>
      </c>
      <c r="F13" s="541" t="s">
        <v>1234</v>
      </c>
      <c r="G13" s="483"/>
    </row>
    <row r="14" spans="1:7" ht="125.25" customHeight="1" x14ac:dyDescent="0.25">
      <c r="A14" s="847"/>
      <c r="B14" s="821"/>
      <c r="C14" s="816"/>
      <c r="D14" s="818"/>
      <c r="E14" s="537" t="s">
        <v>867</v>
      </c>
      <c r="F14" s="542" t="s">
        <v>1235</v>
      </c>
      <c r="G14" s="483"/>
    </row>
    <row r="15" spans="1:7" ht="69" customHeight="1" x14ac:dyDescent="0.25">
      <c r="A15" s="849">
        <v>7</v>
      </c>
      <c r="B15" s="821"/>
      <c r="C15" s="811" t="s">
        <v>1083</v>
      </c>
      <c r="D15" s="645" t="s">
        <v>1236</v>
      </c>
      <c r="E15" s="597" t="s">
        <v>874</v>
      </c>
      <c r="F15" s="180" t="s">
        <v>1237</v>
      </c>
      <c r="G15" s="483"/>
    </row>
    <row r="16" spans="1:7" ht="112.5" customHeight="1" x14ac:dyDescent="0.25">
      <c r="A16" s="849"/>
      <c r="B16" s="821"/>
      <c r="C16" s="840"/>
      <c r="D16" s="646"/>
      <c r="E16" s="841" t="s">
        <v>1231</v>
      </c>
      <c r="F16" s="696" t="s">
        <v>1238</v>
      </c>
      <c r="G16" s="483"/>
    </row>
    <row r="17" spans="1:7" ht="118.5" customHeight="1" x14ac:dyDescent="0.25">
      <c r="A17" s="849"/>
      <c r="B17" s="821"/>
      <c r="C17" s="823"/>
      <c r="D17" s="647"/>
      <c r="E17" s="842"/>
      <c r="F17" s="697"/>
      <c r="G17" s="483"/>
    </row>
    <row r="18" spans="1:7" x14ac:dyDescent="0.25">
      <c r="A18" s="847">
        <v>8</v>
      </c>
      <c r="B18" s="821"/>
      <c r="C18" s="815" t="s">
        <v>153</v>
      </c>
      <c r="D18" s="817" t="s">
        <v>1095</v>
      </c>
      <c r="E18" s="837" t="s">
        <v>874</v>
      </c>
      <c r="F18" s="826" t="s">
        <v>1239</v>
      </c>
      <c r="G18" s="483"/>
    </row>
    <row r="19" spans="1:7" ht="33.75" customHeight="1" x14ac:dyDescent="0.25">
      <c r="A19" s="847"/>
      <c r="B19" s="821"/>
      <c r="C19" s="848"/>
      <c r="D19" s="829"/>
      <c r="E19" s="838"/>
      <c r="F19" s="827"/>
      <c r="G19" s="483"/>
    </row>
    <row r="20" spans="1:7" ht="25.5" customHeight="1" x14ac:dyDescent="0.25">
      <c r="A20" s="847"/>
      <c r="B20" s="821"/>
      <c r="C20" s="848"/>
      <c r="D20" s="829"/>
      <c r="E20" s="837" t="s">
        <v>867</v>
      </c>
      <c r="F20" s="826" t="s">
        <v>1240</v>
      </c>
      <c r="G20" s="483"/>
    </row>
    <row r="21" spans="1:7" ht="36" customHeight="1" x14ac:dyDescent="0.25">
      <c r="A21" s="847"/>
      <c r="B21" s="821"/>
      <c r="C21" s="816"/>
      <c r="D21" s="818"/>
      <c r="E21" s="838"/>
      <c r="F21" s="827"/>
      <c r="G21" s="483"/>
    </row>
    <row r="22" spans="1:7" ht="81" customHeight="1" x14ac:dyDescent="0.25">
      <c r="A22" s="809">
        <v>9</v>
      </c>
      <c r="B22" s="821"/>
      <c r="C22" s="811" t="s">
        <v>1098</v>
      </c>
      <c r="D22" s="645" t="s">
        <v>1241</v>
      </c>
      <c r="E22" s="841" t="s">
        <v>874</v>
      </c>
      <c r="F22" s="696" t="s">
        <v>1242</v>
      </c>
      <c r="G22" s="483"/>
    </row>
    <row r="23" spans="1:7" ht="125.25" customHeight="1" x14ac:dyDescent="0.25">
      <c r="A23" s="839"/>
      <c r="B23" s="821"/>
      <c r="C23" s="840"/>
      <c r="D23" s="646"/>
      <c r="E23" s="842"/>
      <c r="F23" s="843"/>
      <c r="G23" s="483"/>
    </row>
    <row r="24" spans="1:7" ht="53.25" customHeight="1" x14ac:dyDescent="0.25">
      <c r="A24" s="839"/>
      <c r="B24" s="821"/>
      <c r="C24" s="840"/>
      <c r="D24" s="646"/>
      <c r="E24" s="841" t="s">
        <v>1231</v>
      </c>
      <c r="F24" s="845" t="s">
        <v>1243</v>
      </c>
      <c r="G24" s="483"/>
    </row>
    <row r="25" spans="1:7" ht="78.75" customHeight="1" x14ac:dyDescent="0.25">
      <c r="A25" s="834"/>
      <c r="B25" s="821"/>
      <c r="C25" s="840"/>
      <c r="D25" s="646"/>
      <c r="E25" s="844"/>
      <c r="F25" s="846"/>
      <c r="G25" s="483"/>
    </row>
    <row r="26" spans="1:7" ht="295.5" customHeight="1" x14ac:dyDescent="0.25">
      <c r="A26" s="830">
        <v>10</v>
      </c>
      <c r="B26" s="821"/>
      <c r="C26" s="831" t="s">
        <v>1107</v>
      </c>
      <c r="D26" s="832" t="s">
        <v>1244</v>
      </c>
      <c r="E26" s="556" t="s">
        <v>874</v>
      </c>
      <c r="F26" s="541" t="s">
        <v>1245</v>
      </c>
      <c r="G26" s="483"/>
    </row>
    <row r="27" spans="1:7" ht="19.5" customHeight="1" x14ac:dyDescent="0.25">
      <c r="A27" s="830"/>
      <c r="B27" s="821"/>
      <c r="C27" s="831"/>
      <c r="D27" s="832"/>
      <c r="E27" s="833" t="s">
        <v>867</v>
      </c>
      <c r="F27" s="831" t="s">
        <v>989</v>
      </c>
      <c r="G27" s="483"/>
    </row>
    <row r="28" spans="1:7" ht="2.25" customHeight="1" x14ac:dyDescent="0.25">
      <c r="A28" s="825"/>
      <c r="B28" s="821"/>
      <c r="C28" s="831"/>
      <c r="D28" s="832"/>
      <c r="E28" s="833"/>
      <c r="F28" s="831"/>
      <c r="G28" s="483"/>
    </row>
    <row r="29" spans="1:7" ht="147" customHeight="1" x14ac:dyDescent="0.25">
      <c r="A29" s="809">
        <v>11</v>
      </c>
      <c r="B29" s="821"/>
      <c r="C29" s="835" t="s">
        <v>1112</v>
      </c>
      <c r="D29" s="646" t="s">
        <v>1246</v>
      </c>
      <c r="E29" s="601" t="s">
        <v>874</v>
      </c>
      <c r="F29" s="543" t="s">
        <v>1247</v>
      </c>
      <c r="G29" s="483"/>
    </row>
    <row r="30" spans="1:7" ht="22.5" customHeight="1" x14ac:dyDescent="0.25">
      <c r="A30" s="834"/>
      <c r="B30" s="821"/>
      <c r="C30" s="704"/>
      <c r="D30" s="836"/>
      <c r="E30" s="597" t="s">
        <v>867</v>
      </c>
      <c r="F30" s="602" t="s">
        <v>989</v>
      </c>
      <c r="G30" s="483"/>
    </row>
    <row r="31" spans="1:7" ht="61.5" customHeight="1" x14ac:dyDescent="0.25">
      <c r="A31" s="828">
        <v>12</v>
      </c>
      <c r="B31" s="821"/>
      <c r="C31" s="815" t="s">
        <v>1117</v>
      </c>
      <c r="D31" s="829" t="s">
        <v>1248</v>
      </c>
      <c r="E31" s="540" t="s">
        <v>1249</v>
      </c>
      <c r="F31" s="555" t="s">
        <v>1250</v>
      </c>
      <c r="G31" s="483"/>
    </row>
    <row r="32" spans="1:7" ht="30.75" customHeight="1" x14ac:dyDescent="0.25">
      <c r="A32" s="825"/>
      <c r="B32" s="821"/>
      <c r="C32" s="816"/>
      <c r="D32" s="818"/>
      <c r="E32" s="540" t="s">
        <v>867</v>
      </c>
      <c r="F32" s="544" t="s">
        <v>989</v>
      </c>
      <c r="G32" s="483"/>
    </row>
    <row r="33" spans="1:7" ht="110.25" customHeight="1" x14ac:dyDescent="0.25">
      <c r="A33" s="809">
        <v>13</v>
      </c>
      <c r="B33" s="821"/>
      <c r="C33" s="811" t="s">
        <v>1120</v>
      </c>
      <c r="D33" s="645" t="s">
        <v>1121</v>
      </c>
      <c r="E33" s="603" t="s">
        <v>874</v>
      </c>
      <c r="F33" s="92" t="s">
        <v>1251</v>
      </c>
      <c r="G33" s="483"/>
    </row>
    <row r="34" spans="1:7" ht="27.75" customHeight="1" x14ac:dyDescent="0.25">
      <c r="A34" s="819"/>
      <c r="B34" s="821"/>
      <c r="C34" s="823"/>
      <c r="D34" s="647"/>
      <c r="E34" s="603" t="s">
        <v>867</v>
      </c>
      <c r="F34" s="92" t="s">
        <v>989</v>
      </c>
      <c r="G34" s="483"/>
    </row>
    <row r="35" spans="1:7" ht="92.25" customHeight="1" x14ac:dyDescent="0.25">
      <c r="A35" s="814">
        <v>14</v>
      </c>
      <c r="B35" s="821"/>
      <c r="C35" s="815" t="s">
        <v>1123</v>
      </c>
      <c r="D35" s="817" t="s">
        <v>1252</v>
      </c>
      <c r="E35" s="540" t="s">
        <v>874</v>
      </c>
      <c r="F35" s="541" t="s">
        <v>1253</v>
      </c>
      <c r="G35" s="483"/>
    </row>
    <row r="36" spans="1:7" ht="24" customHeight="1" x14ac:dyDescent="0.25">
      <c r="A36" s="814"/>
      <c r="B36" s="821"/>
      <c r="C36" s="816"/>
      <c r="D36" s="818"/>
      <c r="E36" s="540" t="s">
        <v>867</v>
      </c>
      <c r="F36" s="541" t="s">
        <v>989</v>
      </c>
      <c r="G36" s="483"/>
    </row>
    <row r="37" spans="1:7" ht="25.5" customHeight="1" x14ac:dyDescent="0.25">
      <c r="A37" s="809">
        <v>15</v>
      </c>
      <c r="B37" s="820" t="s">
        <v>1254</v>
      </c>
      <c r="C37" s="811" t="s">
        <v>1127</v>
      </c>
      <c r="D37" s="645" t="s">
        <v>1255</v>
      </c>
      <c r="E37" s="603" t="s">
        <v>874</v>
      </c>
      <c r="F37" s="604" t="s">
        <v>1129</v>
      </c>
      <c r="G37" s="483"/>
    </row>
    <row r="38" spans="1:7" ht="90.75" customHeight="1" x14ac:dyDescent="0.25">
      <c r="A38" s="819"/>
      <c r="B38" s="821"/>
      <c r="C38" s="823"/>
      <c r="D38" s="647"/>
      <c r="E38" s="603" t="s">
        <v>867</v>
      </c>
      <c r="F38" s="92" t="s">
        <v>1256</v>
      </c>
      <c r="G38" s="483"/>
    </row>
    <row r="39" spans="1:7" ht="27" customHeight="1" x14ac:dyDescent="0.25">
      <c r="A39" s="824">
        <v>16</v>
      </c>
      <c r="B39" s="821"/>
      <c r="C39" s="826" t="s">
        <v>1134</v>
      </c>
      <c r="D39" s="817" t="s">
        <v>1257</v>
      </c>
      <c r="E39" s="540" t="s">
        <v>874</v>
      </c>
      <c r="F39" s="541" t="s">
        <v>989</v>
      </c>
      <c r="G39" s="483"/>
    </row>
    <row r="40" spans="1:7" ht="156.75" customHeight="1" x14ac:dyDescent="0.25">
      <c r="A40" s="825"/>
      <c r="B40" s="821"/>
      <c r="C40" s="827"/>
      <c r="D40" s="818"/>
      <c r="E40" s="540" t="s">
        <v>867</v>
      </c>
      <c r="F40" s="545" t="s">
        <v>1258</v>
      </c>
      <c r="G40" s="483"/>
    </row>
    <row r="41" spans="1:7" ht="41.25" customHeight="1" x14ac:dyDescent="0.25">
      <c r="A41" s="809">
        <v>17</v>
      </c>
      <c r="B41" s="821"/>
      <c r="C41" s="811" t="s">
        <v>1259</v>
      </c>
      <c r="D41" s="645" t="s">
        <v>1260</v>
      </c>
      <c r="E41" s="603" t="s">
        <v>874</v>
      </c>
      <c r="F41" s="92" t="s">
        <v>1261</v>
      </c>
      <c r="G41" s="483"/>
    </row>
    <row r="42" spans="1:7" ht="105" customHeight="1" thickBot="1" x14ac:dyDescent="0.3">
      <c r="A42" s="810"/>
      <c r="B42" s="822"/>
      <c r="C42" s="812"/>
      <c r="D42" s="813"/>
      <c r="E42" s="605" t="s">
        <v>867</v>
      </c>
      <c r="F42" s="606" t="s">
        <v>1262</v>
      </c>
      <c r="G42" s="607"/>
    </row>
    <row r="43" spans="1:7" x14ac:dyDescent="0.25">
      <c r="A43" s="109"/>
      <c r="B43" s="109"/>
      <c r="C43" s="109"/>
      <c r="D43" s="109"/>
      <c r="E43" s="109"/>
      <c r="F43" s="109"/>
    </row>
    <row r="44" spans="1:7" x14ac:dyDescent="0.25">
      <c r="A44" s="109"/>
      <c r="B44" s="109"/>
      <c r="C44" s="109"/>
      <c r="D44" s="109"/>
      <c r="E44" s="109"/>
      <c r="F44" s="109"/>
    </row>
    <row r="45" spans="1:7" x14ac:dyDescent="0.25">
      <c r="A45" s="109"/>
      <c r="B45" s="109"/>
      <c r="C45" s="109"/>
      <c r="D45" s="109"/>
      <c r="E45" s="109"/>
      <c r="F45" s="109"/>
    </row>
    <row r="46" spans="1:7" x14ac:dyDescent="0.25">
      <c r="A46" s="109"/>
      <c r="B46" s="109"/>
      <c r="C46" s="109"/>
      <c r="D46" s="109"/>
      <c r="E46" s="109"/>
      <c r="F46" s="109"/>
    </row>
    <row r="47" spans="1:7" x14ac:dyDescent="0.25">
      <c r="A47" s="109"/>
      <c r="B47" s="109"/>
      <c r="C47" s="109"/>
      <c r="D47" s="109"/>
      <c r="E47" s="109"/>
      <c r="F47" s="109"/>
    </row>
    <row r="48" spans="1:7" x14ac:dyDescent="0.25">
      <c r="A48" s="109"/>
      <c r="B48" s="109"/>
      <c r="C48" s="109"/>
      <c r="D48" s="109"/>
      <c r="E48" s="109"/>
      <c r="F48" s="109"/>
    </row>
    <row r="49" spans="1:6" x14ac:dyDescent="0.25">
      <c r="A49" s="109"/>
      <c r="B49" s="109"/>
      <c r="C49" s="109"/>
      <c r="D49" s="109"/>
      <c r="E49" s="109"/>
      <c r="F49" s="109"/>
    </row>
    <row r="50" spans="1:6" x14ac:dyDescent="0.25">
      <c r="A50" s="109"/>
      <c r="B50" s="109"/>
      <c r="C50" s="109"/>
      <c r="D50" s="109"/>
      <c r="E50" s="109"/>
      <c r="F50" s="109"/>
    </row>
    <row r="51" spans="1:6" x14ac:dyDescent="0.25">
      <c r="A51" s="109"/>
      <c r="B51" s="109"/>
      <c r="C51" s="109"/>
      <c r="D51" s="109"/>
      <c r="E51" s="109"/>
      <c r="F51" s="109"/>
    </row>
    <row r="52" spans="1:6" x14ac:dyDescent="0.25">
      <c r="A52" s="109"/>
      <c r="B52" s="109"/>
      <c r="C52" s="109"/>
      <c r="D52" s="109"/>
      <c r="E52" s="109"/>
      <c r="F52" s="109"/>
    </row>
    <row r="53" spans="1:6" x14ac:dyDescent="0.25">
      <c r="A53" s="109"/>
      <c r="B53" s="109"/>
      <c r="C53" s="109"/>
      <c r="D53" s="109"/>
      <c r="E53" s="109"/>
      <c r="F53" s="109"/>
    </row>
    <row r="54" spans="1:6" x14ac:dyDescent="0.25">
      <c r="A54" s="109"/>
      <c r="B54" s="109"/>
      <c r="C54" s="109"/>
      <c r="D54" s="109"/>
      <c r="E54" s="109"/>
      <c r="F54" s="109"/>
    </row>
    <row r="55" spans="1:6" x14ac:dyDescent="0.25">
      <c r="A55" s="109"/>
      <c r="B55" s="109"/>
      <c r="C55" s="109"/>
      <c r="D55" s="109"/>
      <c r="E55" s="109"/>
      <c r="F55" s="109"/>
    </row>
    <row r="56" spans="1:6" x14ac:dyDescent="0.25">
      <c r="A56" s="109"/>
      <c r="B56" s="109"/>
      <c r="C56" s="109"/>
      <c r="D56" s="109"/>
      <c r="E56" s="109"/>
      <c r="F56" s="109"/>
    </row>
    <row r="57" spans="1:6" x14ac:dyDescent="0.25">
      <c r="A57" s="109"/>
      <c r="B57" s="109"/>
      <c r="C57" s="109"/>
      <c r="D57" s="109"/>
      <c r="E57" s="109"/>
      <c r="F57" s="109"/>
    </row>
    <row r="58" spans="1:6" x14ac:dyDescent="0.25">
      <c r="A58" s="109"/>
      <c r="B58" s="109"/>
      <c r="C58" s="109"/>
      <c r="D58" s="109"/>
      <c r="E58" s="109"/>
      <c r="F58" s="109"/>
    </row>
    <row r="59" spans="1:6" x14ac:dyDescent="0.25">
      <c r="A59" s="109"/>
      <c r="B59" s="109"/>
      <c r="C59" s="109"/>
      <c r="D59" s="109"/>
      <c r="E59" s="109"/>
      <c r="F59" s="109"/>
    </row>
    <row r="60" spans="1:6" x14ac:dyDescent="0.25">
      <c r="A60" s="109"/>
      <c r="B60" s="109"/>
      <c r="C60" s="109"/>
      <c r="D60" s="109"/>
      <c r="E60" s="109"/>
      <c r="F60" s="109"/>
    </row>
    <row r="61" spans="1:6" x14ac:dyDescent="0.25">
      <c r="A61" s="109"/>
      <c r="B61" s="109"/>
      <c r="C61" s="109"/>
      <c r="D61" s="109"/>
      <c r="E61" s="109"/>
      <c r="F61" s="109"/>
    </row>
    <row r="62" spans="1:6" x14ac:dyDescent="0.25">
      <c r="A62" s="109"/>
      <c r="B62" s="109"/>
      <c r="C62" s="109"/>
      <c r="D62" s="109"/>
      <c r="E62" s="109"/>
      <c r="F62" s="109"/>
    </row>
    <row r="63" spans="1:6" x14ac:dyDescent="0.25">
      <c r="A63" s="109"/>
      <c r="B63" s="109"/>
      <c r="C63" s="109"/>
      <c r="D63" s="109"/>
      <c r="E63" s="109"/>
      <c r="F63" s="109"/>
    </row>
    <row r="64" spans="1:6" x14ac:dyDescent="0.25">
      <c r="A64" s="109"/>
      <c r="B64" s="109"/>
      <c r="C64" s="109"/>
      <c r="D64" s="109"/>
      <c r="E64" s="109"/>
      <c r="F64" s="109"/>
    </row>
    <row r="65" spans="1:6" x14ac:dyDescent="0.25">
      <c r="A65" s="109"/>
      <c r="B65" s="109"/>
      <c r="C65" s="109"/>
      <c r="D65" s="109"/>
      <c r="E65" s="109"/>
      <c r="F65" s="109"/>
    </row>
    <row r="66" spans="1:6" x14ac:dyDescent="0.25">
      <c r="A66" s="109"/>
      <c r="B66" s="109"/>
      <c r="C66" s="109"/>
      <c r="D66" s="109"/>
      <c r="E66" s="109"/>
      <c r="F66" s="109"/>
    </row>
    <row r="67" spans="1:6" x14ac:dyDescent="0.25">
      <c r="A67" s="109"/>
      <c r="B67" s="109"/>
      <c r="C67" s="109"/>
      <c r="D67" s="109"/>
      <c r="E67" s="109"/>
      <c r="F67" s="109"/>
    </row>
    <row r="68" spans="1:6" x14ac:dyDescent="0.25">
      <c r="A68" s="109"/>
      <c r="B68" s="109"/>
      <c r="C68" s="109"/>
      <c r="D68" s="109"/>
      <c r="E68" s="109"/>
      <c r="F68" s="109"/>
    </row>
    <row r="69" spans="1:6" x14ac:dyDescent="0.25">
      <c r="A69" s="109"/>
      <c r="B69" s="109"/>
      <c r="C69" s="109"/>
      <c r="D69" s="109"/>
      <c r="E69" s="109"/>
      <c r="F69" s="109"/>
    </row>
    <row r="70" spans="1:6" x14ac:dyDescent="0.25">
      <c r="A70" s="109"/>
      <c r="B70" s="109"/>
      <c r="C70" s="109"/>
      <c r="D70" s="109"/>
      <c r="E70" s="109"/>
      <c r="F70" s="109"/>
    </row>
    <row r="71" spans="1:6" x14ac:dyDescent="0.25">
      <c r="A71" s="109"/>
      <c r="B71" s="109"/>
      <c r="C71" s="109"/>
      <c r="D71" s="109"/>
      <c r="E71" s="109"/>
      <c r="F71" s="109"/>
    </row>
    <row r="72" spans="1:6" x14ac:dyDescent="0.25">
      <c r="A72" s="109"/>
      <c r="B72" s="109"/>
      <c r="C72" s="109"/>
      <c r="D72" s="109"/>
      <c r="E72" s="109"/>
      <c r="F72" s="109"/>
    </row>
    <row r="73" spans="1:6" x14ac:dyDescent="0.25">
      <c r="A73" s="109"/>
      <c r="B73" s="109"/>
      <c r="C73" s="109"/>
      <c r="D73" s="109"/>
      <c r="E73" s="109"/>
      <c r="F73" s="109"/>
    </row>
    <row r="74" spans="1:6" x14ac:dyDescent="0.25">
      <c r="A74" s="109"/>
      <c r="B74" s="109"/>
      <c r="C74" s="109"/>
      <c r="D74" s="109"/>
      <c r="E74" s="109"/>
      <c r="F74" s="109"/>
    </row>
    <row r="75" spans="1:6" x14ac:dyDescent="0.25">
      <c r="A75" s="109"/>
      <c r="B75" s="109"/>
      <c r="C75" s="109"/>
      <c r="D75" s="109"/>
      <c r="E75" s="109"/>
      <c r="F75" s="109"/>
    </row>
    <row r="76" spans="1:6" x14ac:dyDescent="0.25">
      <c r="A76" s="109"/>
      <c r="B76" s="109"/>
      <c r="C76" s="109"/>
      <c r="D76" s="109"/>
      <c r="E76" s="109"/>
      <c r="F76" s="109"/>
    </row>
    <row r="77" spans="1:6" x14ac:dyDescent="0.25">
      <c r="A77" s="109"/>
      <c r="B77" s="109"/>
      <c r="C77" s="109"/>
      <c r="D77" s="109"/>
      <c r="E77" s="109"/>
      <c r="F77" s="109"/>
    </row>
    <row r="78" spans="1:6" x14ac:dyDescent="0.25">
      <c r="A78" s="109"/>
      <c r="B78" s="109"/>
      <c r="C78" s="109"/>
      <c r="D78" s="109"/>
      <c r="E78" s="109"/>
      <c r="F78" s="109"/>
    </row>
    <row r="79" spans="1:6" x14ac:dyDescent="0.25">
      <c r="A79" s="109"/>
      <c r="B79" s="109"/>
      <c r="C79" s="109"/>
      <c r="D79" s="109"/>
      <c r="E79" s="109"/>
      <c r="F79" s="109"/>
    </row>
    <row r="80" spans="1:6" x14ac:dyDescent="0.25">
      <c r="A80" s="109"/>
      <c r="B80" s="109"/>
      <c r="C80" s="109"/>
      <c r="D80" s="109"/>
      <c r="E80" s="109"/>
      <c r="F80" s="109"/>
    </row>
    <row r="81" spans="1:6" x14ac:dyDescent="0.25">
      <c r="A81" s="109"/>
      <c r="B81" s="109"/>
      <c r="C81" s="109"/>
      <c r="D81" s="109"/>
      <c r="E81" s="109"/>
      <c r="F81" s="109"/>
    </row>
    <row r="82" spans="1:6" x14ac:dyDescent="0.25">
      <c r="A82" s="109"/>
      <c r="B82" s="109"/>
      <c r="C82" s="109"/>
      <c r="D82" s="109"/>
      <c r="E82" s="109"/>
      <c r="F82" s="109"/>
    </row>
    <row r="83" spans="1:6" x14ac:dyDescent="0.25">
      <c r="A83" s="109"/>
      <c r="B83" s="109"/>
      <c r="C83" s="109"/>
      <c r="D83" s="109"/>
      <c r="E83" s="109"/>
      <c r="F83" s="109"/>
    </row>
    <row r="84" spans="1:6" x14ac:dyDescent="0.25">
      <c r="A84" s="109"/>
      <c r="B84" s="109"/>
      <c r="C84" s="109"/>
      <c r="D84" s="109"/>
      <c r="E84" s="109"/>
      <c r="F84" s="109"/>
    </row>
    <row r="85" spans="1:6" x14ac:dyDescent="0.25">
      <c r="A85" s="109"/>
      <c r="B85" s="109"/>
      <c r="C85" s="109"/>
      <c r="D85" s="109"/>
      <c r="E85" s="109"/>
      <c r="F85" s="109"/>
    </row>
    <row r="86" spans="1:6" x14ac:dyDescent="0.25">
      <c r="A86" s="109"/>
      <c r="B86" s="109"/>
      <c r="C86" s="109"/>
      <c r="D86" s="109"/>
      <c r="E86" s="109"/>
      <c r="F86" s="109"/>
    </row>
    <row r="87" spans="1:6" x14ac:dyDescent="0.25">
      <c r="A87" s="109"/>
      <c r="B87" s="109"/>
      <c r="C87" s="109"/>
      <c r="D87" s="109"/>
      <c r="E87" s="109"/>
      <c r="F87" s="109"/>
    </row>
    <row r="88" spans="1:6" x14ac:dyDescent="0.25">
      <c r="A88" s="109"/>
      <c r="B88" s="109"/>
      <c r="C88" s="109"/>
      <c r="D88" s="109"/>
      <c r="E88" s="109"/>
      <c r="F88" s="109"/>
    </row>
    <row r="89" spans="1:6" x14ac:dyDescent="0.25">
      <c r="A89" s="109"/>
      <c r="B89" s="109"/>
      <c r="C89" s="109"/>
      <c r="D89" s="109"/>
      <c r="E89" s="109"/>
      <c r="F89" s="109"/>
    </row>
    <row r="90" spans="1:6" x14ac:dyDescent="0.25">
      <c r="A90" s="109"/>
      <c r="B90" s="109"/>
      <c r="C90" s="109"/>
      <c r="D90" s="109"/>
      <c r="E90" s="109"/>
      <c r="F90" s="109"/>
    </row>
    <row r="91" spans="1:6" x14ac:dyDescent="0.25">
      <c r="A91" s="109"/>
      <c r="B91" s="109"/>
      <c r="C91" s="109"/>
      <c r="D91" s="109"/>
      <c r="E91" s="109"/>
      <c r="F91" s="109"/>
    </row>
    <row r="92" spans="1:6" x14ac:dyDescent="0.25">
      <c r="A92" s="109"/>
      <c r="B92" s="109"/>
      <c r="C92" s="109"/>
      <c r="D92" s="109"/>
      <c r="E92" s="109"/>
      <c r="F92" s="109"/>
    </row>
    <row r="93" spans="1:6" x14ac:dyDescent="0.25">
      <c r="A93" s="109"/>
      <c r="B93" s="109"/>
      <c r="C93" s="109"/>
      <c r="D93" s="109"/>
      <c r="E93" s="109"/>
      <c r="F93" s="109"/>
    </row>
    <row r="94" spans="1:6" x14ac:dyDescent="0.25">
      <c r="A94" s="109"/>
      <c r="B94" s="109"/>
      <c r="C94" s="109"/>
      <c r="D94" s="109"/>
      <c r="E94" s="109"/>
      <c r="F94" s="109"/>
    </row>
    <row r="95" spans="1:6" x14ac:dyDescent="0.25">
      <c r="A95" s="109"/>
      <c r="B95" s="109"/>
      <c r="C95" s="109"/>
      <c r="D95" s="109"/>
      <c r="E95" s="109"/>
      <c r="F95" s="109"/>
    </row>
    <row r="96" spans="1:6" x14ac:dyDescent="0.25">
      <c r="A96" s="109"/>
      <c r="B96" s="109"/>
      <c r="C96" s="109"/>
      <c r="D96" s="109"/>
      <c r="E96" s="109"/>
      <c r="F96" s="109"/>
    </row>
    <row r="97" spans="1:6" x14ac:dyDescent="0.25">
      <c r="A97" s="109"/>
      <c r="B97" s="109"/>
      <c r="C97" s="109"/>
      <c r="D97" s="109"/>
      <c r="E97" s="109"/>
      <c r="F97" s="109"/>
    </row>
    <row r="98" spans="1:6" x14ac:dyDescent="0.25">
      <c r="A98" s="109"/>
      <c r="B98" s="109"/>
      <c r="C98" s="109"/>
      <c r="D98" s="109"/>
      <c r="E98" s="109"/>
      <c r="F98" s="109"/>
    </row>
    <row r="99" spans="1:6" x14ac:dyDescent="0.25">
      <c r="A99" s="109"/>
      <c r="B99" s="109"/>
      <c r="C99" s="109"/>
      <c r="D99" s="109"/>
      <c r="E99" s="109"/>
      <c r="F99" s="109"/>
    </row>
    <row r="100" spans="1:6" x14ac:dyDescent="0.25">
      <c r="A100" s="109"/>
      <c r="B100" s="109"/>
      <c r="C100" s="109"/>
      <c r="D100" s="109"/>
      <c r="E100" s="109"/>
      <c r="F100" s="109"/>
    </row>
    <row r="101" spans="1:6" x14ac:dyDescent="0.25">
      <c r="A101" s="109"/>
      <c r="B101" s="109"/>
      <c r="C101" s="109"/>
      <c r="D101" s="109"/>
      <c r="E101" s="109"/>
      <c r="F101" s="109"/>
    </row>
    <row r="102" spans="1:6" x14ac:dyDescent="0.25">
      <c r="A102" s="109"/>
      <c r="B102" s="109"/>
      <c r="C102" s="109"/>
      <c r="D102" s="109"/>
      <c r="E102" s="109"/>
      <c r="F102" s="109"/>
    </row>
    <row r="103" spans="1:6" x14ac:dyDescent="0.25">
      <c r="A103" s="109"/>
      <c r="B103" s="109"/>
      <c r="C103" s="109"/>
      <c r="D103" s="109"/>
      <c r="E103" s="109"/>
      <c r="F103" s="109"/>
    </row>
    <row r="104" spans="1:6" x14ac:dyDescent="0.25">
      <c r="A104" s="109"/>
      <c r="B104" s="109"/>
      <c r="C104" s="109"/>
      <c r="D104" s="109"/>
      <c r="E104" s="109"/>
      <c r="F104" s="109"/>
    </row>
    <row r="105" spans="1:6" x14ac:dyDescent="0.25">
      <c r="A105" s="109"/>
      <c r="B105" s="109"/>
      <c r="C105" s="109"/>
      <c r="D105" s="109"/>
      <c r="E105" s="109"/>
      <c r="F105" s="109"/>
    </row>
    <row r="106" spans="1:6" x14ac:dyDescent="0.25">
      <c r="A106" s="109"/>
      <c r="B106" s="109"/>
      <c r="C106" s="109"/>
      <c r="D106" s="109"/>
      <c r="E106" s="109"/>
      <c r="F106" s="109"/>
    </row>
    <row r="107" spans="1:6" x14ac:dyDescent="0.25">
      <c r="A107" s="109"/>
      <c r="B107" s="109"/>
      <c r="C107" s="109"/>
      <c r="D107" s="109"/>
      <c r="E107" s="109"/>
      <c r="F107" s="109"/>
    </row>
    <row r="108" spans="1:6" x14ac:dyDescent="0.25">
      <c r="A108" s="109"/>
      <c r="B108" s="109"/>
      <c r="C108" s="109"/>
      <c r="D108" s="109"/>
      <c r="E108" s="109"/>
      <c r="F108" s="109"/>
    </row>
    <row r="109" spans="1:6" x14ac:dyDescent="0.25">
      <c r="A109" s="109"/>
      <c r="B109" s="109"/>
      <c r="C109" s="109"/>
      <c r="D109" s="109"/>
      <c r="E109" s="109"/>
      <c r="F109" s="109"/>
    </row>
    <row r="110" spans="1:6" x14ac:dyDescent="0.25">
      <c r="A110" s="109"/>
      <c r="B110" s="109"/>
      <c r="C110" s="109"/>
      <c r="D110" s="109"/>
      <c r="E110" s="109"/>
      <c r="F110" s="109"/>
    </row>
    <row r="111" spans="1:6" x14ac:dyDescent="0.25">
      <c r="A111" s="109"/>
      <c r="B111" s="109"/>
      <c r="C111" s="109"/>
      <c r="D111" s="109"/>
      <c r="E111" s="109"/>
      <c r="F111" s="109"/>
    </row>
    <row r="112" spans="1:6" x14ac:dyDescent="0.25">
      <c r="A112" s="109"/>
      <c r="B112" s="109"/>
      <c r="C112" s="109"/>
      <c r="D112" s="109"/>
      <c r="E112" s="109"/>
      <c r="F112" s="109"/>
    </row>
    <row r="113" spans="1:6" x14ac:dyDescent="0.25">
      <c r="A113" s="109"/>
      <c r="B113" s="109"/>
      <c r="C113" s="109"/>
      <c r="D113" s="109"/>
      <c r="E113" s="109"/>
      <c r="F113" s="109"/>
    </row>
    <row r="114" spans="1:6" x14ac:dyDescent="0.25">
      <c r="A114" s="109"/>
      <c r="B114" s="109"/>
      <c r="C114" s="109"/>
      <c r="D114" s="109"/>
      <c r="E114" s="109"/>
      <c r="F114" s="109"/>
    </row>
    <row r="115" spans="1:6" x14ac:dyDescent="0.25">
      <c r="A115" s="109"/>
      <c r="B115" s="109"/>
      <c r="C115" s="109"/>
      <c r="D115" s="109"/>
      <c r="E115" s="109"/>
      <c r="F115" s="109"/>
    </row>
    <row r="116" spans="1:6" x14ac:dyDescent="0.25">
      <c r="A116" s="109"/>
      <c r="B116" s="109"/>
      <c r="C116" s="109"/>
      <c r="D116" s="109"/>
      <c r="E116" s="109"/>
      <c r="F116" s="109"/>
    </row>
    <row r="117" spans="1:6" x14ac:dyDescent="0.25">
      <c r="A117" s="109"/>
      <c r="B117" s="109"/>
      <c r="C117" s="109"/>
      <c r="D117" s="109"/>
      <c r="E117" s="109"/>
      <c r="F117" s="109"/>
    </row>
    <row r="118" spans="1:6" x14ac:dyDescent="0.25">
      <c r="A118" s="109"/>
      <c r="B118" s="109"/>
      <c r="C118" s="109"/>
      <c r="D118" s="109"/>
      <c r="E118" s="109"/>
      <c r="F118" s="109"/>
    </row>
    <row r="119" spans="1:6" x14ac:dyDescent="0.25">
      <c r="A119" s="109"/>
      <c r="B119" s="109"/>
      <c r="C119" s="109"/>
      <c r="D119" s="109"/>
      <c r="E119" s="109"/>
      <c r="F119" s="109"/>
    </row>
    <row r="120" spans="1:6" x14ac:dyDescent="0.25">
      <c r="A120" s="109"/>
      <c r="B120" s="109"/>
      <c r="C120" s="109"/>
      <c r="D120" s="109"/>
      <c r="E120" s="109"/>
      <c r="F120" s="109"/>
    </row>
    <row r="121" spans="1:6" x14ac:dyDescent="0.25">
      <c r="A121" s="109"/>
      <c r="B121" s="109"/>
      <c r="C121" s="109"/>
      <c r="D121" s="109"/>
      <c r="E121" s="109"/>
      <c r="F121" s="109"/>
    </row>
    <row r="122" spans="1:6" x14ac:dyDescent="0.25">
      <c r="A122" s="109"/>
      <c r="B122" s="109"/>
      <c r="C122" s="109"/>
      <c r="D122" s="109"/>
      <c r="E122" s="109"/>
      <c r="F122" s="109"/>
    </row>
    <row r="123" spans="1:6" x14ac:dyDescent="0.25">
      <c r="A123" s="109"/>
      <c r="B123" s="109"/>
      <c r="C123" s="109"/>
      <c r="D123" s="109"/>
      <c r="E123" s="109"/>
      <c r="F123" s="109"/>
    </row>
    <row r="124" spans="1:6" x14ac:dyDescent="0.25">
      <c r="A124" s="109"/>
      <c r="B124" s="109"/>
      <c r="C124" s="109"/>
      <c r="D124" s="109"/>
      <c r="E124" s="109"/>
      <c r="F124" s="109"/>
    </row>
    <row r="125" spans="1:6" x14ac:dyDescent="0.25">
      <c r="A125" s="109"/>
      <c r="B125" s="109"/>
      <c r="C125" s="109"/>
      <c r="D125" s="109"/>
      <c r="E125" s="109"/>
      <c r="F125" s="109"/>
    </row>
    <row r="126" spans="1:6" x14ac:dyDescent="0.25">
      <c r="A126" s="109"/>
      <c r="B126" s="109"/>
      <c r="C126" s="109"/>
      <c r="D126" s="109"/>
      <c r="E126" s="109"/>
      <c r="F126" s="109"/>
    </row>
    <row r="127" spans="1:6" x14ac:dyDescent="0.25">
      <c r="A127" s="109"/>
      <c r="B127" s="109"/>
      <c r="C127" s="109"/>
      <c r="D127" s="109"/>
      <c r="E127" s="109"/>
      <c r="F127" s="109"/>
    </row>
    <row r="128" spans="1:6" x14ac:dyDescent="0.25">
      <c r="A128" s="109"/>
      <c r="B128" s="109"/>
      <c r="C128" s="109"/>
      <c r="D128" s="109"/>
      <c r="E128" s="109"/>
      <c r="F128" s="109"/>
    </row>
    <row r="129" spans="1:6" x14ac:dyDescent="0.25">
      <c r="A129" s="109"/>
      <c r="B129" s="109"/>
      <c r="C129" s="109"/>
      <c r="D129" s="109"/>
      <c r="E129" s="109"/>
      <c r="F129" s="109"/>
    </row>
    <row r="130" spans="1:6" x14ac:dyDescent="0.25">
      <c r="A130" s="109"/>
      <c r="B130" s="109"/>
      <c r="C130" s="109"/>
      <c r="D130" s="109"/>
      <c r="E130" s="109"/>
      <c r="F130" s="109"/>
    </row>
    <row r="131" spans="1:6" x14ac:dyDescent="0.25">
      <c r="A131" s="109"/>
      <c r="B131" s="109"/>
      <c r="C131" s="109"/>
      <c r="D131" s="109"/>
      <c r="E131" s="109"/>
      <c r="F131" s="109"/>
    </row>
    <row r="132" spans="1:6" x14ac:dyDescent="0.25">
      <c r="A132" s="109"/>
      <c r="B132" s="109"/>
      <c r="C132" s="109"/>
      <c r="D132" s="109"/>
      <c r="E132" s="109"/>
      <c r="F132" s="109"/>
    </row>
    <row r="133" spans="1:6" x14ac:dyDescent="0.25">
      <c r="A133" s="109"/>
      <c r="B133" s="109"/>
      <c r="C133" s="109"/>
      <c r="D133" s="109"/>
      <c r="E133" s="109"/>
      <c r="F133" s="109"/>
    </row>
    <row r="134" spans="1:6" x14ac:dyDescent="0.25">
      <c r="A134" s="109"/>
      <c r="B134" s="109"/>
      <c r="C134" s="109"/>
      <c r="D134" s="109"/>
      <c r="E134" s="109"/>
      <c r="F134" s="109"/>
    </row>
    <row r="135" spans="1:6" x14ac:dyDescent="0.25">
      <c r="A135" s="109"/>
      <c r="B135" s="109"/>
      <c r="C135" s="109"/>
      <c r="D135" s="109"/>
      <c r="E135" s="109"/>
      <c r="F135" s="109"/>
    </row>
    <row r="136" spans="1:6" x14ac:dyDescent="0.25">
      <c r="A136" s="109"/>
      <c r="B136" s="109"/>
      <c r="C136" s="109"/>
      <c r="D136" s="109"/>
      <c r="E136" s="109"/>
      <c r="F136" s="109"/>
    </row>
    <row r="137" spans="1:6" x14ac:dyDescent="0.25">
      <c r="A137" s="109"/>
      <c r="B137" s="109"/>
      <c r="C137" s="109"/>
      <c r="D137" s="109"/>
      <c r="E137" s="109"/>
      <c r="F137" s="109"/>
    </row>
    <row r="138" spans="1:6" x14ac:dyDescent="0.25">
      <c r="A138" s="109"/>
      <c r="B138" s="109"/>
      <c r="C138" s="109"/>
      <c r="D138" s="109"/>
      <c r="E138" s="109"/>
      <c r="F138" s="109"/>
    </row>
    <row r="139" spans="1:6" x14ac:dyDescent="0.25">
      <c r="A139" s="109"/>
      <c r="B139" s="109"/>
      <c r="C139" s="109"/>
      <c r="D139" s="109"/>
      <c r="E139" s="109"/>
      <c r="F139" s="109"/>
    </row>
    <row r="140" spans="1:6" x14ac:dyDescent="0.25">
      <c r="A140" s="109"/>
      <c r="B140" s="109"/>
      <c r="C140" s="109"/>
      <c r="D140" s="109"/>
      <c r="E140" s="109"/>
      <c r="F140" s="109"/>
    </row>
    <row r="141" spans="1:6" x14ac:dyDescent="0.25">
      <c r="A141" s="109"/>
      <c r="B141" s="109"/>
      <c r="C141" s="109"/>
      <c r="D141" s="109"/>
      <c r="E141" s="109"/>
      <c r="F141" s="109"/>
    </row>
    <row r="142" spans="1:6" x14ac:dyDescent="0.25">
      <c r="A142" s="109"/>
      <c r="B142" s="109"/>
      <c r="C142" s="109"/>
      <c r="D142" s="109"/>
      <c r="E142" s="109"/>
      <c r="F142" s="109"/>
    </row>
    <row r="143" spans="1:6" x14ac:dyDescent="0.25">
      <c r="A143" s="109"/>
      <c r="B143" s="109"/>
      <c r="C143" s="109"/>
      <c r="D143" s="109"/>
      <c r="E143" s="109"/>
      <c r="F143" s="109"/>
    </row>
  </sheetData>
  <sheetProtection algorithmName="SHA-512" hashValue="rX/cyWQ1YaRe5Jg9cAaTfdGJOX9gbu42bZEQ/A7xXX+koAovGjbbe95e68j6mrVup79LfyYSF6xwROcXGI65aA==" saltValue="gR/GYoe0BJloKMjPwkoxAA==" spinCount="100000" sheet="1" objects="1" scenarios="1"/>
  <mergeCells count="68">
    <mergeCell ref="F9:F10"/>
    <mergeCell ref="A2:A3"/>
    <mergeCell ref="B2:B3"/>
    <mergeCell ref="C2:C3"/>
    <mergeCell ref="D2:D3"/>
    <mergeCell ref="A4:A5"/>
    <mergeCell ref="B4:B36"/>
    <mergeCell ref="C4:C5"/>
    <mergeCell ref="D4:D5"/>
    <mergeCell ref="A6:A7"/>
    <mergeCell ref="C6:C7"/>
    <mergeCell ref="D6:D7"/>
    <mergeCell ref="A8:A10"/>
    <mergeCell ref="C8:C10"/>
    <mergeCell ref="D8:D10"/>
    <mergeCell ref="E9:E10"/>
    <mergeCell ref="F18:F19"/>
    <mergeCell ref="A11:A12"/>
    <mergeCell ref="C11:C12"/>
    <mergeCell ref="D11:D12"/>
    <mergeCell ref="A13:A14"/>
    <mergeCell ref="C13:C14"/>
    <mergeCell ref="D13:D14"/>
    <mergeCell ref="A15:A17"/>
    <mergeCell ref="C15:C17"/>
    <mergeCell ref="D15:D17"/>
    <mergeCell ref="E16:E17"/>
    <mergeCell ref="F16:F17"/>
    <mergeCell ref="A29:A30"/>
    <mergeCell ref="C29:C30"/>
    <mergeCell ref="D29:D30"/>
    <mergeCell ref="E20:E21"/>
    <mergeCell ref="F20:F21"/>
    <mergeCell ref="A22:A25"/>
    <mergeCell ref="C22:C25"/>
    <mergeCell ref="D22:D25"/>
    <mergeCell ref="E22:E23"/>
    <mergeCell ref="F22:F23"/>
    <mergeCell ref="E24:E25"/>
    <mergeCell ref="F24:F25"/>
    <mergeCell ref="A18:A21"/>
    <mergeCell ref="C18:C21"/>
    <mergeCell ref="D18:D21"/>
    <mergeCell ref="E18:E19"/>
    <mergeCell ref="A26:A28"/>
    <mergeCell ref="C26:C28"/>
    <mergeCell ref="D26:D28"/>
    <mergeCell ref="E27:E28"/>
    <mergeCell ref="F27:F28"/>
    <mergeCell ref="A31:A32"/>
    <mergeCell ref="C31:C32"/>
    <mergeCell ref="D31:D32"/>
    <mergeCell ref="A33:A34"/>
    <mergeCell ref="C33:C34"/>
    <mergeCell ref="D33:D34"/>
    <mergeCell ref="A41:A42"/>
    <mergeCell ref="C41:C42"/>
    <mergeCell ref="D41:D42"/>
    <mergeCell ref="A35:A36"/>
    <mergeCell ref="C35:C36"/>
    <mergeCell ref="D35:D36"/>
    <mergeCell ref="A37:A38"/>
    <mergeCell ref="B37:B42"/>
    <mergeCell ref="C37:C38"/>
    <mergeCell ref="D37:D38"/>
    <mergeCell ref="A39:A40"/>
    <mergeCell ref="C39:C40"/>
    <mergeCell ref="D39:D4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1B5D-7487-4362-9137-D088D5101B73}">
  <dimension ref="A1:J27"/>
  <sheetViews>
    <sheetView workbookViewId="0">
      <pane xSplit="1" ySplit="2" topLeftCell="B3" activePane="bottomRight" state="frozen"/>
      <selection pane="topRight"/>
      <selection pane="bottomLeft"/>
      <selection pane="bottomRight" activeCell="C21" sqref="C21"/>
    </sheetView>
  </sheetViews>
  <sheetFormatPr defaultColWidth="30" defaultRowHeight="15" x14ac:dyDescent="0.25"/>
  <cols>
    <col min="1" max="1" width="37.85546875" style="558" customWidth="1"/>
    <col min="2" max="2" width="20" style="557" customWidth="1"/>
    <col min="3" max="3" width="27.7109375" style="557" customWidth="1"/>
    <col min="4" max="5" width="30" style="557"/>
    <col min="6" max="6" width="18.140625" style="557" customWidth="1"/>
    <col min="7" max="7" width="28.7109375" style="557" customWidth="1"/>
    <col min="8" max="16384" width="30" style="557"/>
  </cols>
  <sheetData>
    <row r="1" spans="1:10" s="572" customFormat="1" ht="16.5" x14ac:dyDescent="0.25">
      <c r="A1" s="574" t="s">
        <v>972</v>
      </c>
      <c r="B1" s="572" t="s">
        <v>971</v>
      </c>
      <c r="C1" s="572" t="s">
        <v>970</v>
      </c>
      <c r="D1" s="572" t="s">
        <v>969</v>
      </c>
      <c r="E1" s="572" t="s">
        <v>968</v>
      </c>
      <c r="F1" s="572" t="s">
        <v>967</v>
      </c>
      <c r="G1" s="572" t="s">
        <v>966</v>
      </c>
      <c r="H1" s="572" t="s">
        <v>965</v>
      </c>
      <c r="I1" s="572" t="s">
        <v>964</v>
      </c>
      <c r="J1" s="573" t="s">
        <v>963</v>
      </c>
    </row>
    <row r="2" spans="1:10" ht="30" hidden="1" x14ac:dyDescent="0.25">
      <c r="A2" s="558" t="s">
        <v>962</v>
      </c>
      <c r="B2" s="557" t="s">
        <v>961</v>
      </c>
      <c r="C2" s="557" t="s">
        <v>960</v>
      </c>
      <c r="D2" s="557" t="s">
        <v>959</v>
      </c>
      <c r="E2" s="557" t="s">
        <v>958</v>
      </c>
      <c r="F2" s="557" t="s">
        <v>957</v>
      </c>
      <c r="G2" s="557" t="s">
        <v>956</v>
      </c>
      <c r="H2" s="557" t="s">
        <v>955</v>
      </c>
      <c r="I2" s="557" t="s">
        <v>954</v>
      </c>
      <c r="J2" s="557" t="s">
        <v>953</v>
      </c>
    </row>
    <row r="3" spans="1:10" ht="45" x14ac:dyDescent="0.25">
      <c r="A3" s="558" t="s">
        <v>773</v>
      </c>
      <c r="B3" s="557" t="s">
        <v>952</v>
      </c>
      <c r="C3" s="557" t="s">
        <v>951</v>
      </c>
      <c r="D3" s="557" t="s">
        <v>778</v>
      </c>
      <c r="E3" s="557" t="s">
        <v>950</v>
      </c>
      <c r="F3" s="557" t="s">
        <v>949</v>
      </c>
      <c r="G3" s="557" t="s">
        <v>948</v>
      </c>
      <c r="H3" s="557" t="s">
        <v>947</v>
      </c>
      <c r="I3" s="557" t="s">
        <v>946</v>
      </c>
      <c r="J3" s="557" t="s">
        <v>945</v>
      </c>
    </row>
    <row r="4" spans="1:10" ht="30" x14ac:dyDescent="0.25">
      <c r="A4" s="558" t="s">
        <v>765</v>
      </c>
      <c r="B4" s="557" t="s">
        <v>944</v>
      </c>
      <c r="C4" s="557" t="s">
        <v>943</v>
      </c>
      <c r="D4" s="557" t="s">
        <v>779</v>
      </c>
      <c r="E4" s="557" t="s">
        <v>942</v>
      </c>
      <c r="F4" s="557" t="s">
        <v>941</v>
      </c>
      <c r="G4" s="557" t="s">
        <v>940</v>
      </c>
      <c r="H4" s="557" t="s">
        <v>939</v>
      </c>
      <c r="I4" s="557" t="s">
        <v>938</v>
      </c>
      <c r="J4" s="557" t="s">
        <v>937</v>
      </c>
    </row>
    <row r="5" spans="1:10" x14ac:dyDescent="0.25">
      <c r="A5" s="558" t="s">
        <v>9</v>
      </c>
      <c r="B5" s="557" t="s">
        <v>762</v>
      </c>
      <c r="C5" s="557" t="s">
        <v>936</v>
      </c>
      <c r="D5" s="557" t="s">
        <v>762</v>
      </c>
      <c r="E5" s="557" t="s">
        <v>935</v>
      </c>
      <c r="F5" s="557" t="s">
        <v>934</v>
      </c>
      <c r="G5" s="557" t="s">
        <v>919</v>
      </c>
      <c r="H5" s="557" t="s">
        <v>933</v>
      </c>
      <c r="I5" s="557" t="s">
        <v>932</v>
      </c>
      <c r="J5" s="557" t="s">
        <v>931</v>
      </c>
    </row>
    <row r="6" spans="1:10" x14ac:dyDescent="0.25">
      <c r="A6" s="558" t="s">
        <v>766</v>
      </c>
      <c r="B6" s="557" t="s">
        <v>930</v>
      </c>
      <c r="C6" s="557" t="s">
        <v>929</v>
      </c>
      <c r="D6" s="557" t="s">
        <v>780</v>
      </c>
      <c r="E6" s="557" t="s">
        <v>928</v>
      </c>
      <c r="F6" s="557" t="s">
        <v>927</v>
      </c>
      <c r="G6" s="557" t="s">
        <v>926</v>
      </c>
      <c r="H6" s="557" t="s">
        <v>925</v>
      </c>
      <c r="I6" s="557" t="s">
        <v>924</v>
      </c>
      <c r="J6" s="557" t="s">
        <v>923</v>
      </c>
    </row>
    <row r="7" spans="1:10" x14ac:dyDescent="0.25">
      <c r="A7" s="558" t="s">
        <v>5</v>
      </c>
      <c r="B7" s="557" t="s">
        <v>922</v>
      </c>
      <c r="C7" s="557" t="s">
        <v>5</v>
      </c>
      <c r="D7" s="557" t="s">
        <v>781</v>
      </c>
      <c r="E7" s="557" t="s">
        <v>921</v>
      </c>
      <c r="F7" s="557" t="s">
        <v>920</v>
      </c>
      <c r="G7" s="557" t="s">
        <v>919</v>
      </c>
      <c r="H7" s="557" t="s">
        <v>918</v>
      </c>
      <c r="I7" s="557" t="s">
        <v>917</v>
      </c>
      <c r="J7" s="557" t="s">
        <v>916</v>
      </c>
    </row>
    <row r="8" spans="1:10" ht="30" x14ac:dyDescent="0.25">
      <c r="A8" s="558" t="s">
        <v>767</v>
      </c>
      <c r="B8" s="557" t="s">
        <v>915</v>
      </c>
      <c r="C8" s="557" t="s">
        <v>914</v>
      </c>
      <c r="D8" s="557" t="s">
        <v>782</v>
      </c>
      <c r="E8" s="557" t="s">
        <v>913</v>
      </c>
      <c r="F8" s="557" t="s">
        <v>912</v>
      </c>
      <c r="G8" s="557" t="s">
        <v>911</v>
      </c>
      <c r="H8" s="557" t="s">
        <v>910</v>
      </c>
      <c r="I8" s="557" t="s">
        <v>909</v>
      </c>
      <c r="J8" s="557" t="s">
        <v>908</v>
      </c>
    </row>
    <row r="9" spans="1:10" ht="30" x14ac:dyDescent="0.25">
      <c r="A9" s="558" t="s">
        <v>768</v>
      </c>
      <c r="B9" s="557" t="s">
        <v>907</v>
      </c>
      <c r="C9" s="557" t="s">
        <v>906</v>
      </c>
      <c r="D9" s="557" t="s">
        <v>783</v>
      </c>
      <c r="E9" s="557" t="s">
        <v>905</v>
      </c>
      <c r="F9" s="557" t="s">
        <v>904</v>
      </c>
      <c r="G9" s="557" t="s">
        <v>903</v>
      </c>
      <c r="H9" s="557" t="s">
        <v>902</v>
      </c>
      <c r="I9" s="557" t="s">
        <v>901</v>
      </c>
      <c r="J9" s="557" t="s">
        <v>900</v>
      </c>
    </row>
    <row r="10" spans="1:10" ht="60" x14ac:dyDescent="0.25">
      <c r="A10" s="558" t="s">
        <v>769</v>
      </c>
      <c r="B10" s="557" t="s">
        <v>899</v>
      </c>
      <c r="C10" s="557" t="s">
        <v>898</v>
      </c>
      <c r="D10" s="557" t="s">
        <v>784</v>
      </c>
      <c r="E10" s="557" t="s">
        <v>897</v>
      </c>
      <c r="F10" s="557" t="s">
        <v>896</v>
      </c>
      <c r="G10" s="557" t="s">
        <v>895</v>
      </c>
      <c r="H10" s="557" t="s">
        <v>894</v>
      </c>
      <c r="I10" s="557" t="s">
        <v>893</v>
      </c>
      <c r="J10" s="557" t="s">
        <v>892</v>
      </c>
    </row>
    <row r="11" spans="1:10" ht="60" x14ac:dyDescent="0.25">
      <c r="A11" s="571" t="s">
        <v>770</v>
      </c>
      <c r="B11" s="557" t="s">
        <v>891</v>
      </c>
      <c r="C11" s="570" t="s">
        <v>890</v>
      </c>
      <c r="D11" s="557" t="s">
        <v>785</v>
      </c>
      <c r="E11" s="557" t="s">
        <v>889</v>
      </c>
      <c r="F11" s="557" t="s">
        <v>888</v>
      </c>
      <c r="G11" s="558" t="s">
        <v>887</v>
      </c>
      <c r="H11" s="558" t="s">
        <v>886</v>
      </c>
      <c r="I11" s="562" t="s">
        <v>885</v>
      </c>
      <c r="J11" s="558" t="s">
        <v>884</v>
      </c>
    </row>
    <row r="12" spans="1:10" ht="60" x14ac:dyDescent="0.25">
      <c r="A12" s="558" t="s">
        <v>771</v>
      </c>
      <c r="B12" s="557" t="s">
        <v>883</v>
      </c>
      <c r="C12" s="557" t="s">
        <v>882</v>
      </c>
      <c r="D12" s="557" t="s">
        <v>786</v>
      </c>
      <c r="E12" s="557" t="s">
        <v>881</v>
      </c>
      <c r="F12" s="557" t="s">
        <v>880</v>
      </c>
      <c r="G12" s="557" t="s">
        <v>879</v>
      </c>
      <c r="H12" s="557" t="s">
        <v>878</v>
      </c>
      <c r="I12" s="562" t="s">
        <v>877</v>
      </c>
      <c r="J12" s="557" t="s">
        <v>876</v>
      </c>
    </row>
    <row r="13" spans="1:10" x14ac:dyDescent="0.25">
      <c r="A13" s="558" t="s">
        <v>61</v>
      </c>
      <c r="B13" s="557" t="s">
        <v>875</v>
      </c>
      <c r="C13" s="557" t="s">
        <v>874</v>
      </c>
      <c r="D13" s="566" t="s">
        <v>776</v>
      </c>
      <c r="E13" s="557" t="s">
        <v>873</v>
      </c>
      <c r="F13" s="557" t="s">
        <v>872</v>
      </c>
      <c r="G13" s="557" t="s">
        <v>871</v>
      </c>
      <c r="H13" s="557" t="s">
        <v>870</v>
      </c>
      <c r="I13" s="562" t="s">
        <v>869</v>
      </c>
      <c r="J13" s="557" t="s">
        <v>868</v>
      </c>
    </row>
    <row r="14" spans="1:10" x14ac:dyDescent="0.25">
      <c r="A14" s="558" t="s">
        <v>39</v>
      </c>
      <c r="B14" s="557" t="s">
        <v>39</v>
      </c>
      <c r="C14" s="557" t="s">
        <v>867</v>
      </c>
      <c r="D14" s="566" t="s">
        <v>775</v>
      </c>
      <c r="E14" s="557" t="s">
        <v>866</v>
      </c>
      <c r="F14" s="557" t="s">
        <v>865</v>
      </c>
      <c r="G14" s="557" t="s">
        <v>864</v>
      </c>
      <c r="H14" s="557" t="s">
        <v>863</v>
      </c>
      <c r="I14" s="562" t="s">
        <v>862</v>
      </c>
      <c r="J14" s="557" t="s">
        <v>861</v>
      </c>
    </row>
    <row r="15" spans="1:10" x14ac:dyDescent="0.25">
      <c r="A15" s="568" t="s">
        <v>64</v>
      </c>
      <c r="B15" s="557" t="s">
        <v>860</v>
      </c>
      <c r="C15" s="557" t="s">
        <v>859</v>
      </c>
      <c r="D15" s="567" t="s">
        <v>777</v>
      </c>
      <c r="E15" s="557" t="s">
        <v>858</v>
      </c>
      <c r="F15" s="557" t="s">
        <v>857</v>
      </c>
      <c r="G15" s="557" t="s">
        <v>856</v>
      </c>
      <c r="H15" s="557" t="s">
        <v>855</v>
      </c>
      <c r="I15" s="562" t="s">
        <v>854</v>
      </c>
      <c r="J15" s="565" t="s">
        <v>853</v>
      </c>
    </row>
    <row r="16" spans="1:10" ht="16.5" x14ac:dyDescent="0.3">
      <c r="A16" s="568" t="s">
        <v>415</v>
      </c>
      <c r="B16" s="557" t="s">
        <v>852</v>
      </c>
      <c r="C16" s="557" t="s">
        <v>1200</v>
      </c>
      <c r="D16" s="567" t="s">
        <v>788</v>
      </c>
      <c r="E16" s="557" t="s">
        <v>851</v>
      </c>
      <c r="F16" s="557" t="s">
        <v>850</v>
      </c>
      <c r="G16" s="557" t="s">
        <v>849</v>
      </c>
      <c r="H16" s="557" t="s">
        <v>848</v>
      </c>
      <c r="I16" s="562" t="s">
        <v>847</v>
      </c>
      <c r="J16" s="569" t="s">
        <v>846</v>
      </c>
    </row>
    <row r="17" spans="1:10" x14ac:dyDescent="0.25">
      <c r="A17" s="558" t="s">
        <v>26</v>
      </c>
      <c r="B17" s="557" t="s">
        <v>764</v>
      </c>
      <c r="C17" s="557" t="s">
        <v>845</v>
      </c>
      <c r="D17" s="566" t="s">
        <v>764</v>
      </c>
      <c r="E17" s="557" t="s">
        <v>844</v>
      </c>
      <c r="F17" s="557" t="s">
        <v>843</v>
      </c>
      <c r="G17" s="557" t="s">
        <v>842</v>
      </c>
      <c r="H17" s="557" t="s">
        <v>841</v>
      </c>
      <c r="I17" s="562" t="s">
        <v>840</v>
      </c>
      <c r="J17" s="557" t="s">
        <v>839</v>
      </c>
    </row>
    <row r="18" spans="1:10" ht="30" x14ac:dyDescent="0.25">
      <c r="A18" s="568" t="s">
        <v>16</v>
      </c>
      <c r="B18" s="557" t="s">
        <v>838</v>
      </c>
      <c r="C18" s="557" t="s">
        <v>837</v>
      </c>
      <c r="D18" s="567" t="s">
        <v>774</v>
      </c>
      <c r="E18" s="557" t="s">
        <v>836</v>
      </c>
      <c r="F18" s="557" t="s">
        <v>835</v>
      </c>
      <c r="G18" s="557" t="s">
        <v>834</v>
      </c>
      <c r="H18" s="557" t="s">
        <v>833</v>
      </c>
      <c r="I18" s="562" t="s">
        <v>832</v>
      </c>
      <c r="J18" s="565" t="s">
        <v>831</v>
      </c>
    </row>
    <row r="19" spans="1:10" x14ac:dyDescent="0.25">
      <c r="A19" s="558" t="s">
        <v>23</v>
      </c>
      <c r="B19" s="557" t="s">
        <v>763</v>
      </c>
      <c r="C19" s="557" t="s">
        <v>830</v>
      </c>
      <c r="D19" s="566" t="s">
        <v>763</v>
      </c>
      <c r="E19" s="557" t="s">
        <v>829</v>
      </c>
      <c r="F19" s="557" t="s">
        <v>828</v>
      </c>
      <c r="G19" s="557" t="s">
        <v>827</v>
      </c>
      <c r="H19" s="557" t="s">
        <v>826</v>
      </c>
      <c r="I19" s="562" t="s">
        <v>825</v>
      </c>
      <c r="J19" s="565" t="s">
        <v>824</v>
      </c>
    </row>
    <row r="20" spans="1:10" ht="60" x14ac:dyDescent="0.25">
      <c r="A20" s="564" t="s">
        <v>772</v>
      </c>
      <c r="B20" s="557" t="s">
        <v>823</v>
      </c>
      <c r="C20" s="557" t="s">
        <v>1277</v>
      </c>
      <c r="D20" s="557" t="s">
        <v>787</v>
      </c>
      <c r="E20" s="557" t="s">
        <v>822</v>
      </c>
      <c r="F20" s="557" t="s">
        <v>821</v>
      </c>
      <c r="G20" s="557" t="s">
        <v>820</v>
      </c>
      <c r="H20" s="557" t="s">
        <v>819</v>
      </c>
      <c r="I20" s="562" t="s">
        <v>818</v>
      </c>
      <c r="J20" s="557" t="s">
        <v>817</v>
      </c>
    </row>
    <row r="21" spans="1:10" ht="181.5" x14ac:dyDescent="0.25">
      <c r="A21" s="558" t="s">
        <v>816</v>
      </c>
      <c r="B21" s="577" t="s">
        <v>815</v>
      </c>
      <c r="C21" s="595" t="s">
        <v>1203</v>
      </c>
      <c r="D21" s="557" t="s">
        <v>814</v>
      </c>
      <c r="E21" s="557" t="s">
        <v>813</v>
      </c>
      <c r="F21" s="557" t="s">
        <v>812</v>
      </c>
      <c r="G21" s="557" t="s">
        <v>811</v>
      </c>
      <c r="H21" s="557" t="s">
        <v>810</v>
      </c>
      <c r="I21" s="562" t="s">
        <v>809</v>
      </c>
      <c r="J21" s="578" t="s">
        <v>808</v>
      </c>
    </row>
    <row r="22" spans="1:10" ht="60" x14ac:dyDescent="0.25">
      <c r="A22" s="558" t="s">
        <v>807</v>
      </c>
      <c r="B22" s="557" t="s">
        <v>806</v>
      </c>
      <c r="C22" s="557" t="s">
        <v>805</v>
      </c>
      <c r="D22" s="557" t="s">
        <v>804</v>
      </c>
      <c r="E22" s="557" t="s">
        <v>803</v>
      </c>
      <c r="F22" s="557" t="s">
        <v>802</v>
      </c>
      <c r="G22" s="563" t="s">
        <v>801</v>
      </c>
      <c r="H22" s="557" t="s">
        <v>800</v>
      </c>
      <c r="I22" s="562" t="s">
        <v>799</v>
      </c>
    </row>
    <row r="23" spans="1:10" ht="165" x14ac:dyDescent="0.3">
      <c r="A23" s="561" t="s">
        <v>798</v>
      </c>
      <c r="B23" s="557" t="s">
        <v>797</v>
      </c>
      <c r="C23" s="560" t="s">
        <v>796</v>
      </c>
      <c r="D23" s="559" t="s">
        <v>795</v>
      </c>
      <c r="E23" s="557" t="s">
        <v>794</v>
      </c>
      <c r="F23" s="557" t="s">
        <v>793</v>
      </c>
      <c r="G23" s="557" t="s">
        <v>792</v>
      </c>
      <c r="H23" s="557" t="s">
        <v>791</v>
      </c>
      <c r="I23" s="557" t="s">
        <v>790</v>
      </c>
      <c r="J23" s="557" t="s">
        <v>789</v>
      </c>
    </row>
    <row r="24" spans="1:10" ht="190.5" customHeight="1" x14ac:dyDescent="0.25">
      <c r="A24" s="582" t="s">
        <v>975</v>
      </c>
      <c r="C24" s="593" t="s">
        <v>1201</v>
      </c>
      <c r="D24" s="583" t="s">
        <v>974</v>
      </c>
      <c r="E24" s="592" t="s">
        <v>1199</v>
      </c>
      <c r="I24" s="594" t="s">
        <v>1202</v>
      </c>
    </row>
    <row r="25" spans="1:10" x14ac:dyDescent="0.25">
      <c r="A25" s="580"/>
    </row>
    <row r="27" spans="1:10" x14ac:dyDescent="0.25">
      <c r="B27" s="579"/>
    </row>
  </sheetData>
  <sheetProtection algorithmName="SHA-512" hashValue="2nitS/th/ZXGH9GJhHoOjVblBGjO1yDIi4V19l7B6edLOJDIXoqhkQk/ycLxt+zX+uOV61KFBmPuFvKBsOPCAA==" saltValue="gw/PrfRQYF/BvN1nYv4kPg==" spinCount="100000" sheet="1" objects="1" scenarios="1" formatCells="0" formatColumns="0" formatRows="0"/>
  <pageMargins left="0.7" right="0.7" top="0.75" bottom="0.75" header="0.3" footer="0.3"/>
  <pageSetup paperSize="9" orientation="portrait" horizontalDpi="4294967293" verticalDpi="4294967293"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d237e1cb-b423-4f78-bee9-d36b9b38daee" xsi:nil="true"/>
    <TaxCatchAll xmlns="e73622c4-136b-4675-95da-e5d26a46cb91" xsi:nil="true"/>
    <lcf76f155ced4ddcb4097134ff3c332f xmlns="d237e1cb-b423-4f78-bee9-d36b9b38daee">
      <Terms xmlns="http://schemas.microsoft.com/office/infopath/2007/PartnerControls"/>
    </lcf76f155ced4ddcb4097134ff3c332f>
    <MediaLengthInSeconds xmlns="d237e1cb-b423-4f78-bee9-d36b9b38daee" xsi:nil="true"/>
    <SharedWithUsers xmlns="e73622c4-136b-4675-95da-e5d26a46cb91">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7E0036CE6A3541B3AB760440CA990C" ma:contentTypeVersion="18" ma:contentTypeDescription="Create a new document." ma:contentTypeScope="" ma:versionID="cf06eb217b5315de2cccc0d10b652f1d">
  <xsd:schema xmlns:xsd="http://www.w3.org/2001/XMLSchema" xmlns:xs="http://www.w3.org/2001/XMLSchema" xmlns:p="http://schemas.microsoft.com/office/2006/metadata/properties" xmlns:ns2="e73622c4-136b-4675-95da-e5d26a46cb91" xmlns:ns3="d237e1cb-b423-4f78-bee9-d36b9b38daee" targetNamespace="http://schemas.microsoft.com/office/2006/metadata/properties" ma:root="true" ma:fieldsID="87214cc7aafd47132a27f04e54467e1c" ns2:_="" ns3:_="">
    <xsd:import namespace="e73622c4-136b-4675-95da-e5d26a46cb91"/>
    <xsd:import namespace="d237e1cb-b423-4f78-bee9-d36b9b38da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_Flow_SignoffStatu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622c4-136b-4675-95da-e5d26a46cb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cf124d5-ef80-4202-9aa5-f4a130a4a7c4}" ma:internalName="TaxCatchAll" ma:showField="CatchAllData" ma:web="e73622c4-136b-4675-95da-e5d26a46cb9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37e1cb-b423-4f78-bee9-d36b9b38da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c7e46e6-79dd-420e-99dc-c75ba4a29b0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5F8A09-7D03-41F1-B065-BF36E9A7FD26}">
  <ds:schemaRefs>
    <ds:schemaRef ds:uri="http://schemas.microsoft.com/sharepoint/v3/contenttype/forms"/>
  </ds:schemaRefs>
</ds:datastoreItem>
</file>

<file path=customXml/itemProps2.xml><?xml version="1.0" encoding="utf-8"?>
<ds:datastoreItem xmlns:ds="http://schemas.openxmlformats.org/officeDocument/2006/customXml" ds:itemID="{1046363A-31CB-4B9D-82F4-AB498D35579D}">
  <ds:schemaRefs>
    <ds:schemaRef ds:uri="2eb717c4-e9b3-40eb-a54d-95a9779b22cd"/>
    <ds:schemaRef ds:uri="http://purl.org/dc/terms/"/>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515f5682-4d06-4fc2-bc6f-f45a17d4ec42"/>
    <ds:schemaRef ds:uri="http://schemas.microsoft.com/office/infopath/2007/PartnerControls"/>
    <ds:schemaRef ds:uri="http://www.w3.org/XML/1998/namespace"/>
    <ds:schemaRef ds:uri="d237e1cb-b423-4f78-bee9-d36b9b38daee"/>
    <ds:schemaRef ds:uri="e73622c4-136b-4675-95da-e5d26a46cb91"/>
  </ds:schemaRefs>
</ds:datastoreItem>
</file>

<file path=customXml/itemProps3.xml><?xml version="1.0" encoding="utf-8"?>
<ds:datastoreItem xmlns:ds="http://schemas.openxmlformats.org/officeDocument/2006/customXml" ds:itemID="{47B15831-DAEC-46D3-9EF7-B7C70B593D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622c4-136b-4675-95da-e5d26a46cb91"/>
    <ds:schemaRef ds:uri="d237e1cb-b423-4f78-bee9-d36b9b38da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summary</vt:lpstr>
      <vt:lpstr>NEW integrated RA (S + L)</vt:lpstr>
      <vt:lpstr>Page de couverture</vt:lpstr>
      <vt:lpstr>Outil d’orientation pour l’éval</vt:lpstr>
      <vt:lpstr>Overview and guidance</vt:lpstr>
      <vt:lpstr>Indiv. cert. Risk Assessment</vt:lpstr>
      <vt:lpstr>Risk assessment l1</vt:lpstr>
      <vt:lpstr>Sheet2</vt:lpstr>
      <vt:lpstr>Group risk assessment L0</vt:lpstr>
      <vt:lpstr>Tableau de bord</vt:lpstr>
      <vt:lpstr>Basic Risk Assessment DATASHEET</vt:lpstr>
      <vt:lpstr>Chaîne d’approvisionnement _Doc</vt:lpstr>
      <vt:lpstr>Évaluation des risques de chaîn</vt:lpstr>
      <vt:lpstr>terms</vt:lpstr>
      <vt:lpstr>'Page de couverture'!Print_Area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Koen den Braber</dc:creator>
  <cp:keywords/>
  <dc:description/>
  <cp:lastModifiedBy>Felix Krussmann</cp:lastModifiedBy>
  <cp:revision/>
  <dcterms:created xsi:type="dcterms:W3CDTF">2018-12-05T13:53:38Z</dcterms:created>
  <dcterms:modified xsi:type="dcterms:W3CDTF">2023-05-09T09:49:16Z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0x0101008B7E0036CE6A3541B3AB760440CA990C</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