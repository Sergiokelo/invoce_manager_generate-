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2"/>
  <workbookPr codeName="ThisWorkbook" defaultThemeVersion="166925"/>
  <mc:AlternateContent xmlns:mc="http://schemas.openxmlformats.org/markup-compatibility/2006">
    <mc:Choice Requires="x15">
      <x15ac:absPath xmlns:x15ac="http://schemas.microsoft.com/office/spreadsheetml/2010/11/ac" url="https://raorg.sharepoint.com/sites/StandardsAssurance/Shared Documents/Standards Team/Felix/Annex S3 Jan 2023/"/>
    </mc:Choice>
  </mc:AlternateContent>
  <xr:revisionPtr revIDLastSave="26" documentId="8_{6D8634EA-1248-4C46-9F6B-97808A7FEF34}" xr6:coauthVersionLast="47" xr6:coauthVersionMax="47" xr10:uidLastSave="{0538641B-F7BD-456A-8784-09E48456ACEC}"/>
  <bookViews>
    <workbookView xWindow="2685" yWindow="2685" windowWidth="38010" windowHeight="15885" xr2:uid="{2EB310F6-25A5-4CED-A769-9DB24F15FBAB}"/>
  </bookViews>
  <sheets>
    <sheet name="Page de couverture" sheetId="33" r:id="rId1"/>
    <sheet name="1. DOCUMENT D’ORIENTATION" sheetId="28" r:id="rId2"/>
    <sheet name="2. SAISIE DES DONNÉES" sheetId="29" r:id="rId3"/>
    <sheet name="3. RÉSULTATS" sheetId="27" r:id="rId4"/>
    <sheet name="Mitigations" sheetId="32" state="hidden" r:id="rId5"/>
    <sheet name="Data Sheet Current Vulnerabilit" sheetId="17" state="hidden" r:id="rId6"/>
  </sheets>
  <definedNames>
    <definedName name="_xlnm._FilterDatabase" localSheetId="5" hidden="1">'Data Sheet Current Vulnerabilit'!$A$1:$F$271</definedName>
    <definedName name="_xlnm._FilterDatabase" localSheetId="4" hidden="1">Mitigations!$A$1:$F$229</definedName>
    <definedName name="Answer">'2. SAISIE DES DONNÉES'!$F$38</definedName>
    <definedName name="Answer_24a">'2. SAISIE DES DONNÉES'!$F$41</definedName>
    <definedName name="AnswerQ32">'2. SAISIE DES DONNÉES'!$F$54</definedName>
    <definedName name="First">'2. SAISIE DES DONNÉES'!$X$72:$Z$72</definedName>
    <definedName name="First_24a">'2. SAISIE DES DONNÉES'!$Y$64:$Z$64</definedName>
    <definedName name="FirstQ32">'2. SAISIE DES DONNÉES'!$Y$68:$AB$68</definedName>
    <definedName name="_xlnm.Print_Area" localSheetId="1">'1. DOCUMENT D’ORIENTATION'!$F$9</definedName>
    <definedName name="_xlnm.Print_Area" localSheetId="2">'2. SAISIE DES DONNÉES'!$B$28</definedName>
    <definedName name="_xlnm.Print_Area" localSheetId="3">'3. RÉSULTATS'!$G$8</definedName>
    <definedName name="_xlnm.Print_Area" localSheetId="0">'Page de couverture'!$A$1:$M$32</definedName>
    <definedName name="Second" localSheetId="0">INDEX(Selections_New,,MATCH(Answer,First,0))</definedName>
    <definedName name="Second">INDEX(Selections_New,,MATCH(Answer,First,0))</definedName>
    <definedName name="Second_24a" localSheetId="0">INDEX('2. SAISIE DES DONNÉES'!$Y$65:$Z$66,,MATCH(Answer_24a,First_24a,0))</definedName>
    <definedName name="Second_24a">INDEX('2. SAISIE DES DONNÉES'!$Y$65:$Z$66,,MATCH(Answer_24a,First_24a,0))</definedName>
    <definedName name="SecondQ33" localSheetId="0">INDEX(SelectionsQ33,,MATCH(AnswerQ32,FirstQ32,0))</definedName>
    <definedName name="SecondQ33">INDEX(SelectionsQ33,,MATCH(AnswerQ32,FirstQ32,0))</definedName>
    <definedName name="Selections_24a">'2. SAISIE DES DONNÉES'!$Y$64:$Z$66</definedName>
    <definedName name="Selections_New">'2. SAISIE DES DONNÉES'!$X$72:$Z$74</definedName>
    <definedName name="SelectionsQ33">'2. SAISIE DES DONNÉES'!$Y$68:$AB$70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0" i="27" l="1"/>
  <c r="AL18" i="27"/>
  <c r="AL17" i="27"/>
  <c r="AL16" i="27"/>
  <c r="AL15" i="27"/>
  <c r="AL14" i="27"/>
  <c r="AL13" i="27"/>
  <c r="AL12" i="27"/>
  <c r="AL11" i="27"/>
  <c r="AL10" i="27"/>
  <c r="AL9" i="27"/>
  <c r="AL8" i="27"/>
  <c r="AL7" i="27"/>
  <c r="E61" i="29"/>
  <c r="E60" i="29"/>
  <c r="E59" i="29"/>
  <c r="E58" i="29"/>
  <c r="E55" i="29"/>
  <c r="E54" i="29"/>
  <c r="E53" i="29"/>
  <c r="E52" i="29"/>
  <c r="E49" i="29"/>
  <c r="E48" i="29"/>
  <c r="E47" i="29"/>
  <c r="E46" i="29"/>
  <c r="E45" i="29"/>
  <c r="E42" i="29"/>
  <c r="E41" i="29"/>
  <c r="E40" i="29"/>
  <c r="E39" i="29"/>
  <c r="E38" i="29"/>
  <c r="E37" i="29"/>
  <c r="E34" i="29"/>
  <c r="E33" i="29"/>
  <c r="E32" i="29"/>
  <c r="E31" i="29"/>
  <c r="E30" i="29"/>
  <c r="E29" i="29"/>
  <c r="D25" i="29"/>
  <c r="D24" i="29"/>
  <c r="D23" i="29"/>
  <c r="D22" i="29"/>
  <c r="D21" i="29"/>
  <c r="D20" i="29"/>
  <c r="D19" i="29"/>
  <c r="D16" i="29"/>
  <c r="D15" i="29"/>
  <c r="D14" i="29"/>
  <c r="D13" i="29"/>
  <c r="D12" i="29"/>
  <c r="D11" i="29"/>
  <c r="D10" i="29"/>
  <c r="H259" i="17" l="1"/>
  <c r="H258" i="17"/>
  <c r="H257" i="17"/>
  <c r="H256" i="17"/>
  <c r="H255" i="17"/>
  <c r="H254" i="17"/>
  <c r="H253" i="17"/>
  <c r="H252" i="17"/>
  <c r="H251" i="17"/>
  <c r="H250" i="17"/>
  <c r="H249" i="17"/>
  <c r="H248" i="17"/>
  <c r="H247" i="17"/>
  <c r="H246" i="17"/>
  <c r="H245" i="17"/>
  <c r="H244" i="17"/>
  <c r="H243" i="17"/>
  <c r="H242" i="17"/>
  <c r="H241" i="17"/>
  <c r="H240" i="17"/>
  <c r="H239" i="17"/>
  <c r="H238" i="17"/>
  <c r="H237" i="17"/>
  <c r="H236" i="17"/>
  <c r="H235" i="17"/>
  <c r="H234" i="17"/>
  <c r="H233" i="17"/>
  <c r="H232" i="17"/>
  <c r="H231" i="17"/>
  <c r="H230" i="17"/>
  <c r="H229" i="17"/>
  <c r="H228" i="17"/>
  <c r="H227" i="17"/>
  <c r="H226" i="17"/>
  <c r="H225" i="17"/>
  <c r="H224" i="17"/>
  <c r="H223" i="17"/>
  <c r="H222" i="17"/>
  <c r="H221" i="17"/>
  <c r="H220" i="17"/>
  <c r="H219" i="17"/>
  <c r="H218" i="17"/>
  <c r="H217" i="17"/>
  <c r="H216" i="17"/>
  <c r="H215" i="17"/>
  <c r="H214" i="17"/>
  <c r="H213" i="17"/>
  <c r="H212" i="17"/>
  <c r="H211" i="17"/>
  <c r="H210" i="17"/>
  <c r="H209" i="17"/>
  <c r="H208" i="17"/>
  <c r="H207" i="17"/>
  <c r="H206" i="17"/>
  <c r="H205" i="17"/>
  <c r="H204" i="17"/>
  <c r="H203" i="17"/>
  <c r="H202" i="17"/>
  <c r="H201" i="17"/>
  <c r="H200" i="17"/>
  <c r="H199" i="17"/>
  <c r="H198" i="17"/>
  <c r="H197" i="17"/>
  <c r="H196" i="17"/>
  <c r="H195" i="17"/>
  <c r="H194" i="17"/>
  <c r="H193" i="17"/>
  <c r="H192" i="17"/>
  <c r="H191" i="17"/>
  <c r="H190" i="17"/>
  <c r="H189" i="17"/>
  <c r="H188" i="17"/>
  <c r="H187" i="17"/>
  <c r="H186" i="17"/>
  <c r="H185" i="17"/>
  <c r="H184" i="17"/>
  <c r="H183" i="17"/>
  <c r="H182" i="17"/>
  <c r="H181" i="17"/>
  <c r="H180" i="17"/>
  <c r="H179" i="17"/>
  <c r="H178" i="17"/>
  <c r="H177" i="17"/>
  <c r="H176" i="17"/>
  <c r="H175" i="17"/>
  <c r="H174" i="17"/>
  <c r="H173" i="17"/>
  <c r="H172" i="17"/>
  <c r="H171" i="17"/>
  <c r="H170" i="17"/>
  <c r="H169" i="17"/>
  <c r="H168" i="17"/>
  <c r="H167" i="17"/>
  <c r="H166" i="17"/>
  <c r="H165" i="17"/>
  <c r="H164" i="17"/>
  <c r="H163" i="17"/>
  <c r="H162" i="17"/>
  <c r="H161" i="17"/>
  <c r="H160" i="17"/>
  <c r="H159" i="17"/>
  <c r="H158" i="17"/>
  <c r="H157" i="17"/>
  <c r="H156" i="17"/>
  <c r="H155" i="17"/>
  <c r="H154" i="17"/>
  <c r="H153" i="17"/>
  <c r="H152" i="17"/>
  <c r="H151" i="17"/>
  <c r="H150" i="17"/>
  <c r="H149" i="17"/>
  <c r="H148" i="17"/>
  <c r="H147" i="17"/>
  <c r="H146" i="17"/>
  <c r="H145" i="17"/>
  <c r="H144" i="17"/>
  <c r="H143" i="17"/>
  <c r="H142" i="17"/>
  <c r="H141" i="17"/>
  <c r="H140" i="17"/>
  <c r="H139" i="17"/>
  <c r="H138" i="17"/>
  <c r="H137" i="17"/>
  <c r="H136" i="17"/>
  <c r="H135" i="17"/>
  <c r="H134" i="17"/>
  <c r="H133" i="17"/>
  <c r="H132" i="17"/>
  <c r="H131" i="17"/>
  <c r="H130" i="17"/>
  <c r="H129" i="17"/>
  <c r="H128" i="17"/>
  <c r="H127" i="17"/>
  <c r="H126" i="17"/>
  <c r="H125" i="17"/>
  <c r="H124" i="17"/>
  <c r="H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8" i="17"/>
  <c r="H87" i="17"/>
  <c r="H86" i="17"/>
  <c r="H85" i="17"/>
  <c r="H84" i="17"/>
  <c r="H83" i="17"/>
  <c r="H82" i="17"/>
  <c r="H81" i="17"/>
  <c r="H80" i="17"/>
  <c r="H79" i="17"/>
  <c r="H78" i="17"/>
  <c r="H77" i="17"/>
  <c r="H76" i="17"/>
  <c r="H75" i="17"/>
  <c r="H74" i="17"/>
  <c r="H73" i="17"/>
  <c r="H72" i="17"/>
  <c r="H71" i="17"/>
  <c r="H70" i="17"/>
  <c r="H69" i="17"/>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5" i="17"/>
  <c r="H4" i="17"/>
  <c r="H3" i="17"/>
  <c r="H2" i="17"/>
  <c r="H229" i="32"/>
  <c r="H228" i="32"/>
  <c r="H227" i="32"/>
  <c r="H226" i="32"/>
  <c r="H225" i="32"/>
  <c r="H224" i="32"/>
  <c r="H223" i="32"/>
  <c r="H222" i="32"/>
  <c r="H221" i="32"/>
  <c r="H220" i="32"/>
  <c r="H219" i="32"/>
  <c r="H218" i="32"/>
  <c r="H217" i="32"/>
  <c r="H216" i="32"/>
  <c r="H215" i="32"/>
  <c r="H214" i="32"/>
  <c r="H213" i="32"/>
  <c r="H212" i="32"/>
  <c r="H211" i="32"/>
  <c r="H210" i="32"/>
  <c r="H209" i="32"/>
  <c r="H208" i="32"/>
  <c r="H207" i="32"/>
  <c r="H206" i="32"/>
  <c r="H205" i="32"/>
  <c r="H204" i="32"/>
  <c r="H203" i="32"/>
  <c r="H202" i="32"/>
  <c r="H201" i="32"/>
  <c r="H200" i="32"/>
  <c r="H199" i="32"/>
  <c r="H198" i="32"/>
  <c r="H197" i="32"/>
  <c r="H196" i="32"/>
  <c r="H195" i="32"/>
  <c r="H194" i="32"/>
  <c r="H193" i="32"/>
  <c r="H192" i="32"/>
  <c r="H191" i="32"/>
  <c r="H190" i="32"/>
  <c r="H189" i="32"/>
  <c r="H188" i="32"/>
  <c r="H187" i="32"/>
  <c r="H186" i="32"/>
  <c r="H185" i="32"/>
  <c r="H184" i="32"/>
  <c r="H183" i="32"/>
  <c r="H182" i="32"/>
  <c r="H181" i="32"/>
  <c r="H180" i="32"/>
  <c r="H179" i="32"/>
  <c r="H178" i="32"/>
  <c r="H177" i="32"/>
  <c r="H176" i="32"/>
  <c r="H175" i="32"/>
  <c r="H174" i="32"/>
  <c r="H173" i="32"/>
  <c r="H172" i="32"/>
  <c r="H171" i="32"/>
  <c r="H170" i="32"/>
  <c r="H169" i="32"/>
  <c r="H168" i="32"/>
  <c r="H167" i="32"/>
  <c r="H166" i="32"/>
  <c r="H165" i="32"/>
  <c r="H164" i="32"/>
  <c r="H163" i="32"/>
  <c r="H162" i="32"/>
  <c r="H161" i="32"/>
  <c r="H160" i="32"/>
  <c r="H159" i="32"/>
  <c r="H158" i="32"/>
  <c r="H157" i="32"/>
  <c r="H156" i="32"/>
  <c r="H155" i="32"/>
  <c r="H154" i="32"/>
  <c r="H153" i="32"/>
  <c r="H152" i="32"/>
  <c r="H151" i="32"/>
  <c r="H150" i="32"/>
  <c r="H149" i="32"/>
  <c r="H148" i="32"/>
  <c r="H147" i="32"/>
  <c r="H146" i="32"/>
  <c r="H145" i="32"/>
  <c r="H144" i="32"/>
  <c r="H143" i="32"/>
  <c r="H142" i="32"/>
  <c r="H141" i="32"/>
  <c r="H140" i="32"/>
  <c r="H139" i="32"/>
  <c r="H138" i="32"/>
  <c r="H137" i="32"/>
  <c r="H136" i="32"/>
  <c r="H135" i="32"/>
  <c r="H134" i="32"/>
  <c r="H133" i="32"/>
  <c r="H132" i="32"/>
  <c r="H131" i="32"/>
  <c r="H130" i="32"/>
  <c r="H129" i="32"/>
  <c r="H128" i="32"/>
  <c r="H127" i="32"/>
  <c r="H126" i="32"/>
  <c r="H125" i="32"/>
  <c r="H124" i="32"/>
  <c r="H123" i="32"/>
  <c r="H122" i="32"/>
  <c r="H121" i="32"/>
  <c r="H120" i="32"/>
  <c r="H119" i="32"/>
  <c r="H118" i="32"/>
  <c r="H117" i="32"/>
  <c r="H116" i="32"/>
  <c r="H115" i="32"/>
  <c r="H114" i="32"/>
  <c r="H113" i="32"/>
  <c r="H112" i="32"/>
  <c r="H111" i="32"/>
  <c r="H110" i="32"/>
  <c r="H109" i="32"/>
  <c r="H108" i="32"/>
  <c r="H107" i="32"/>
  <c r="H106" i="32"/>
  <c r="H105" i="32"/>
  <c r="H104" i="32"/>
  <c r="H103" i="32"/>
  <c r="H102" i="32"/>
  <c r="H101" i="32"/>
  <c r="H100" i="32"/>
  <c r="H99" i="32"/>
  <c r="H98" i="32"/>
  <c r="H97" i="32"/>
  <c r="H96" i="32"/>
  <c r="H95" i="32"/>
  <c r="H94" i="32"/>
  <c r="H93" i="32"/>
  <c r="H92" i="32"/>
  <c r="H91" i="32"/>
  <c r="H90" i="32"/>
  <c r="H89" i="32"/>
  <c r="H88" i="32"/>
  <c r="H87" i="32"/>
  <c r="H86" i="32"/>
  <c r="H85" i="32"/>
  <c r="H84" i="32"/>
  <c r="H83" i="32"/>
  <c r="H82" i="32"/>
  <c r="H81" i="32"/>
  <c r="H80" i="32"/>
  <c r="H79" i="32"/>
  <c r="H78" i="32"/>
  <c r="H77" i="32"/>
  <c r="H76" i="32"/>
  <c r="H75" i="32"/>
  <c r="H74" i="32"/>
  <c r="H73" i="32"/>
  <c r="H72" i="32"/>
  <c r="H71" i="32"/>
  <c r="H70" i="32"/>
  <c r="H69" i="32"/>
  <c r="H68" i="32"/>
  <c r="H67" i="32"/>
  <c r="H66" i="32"/>
  <c r="H65" i="32"/>
  <c r="H64" i="32"/>
  <c r="H63" i="32"/>
  <c r="H62" i="32"/>
  <c r="H61" i="32"/>
  <c r="H60" i="32"/>
  <c r="H59" i="32"/>
  <c r="H58" i="32"/>
  <c r="H57" i="32"/>
  <c r="H56" i="32"/>
  <c r="H55" i="32"/>
  <c r="H54" i="32"/>
  <c r="H53" i="32"/>
  <c r="H52" i="32"/>
  <c r="H51" i="32"/>
  <c r="H50" i="32"/>
  <c r="H49" i="32"/>
  <c r="H48" i="32"/>
  <c r="H47" i="32"/>
  <c r="H46" i="32"/>
  <c r="H45" i="32"/>
  <c r="H44" i="32"/>
  <c r="H43" i="32"/>
  <c r="H42" i="32"/>
  <c r="H41" i="32"/>
  <c r="H40" i="32"/>
  <c r="H39" i="32"/>
  <c r="H38" i="32"/>
  <c r="H37" i="32"/>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8" i="32"/>
  <c r="H7" i="32"/>
  <c r="H6" i="32"/>
  <c r="H5" i="32"/>
  <c r="H4" i="32"/>
  <c r="H3" i="32"/>
  <c r="H2" i="32"/>
  <c r="I13" i="27"/>
  <c r="I12" i="27"/>
  <c r="I11" i="27"/>
  <c r="I10" i="27"/>
  <c r="U51" i="29"/>
  <c r="U57" i="29"/>
  <c r="V20" i="29"/>
  <c r="V21" i="29"/>
  <c r="V22" i="29"/>
  <c r="V23" i="29"/>
  <c r="V24" i="29"/>
  <c r="V25" i="29"/>
  <c r="V19" i="29"/>
  <c r="V11" i="29"/>
  <c r="V12" i="29"/>
  <c r="V13" i="29"/>
  <c r="V14" i="29"/>
  <c r="V15" i="29"/>
  <c r="V16" i="29"/>
  <c r="V10" i="29"/>
  <c r="D36" i="32" l="1"/>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193" i="32"/>
  <c r="D194" i="32"/>
  <c r="D195" i="32"/>
  <c r="D196" i="32"/>
  <c r="D197" i="32"/>
  <c r="D198" i="32"/>
  <c r="D199" i="32"/>
  <c r="D200" i="32"/>
  <c r="D201" i="32"/>
  <c r="D202" i="32"/>
  <c r="D203" i="32"/>
  <c r="D204" i="32"/>
  <c r="D205" i="32"/>
  <c r="D206" i="32"/>
  <c r="D207" i="32"/>
  <c r="D208" i="32"/>
  <c r="D209" i="32"/>
  <c r="D210" i="32"/>
  <c r="D211" i="32"/>
  <c r="D212" i="32"/>
  <c r="D213" i="32"/>
  <c r="D214" i="32"/>
  <c r="D215" i="32"/>
  <c r="D216" i="32"/>
  <c r="D217" i="32"/>
  <c r="D30" i="32"/>
  <c r="D31" i="32"/>
  <c r="D32" i="32"/>
  <c r="D33" i="32"/>
  <c r="D34" i="32"/>
  <c r="D35" i="32"/>
  <c r="D29" i="32"/>
  <c r="D3" i="32" l="1"/>
  <c r="D4" i="32"/>
  <c r="D5" i="32"/>
  <c r="D6" i="32"/>
  <c r="D7" i="32"/>
  <c r="D8" i="32"/>
  <c r="D9" i="32"/>
  <c r="D10" i="32"/>
  <c r="D11" i="32"/>
  <c r="D12" i="32"/>
  <c r="D13" i="32"/>
  <c r="D14" i="32"/>
  <c r="D15" i="32"/>
  <c r="D16" i="32"/>
  <c r="D17" i="32"/>
  <c r="D18" i="32"/>
  <c r="D19" i="32"/>
  <c r="D20" i="32"/>
  <c r="D21" i="32"/>
  <c r="D22" i="32"/>
  <c r="D23" i="32"/>
  <c r="D24" i="32"/>
  <c r="D25" i="32"/>
  <c r="D26" i="32"/>
  <c r="D27" i="32"/>
  <c r="D28" i="32"/>
  <c r="D2" i="32"/>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G32" i="29"/>
  <c r="G31" i="29"/>
  <c r="G30" i="29"/>
  <c r="G29" i="29"/>
  <c r="G33" i="29"/>
  <c r="G34" i="29"/>
  <c r="G38" i="29"/>
  <c r="G39" i="29"/>
  <c r="U39" i="29" s="1"/>
  <c r="G37" i="29"/>
  <c r="U37" i="29" s="1"/>
  <c r="G40" i="29"/>
  <c r="U40" i="29" s="1"/>
  <c r="G41" i="29"/>
  <c r="U41" i="29" s="1"/>
  <c r="G42" i="29"/>
  <c r="G45" i="29"/>
  <c r="U45" i="29" s="1"/>
  <c r="G46" i="29"/>
  <c r="U46" i="29" s="1"/>
  <c r="G47" i="29"/>
  <c r="U47" i="29" s="1"/>
  <c r="G48" i="29"/>
  <c r="U48" i="29" s="1"/>
  <c r="G49" i="29"/>
  <c r="G52" i="29"/>
  <c r="U52" i="29" s="1"/>
  <c r="G53" i="29"/>
  <c r="U53" i="29" s="1"/>
  <c r="G54" i="29"/>
  <c r="G55" i="29"/>
  <c r="G58" i="29"/>
  <c r="U58" i="29" s="1"/>
  <c r="G59" i="29"/>
  <c r="U59" i="29" s="1"/>
  <c r="G60" i="29"/>
  <c r="U60" i="29" s="1"/>
  <c r="G61" i="29"/>
  <c r="D2" i="17"/>
  <c r="I8" i="27" l="1"/>
  <c r="I9" i="27"/>
  <c r="U42" i="29"/>
  <c r="U49" i="29"/>
  <c r="U55" i="29"/>
  <c r="U54" i="29"/>
  <c r="U61" i="29"/>
  <c r="U38" i="29"/>
  <c r="U34" i="29"/>
  <c r="V34" i="29"/>
  <c r="V33" i="29"/>
  <c r="U33" i="29"/>
  <c r="V32" i="29"/>
  <c r="U32" i="29"/>
  <c r="V31" i="29"/>
  <c r="U31" i="29"/>
  <c r="U30" i="29"/>
  <c r="V30" i="29"/>
  <c r="U29" i="29"/>
  <c r="V29" i="29"/>
  <c r="I157" i="17"/>
  <c r="I156" i="17"/>
  <c r="I155" i="17"/>
  <c r="I154" i="17"/>
  <c r="I153" i="17"/>
  <c r="I152" i="17"/>
  <c r="I151" i="17"/>
  <c r="I150" i="17"/>
  <c r="I149" i="17"/>
  <c r="I148" i="17"/>
  <c r="I147" i="17"/>
  <c r="I146" i="17"/>
  <c r="I145" i="17"/>
  <c r="I118" i="17"/>
  <c r="I117" i="17"/>
  <c r="I116" i="17"/>
  <c r="I115" i="17"/>
  <c r="I114" i="17"/>
  <c r="I113" i="17"/>
  <c r="I112" i="17"/>
  <c r="I111" i="17"/>
  <c r="I110" i="17"/>
  <c r="I109" i="17"/>
  <c r="I108" i="17"/>
  <c r="I107" i="17"/>
  <c r="I106" i="17"/>
  <c r="I79" i="17"/>
  <c r="I78" i="17"/>
  <c r="I77" i="17"/>
  <c r="I76" i="17"/>
  <c r="I75" i="17"/>
  <c r="I74" i="17"/>
  <c r="I73" i="17"/>
  <c r="I72" i="17"/>
  <c r="I71" i="17"/>
  <c r="I70" i="17"/>
  <c r="I69" i="17"/>
  <c r="I68" i="17"/>
  <c r="I67" i="17"/>
  <c r="I40" i="17"/>
  <c r="I39" i="17"/>
  <c r="I38" i="17"/>
  <c r="I37" i="17"/>
  <c r="I36" i="17"/>
  <c r="I35" i="17"/>
  <c r="I34" i="17"/>
  <c r="I33" i="17"/>
  <c r="I32" i="17"/>
  <c r="I31" i="17"/>
  <c r="I30" i="17"/>
  <c r="I29" i="17"/>
  <c r="I28"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I217" i="32" l="1"/>
  <c r="I216" i="32"/>
  <c r="I209" i="32"/>
  <c r="I208" i="32"/>
  <c r="I201" i="32"/>
  <c r="I200" i="32"/>
  <c r="I193" i="32"/>
  <c r="I192" i="32"/>
  <c r="I185" i="32"/>
  <c r="I184" i="32"/>
  <c r="I177" i="32"/>
  <c r="I176" i="32"/>
  <c r="I167" i="32"/>
  <c r="I163" i="32"/>
  <c r="I159" i="32"/>
  <c r="I157" i="32"/>
  <c r="I153" i="32"/>
  <c r="I149" i="32"/>
  <c r="I145" i="32"/>
  <c r="I141" i="32"/>
  <c r="I137" i="32"/>
  <c r="I133" i="32"/>
  <c r="I129" i="32"/>
  <c r="I125" i="32"/>
  <c r="I124" i="32"/>
  <c r="I117" i="32"/>
  <c r="I113" i="32"/>
  <c r="I109" i="32"/>
  <c r="I105" i="32"/>
  <c r="I101" i="32"/>
  <c r="I97" i="32"/>
  <c r="I93" i="32"/>
  <c r="I89" i="32"/>
  <c r="I85" i="32"/>
  <c r="I81" i="32"/>
  <c r="I77" i="32"/>
  <c r="I73" i="32"/>
  <c r="I72" i="32"/>
  <c r="I65" i="32"/>
  <c r="I61" i="32"/>
  <c r="I57" i="32"/>
  <c r="I53" i="32"/>
  <c r="I49" i="32"/>
  <c r="I45" i="32"/>
  <c r="I41" i="32"/>
  <c r="I40" i="32"/>
  <c r="I33" i="32"/>
  <c r="I32" i="32"/>
  <c r="I25" i="32"/>
  <c r="I24" i="32"/>
  <c r="I17" i="32"/>
  <c r="I16" i="32"/>
  <c r="I9" i="32"/>
  <c r="I8" i="32"/>
  <c r="G167" i="32"/>
  <c r="G163" i="32"/>
  <c r="G159" i="32"/>
  <c r="G157" i="32"/>
  <c r="G153" i="32"/>
  <c r="G149" i="32"/>
  <c r="G145" i="32"/>
  <c r="G141" i="32"/>
  <c r="G137" i="32"/>
  <c r="G133" i="32"/>
  <c r="G129" i="32"/>
  <c r="G125" i="32"/>
  <c r="G124" i="32"/>
  <c r="G117" i="32"/>
  <c r="G113" i="32"/>
  <c r="G109" i="32"/>
  <c r="G105" i="32"/>
  <c r="G101" i="32"/>
  <c r="G97" i="32"/>
  <c r="G93" i="32"/>
  <c r="G89" i="32"/>
  <c r="G85" i="32"/>
  <c r="G81" i="32"/>
  <c r="G77" i="32"/>
  <c r="G73" i="32"/>
  <c r="G72" i="32"/>
  <c r="G65" i="32"/>
  <c r="G61" i="32"/>
  <c r="G57" i="32"/>
  <c r="G53" i="32"/>
  <c r="G49" i="32"/>
  <c r="G45" i="32"/>
  <c r="G41" i="32"/>
  <c r="G40" i="32"/>
  <c r="G33" i="32"/>
  <c r="G32" i="32"/>
  <c r="G25" i="32"/>
  <c r="G24" i="32"/>
  <c r="G17" i="32"/>
  <c r="G16" i="32"/>
  <c r="G9" i="32"/>
  <c r="G8" i="32"/>
  <c r="I211" i="32"/>
  <c r="I210" i="32"/>
  <c r="I203" i="32"/>
  <c r="I202" i="32"/>
  <c r="I195" i="32"/>
  <c r="I194" i="32"/>
  <c r="I187" i="32"/>
  <c r="I186" i="32"/>
  <c r="I179" i="32"/>
  <c r="I178" i="32"/>
  <c r="I171" i="32"/>
  <c r="I170" i="32"/>
  <c r="I166" i="32"/>
  <c r="I162" i="32"/>
  <c r="I158" i="32"/>
  <c r="I154" i="32"/>
  <c r="I150" i="32"/>
  <c r="I146" i="32"/>
  <c r="I142" i="32"/>
  <c r="I138" i="32"/>
  <c r="I134" i="32"/>
  <c r="I130" i="32"/>
  <c r="I126" i="32"/>
  <c r="I119" i="32"/>
  <c r="I118" i="32"/>
  <c r="I114" i="32"/>
  <c r="I110" i="32"/>
  <c r="I106" i="32"/>
  <c r="I102" i="32"/>
  <c r="I98" i="32"/>
  <c r="I94" i="32"/>
  <c r="I90" i="32"/>
  <c r="I86" i="32"/>
  <c r="I82" i="32"/>
  <c r="I78" i="32"/>
  <c r="I74" i="32"/>
  <c r="I67" i="32"/>
  <c r="I66" i="32"/>
  <c r="I62" i="32"/>
  <c r="I58" i="32"/>
  <c r="I54" i="32"/>
  <c r="I50" i="32"/>
  <c r="I46" i="32"/>
  <c r="I42" i="32"/>
  <c r="I35" i="32"/>
  <c r="I34" i="32"/>
  <c r="I27" i="32"/>
  <c r="I26" i="32"/>
  <c r="I19" i="32"/>
  <c r="I18" i="32"/>
  <c r="I11" i="32"/>
  <c r="I10" i="32"/>
  <c r="I3" i="32"/>
  <c r="I2" i="32"/>
  <c r="G166" i="32"/>
  <c r="G162" i="32"/>
  <c r="G158" i="32"/>
  <c r="G154" i="32"/>
  <c r="G150" i="32"/>
  <c r="G146" i="32"/>
  <c r="G142" i="32"/>
  <c r="G138" i="32"/>
  <c r="G134" i="32"/>
  <c r="G130" i="32"/>
  <c r="G126" i="32"/>
  <c r="G119" i="32"/>
  <c r="G118" i="32"/>
  <c r="G114" i="32"/>
  <c r="G110" i="32"/>
  <c r="G106" i="32"/>
  <c r="G102" i="32"/>
  <c r="G98" i="32"/>
  <c r="G94" i="32"/>
  <c r="G90" i="32"/>
  <c r="G86" i="32"/>
  <c r="G82" i="32"/>
  <c r="G78" i="32"/>
  <c r="G74" i="32"/>
  <c r="G67" i="32"/>
  <c r="G66" i="32"/>
  <c r="G62" i="32"/>
  <c r="G58" i="32"/>
  <c r="G54" i="32"/>
  <c r="G50" i="32"/>
  <c r="G46" i="32"/>
  <c r="G42" i="32"/>
  <c r="G35" i="32"/>
  <c r="G34" i="32"/>
  <c r="G27" i="32"/>
  <c r="G26" i="32"/>
  <c r="G19" i="32"/>
  <c r="G18" i="32"/>
  <c r="G11" i="32"/>
  <c r="G10" i="32"/>
  <c r="G3" i="32"/>
  <c r="G2" i="32"/>
  <c r="I215" i="32"/>
  <c r="I214" i="32"/>
  <c r="I207" i="32"/>
  <c r="I206" i="32"/>
  <c r="I199" i="32"/>
  <c r="I198" i="32"/>
  <c r="I191" i="32"/>
  <c r="I190" i="32"/>
  <c r="I183" i="32"/>
  <c r="I182" i="32"/>
  <c r="I175" i="32"/>
  <c r="I174" i="32"/>
  <c r="I168" i="32"/>
  <c r="I164" i="32"/>
  <c r="I160" i="32"/>
  <c r="I156" i="32"/>
  <c r="I152" i="32"/>
  <c r="I148" i="32"/>
  <c r="I144" i="32"/>
  <c r="I140" i="32"/>
  <c r="I136" i="32"/>
  <c r="I132" i="32"/>
  <c r="I128" i="32"/>
  <c r="I123" i="32"/>
  <c r="I122" i="32"/>
  <c r="I116" i="32"/>
  <c r="I112" i="32"/>
  <c r="I108" i="32"/>
  <c r="I104" i="32"/>
  <c r="I100" i="32"/>
  <c r="I96" i="32"/>
  <c r="I92" i="32"/>
  <c r="I88" i="32"/>
  <c r="I84" i="32"/>
  <c r="I80" i="32"/>
  <c r="I76" i="32"/>
  <c r="I71" i="32"/>
  <c r="I70" i="32"/>
  <c r="I64" i="32"/>
  <c r="I60" i="32"/>
  <c r="I56" i="32"/>
  <c r="I52" i="32"/>
  <c r="I48" i="32"/>
  <c r="I44" i="32"/>
  <c r="I39" i="32"/>
  <c r="I38" i="32"/>
  <c r="I31" i="32"/>
  <c r="I30" i="32"/>
  <c r="I23" i="32"/>
  <c r="I22" i="32"/>
  <c r="I15" i="32"/>
  <c r="I14" i="32"/>
  <c r="I7" i="32"/>
  <c r="I6" i="32"/>
  <c r="G168" i="32"/>
  <c r="G164" i="32"/>
  <c r="G160" i="32"/>
  <c r="G156" i="32"/>
  <c r="G152" i="32"/>
  <c r="G148" i="32"/>
  <c r="G144" i="32"/>
  <c r="G140" i="32"/>
  <c r="G136" i="32"/>
  <c r="G132" i="32"/>
  <c r="G128" i="32"/>
  <c r="G123" i="32"/>
  <c r="G122" i="32"/>
  <c r="G116" i="32"/>
  <c r="G112" i="32"/>
  <c r="G108" i="32"/>
  <c r="G104" i="32"/>
  <c r="G100" i="32"/>
  <c r="G96" i="32"/>
  <c r="G92" i="32"/>
  <c r="G88" i="32"/>
  <c r="G84" i="32"/>
  <c r="G80" i="32"/>
  <c r="G76" i="32"/>
  <c r="G71" i="32"/>
  <c r="G70" i="32"/>
  <c r="G64" i="32"/>
  <c r="G60" i="32"/>
  <c r="G56" i="32"/>
  <c r="G52" i="32"/>
  <c r="G48" i="32"/>
  <c r="G44" i="32"/>
  <c r="G39" i="32"/>
  <c r="G38" i="32"/>
  <c r="G31" i="32"/>
  <c r="G30" i="32"/>
  <c r="G23" i="32"/>
  <c r="G22" i="32"/>
  <c r="G15" i="32"/>
  <c r="G14" i="32"/>
  <c r="G7" i="32"/>
  <c r="G6" i="32"/>
  <c r="I213" i="32"/>
  <c r="I212" i="32"/>
  <c r="I205" i="32"/>
  <c r="I204" i="32"/>
  <c r="I197" i="32"/>
  <c r="I196" i="32"/>
  <c r="I189" i="32"/>
  <c r="I188" i="32"/>
  <c r="I181" i="32"/>
  <c r="I180" i="32"/>
  <c r="I173" i="32"/>
  <c r="I172" i="32"/>
  <c r="I169" i="32"/>
  <c r="I165" i="32"/>
  <c r="I161" i="32"/>
  <c r="I155" i="32"/>
  <c r="I151" i="32"/>
  <c r="I147" i="32"/>
  <c r="I143" i="32"/>
  <c r="I139" i="32"/>
  <c r="I135" i="32"/>
  <c r="I131" i="32"/>
  <c r="I127" i="32"/>
  <c r="I121" i="32"/>
  <c r="I120" i="32"/>
  <c r="I115" i="32"/>
  <c r="I111" i="32"/>
  <c r="I107" i="32"/>
  <c r="I103" i="32"/>
  <c r="I99" i="32"/>
  <c r="I95" i="32"/>
  <c r="I91" i="32"/>
  <c r="I87" i="32"/>
  <c r="I83" i="32"/>
  <c r="I79" i="32"/>
  <c r="I75" i="32"/>
  <c r="I69" i="32"/>
  <c r="I68" i="32"/>
  <c r="I63" i="32"/>
  <c r="I59" i="32"/>
  <c r="I55" i="32"/>
  <c r="I51" i="32"/>
  <c r="I47" i="32"/>
  <c r="I43" i="32"/>
  <c r="I37" i="32"/>
  <c r="I36" i="32"/>
  <c r="I29" i="32"/>
  <c r="I28" i="32"/>
  <c r="I21" i="32"/>
  <c r="I20" i="32"/>
  <c r="I13" i="32"/>
  <c r="I12" i="32"/>
  <c r="I5" i="32"/>
  <c r="I4" i="32"/>
  <c r="G169" i="32"/>
  <c r="G165" i="32"/>
  <c r="G161" i="32"/>
  <c r="G155" i="32"/>
  <c r="G151" i="32"/>
  <c r="G147" i="32"/>
  <c r="G143" i="32"/>
  <c r="G139" i="32"/>
  <c r="G135" i="32"/>
  <c r="G131" i="32"/>
  <c r="G127" i="32"/>
  <c r="G121" i="32"/>
  <c r="G120" i="32"/>
  <c r="G115" i="32"/>
  <c r="G111" i="32"/>
  <c r="G107" i="32"/>
  <c r="G103" i="32"/>
  <c r="G99" i="32"/>
  <c r="G95" i="32"/>
  <c r="G91" i="32"/>
  <c r="G87" i="32"/>
  <c r="G83" i="32"/>
  <c r="G79" i="32"/>
  <c r="G75" i="32"/>
  <c r="G69" i="32"/>
  <c r="G68" i="32"/>
  <c r="G63" i="32"/>
  <c r="G59" i="32"/>
  <c r="G55" i="32"/>
  <c r="G51" i="32"/>
  <c r="G47" i="32"/>
  <c r="G43" i="32"/>
  <c r="G37" i="32"/>
  <c r="G36" i="32"/>
  <c r="G29" i="32"/>
  <c r="G28" i="32"/>
  <c r="G21" i="32"/>
  <c r="G20" i="32"/>
  <c r="G13" i="32"/>
  <c r="G12" i="32"/>
  <c r="G5" i="32"/>
  <c r="G4" i="32"/>
  <c r="I229" i="32"/>
  <c r="I228" i="32"/>
  <c r="I227" i="32"/>
  <c r="I226" i="32"/>
  <c r="I225" i="32"/>
  <c r="I224" i="32"/>
  <c r="I223" i="32"/>
  <c r="I222" i="32"/>
  <c r="I221" i="32"/>
  <c r="I220" i="32"/>
  <c r="I219" i="32"/>
  <c r="I218" i="32"/>
  <c r="Z10" i="29" l="1"/>
  <c r="C7" i="27"/>
  <c r="C8" i="27"/>
  <c r="C9" i="27" l="1"/>
</calcChain>
</file>

<file path=xl/sharedStrings.xml><?xml version="1.0" encoding="utf-8"?>
<sst xmlns="http://schemas.openxmlformats.org/spreadsheetml/2006/main" count="2845" uniqueCount="336">
  <si>
    <t>Annexe S03 :</t>
  </si>
  <si>
    <t>Partie 1.3.5. Évaluation approfondie des risques du changement climatique</t>
  </si>
  <si>
    <t>Document SA-S-SD-4b</t>
  </si>
  <si>
    <t>Version 1.3</t>
  </si>
  <si>
    <t>Publié le 11 mai 2023</t>
  </si>
  <si>
    <r>
      <t>Contraignant à partir du 1</t>
    </r>
    <r>
      <rPr>
        <i/>
        <vertAlign val="superscript"/>
        <sz val="14"/>
        <color rgb="FF94BA29"/>
        <rFont val="Century Gothic"/>
        <family val="2"/>
      </rPr>
      <t>er</t>
    </r>
    <r>
      <rPr>
        <i/>
        <sz val="14"/>
        <color rgb="FF94BA29"/>
        <rFont val="Century Gothic"/>
        <family val="2"/>
      </rPr>
      <t> juillet 2023</t>
    </r>
  </si>
  <si>
    <t>Nom du document :</t>
  </si>
  <si>
    <t>Première publication :</t>
  </si>
  <si>
    <t>Expire le :</t>
  </si>
  <si>
    <t>À propos de l’Annexe S03 : L’outil d’évaluation des risques contient les fichiers suivants :</t>
  </si>
  <si>
    <t>Annexe S03 : Partie 1.3.5. Évaluation approfondie des risques du changement climatique</t>
  </si>
  <si>
    <t>6 Février 2023</t>
  </si>
  <si>
    <t>Jusqu’à nouvel ordre</t>
  </si>
  <si>
    <t>- SA-S-SD-4a Annexe S03 : Outil d’évaluation et d’atténuation des risques de base
- SA-S-SD-4b Annexe S03 : Partie 1.3.5. Évaluation approfondie des risques de changement climatique
- SA-S-SD-4c Annexe S03 : Partie 1.6.3. Évaluation - approfondie des risques liés au genre
- SA-S-SD-4d Annexe S03 : Partie 5.1.5 Étude approfondie de l'évaluation-et-résolution des risques</t>
  </si>
  <si>
    <t>Lié à :</t>
  </si>
  <si>
    <t xml:space="preserve">SA-S-SD-1 Norme pour l’agriculture durable 2020 de Rainforest Alliance, Exigences pour les exploitations agricoles
SA-S-SD-24 Annexe Chapitre 6 : Environnement
		</t>
  </si>
  <si>
    <t>Remplace :</t>
  </si>
  <si>
    <t>-</t>
  </si>
  <si>
    <t xml:space="preserve">Applicable aux : </t>
  </si>
  <si>
    <t>Titulaires d'un certificat</t>
  </si>
  <si>
    <t>Pays/Région :</t>
  </si>
  <si>
    <t>Tous</t>
  </si>
  <si>
    <t>Produit agricole :</t>
  </si>
  <si>
    <t xml:space="preserve">Type de certification : </t>
  </si>
  <si>
    <t>Limite de fonctionnalité</t>
  </si>
  <si>
    <t>Tous les produits agricoles entrant dans le champ d’application du système de certification de Rainforest Alliance ; veuillez voir les Règles de certification.</t>
  </si>
  <si>
    <t>Titulaires de certificats d’exploitations agricoles</t>
  </si>
  <si>
    <t>Pour être pleinement fonctionnel, cet outil nécessite Microsoft Excel 2013 ou des versions ultérieures. Avec les versions antérieures à Excel 2013, sa pleine fonctionnalité ne peut être garantie.</t>
  </si>
  <si>
    <t>Décharge de responsabilité concernant la traduction </t>
  </si>
  <si>
    <t>Pour toute question liée à la signification précise des informations contenues dans ce document traduit, veuillez vous référer à la version officielle en anglais pour en obtenir la clarification. Les divergences ou différences de sens constatées entre la traduction et le texte original ne sont pas contraignantes et sont sans effet sur la certification ou les audits.</t>
  </si>
  <si>
    <t>Plus d’informations ? </t>
  </si>
  <si>
    <r>
      <rPr>
        <sz val="10"/>
        <color theme="1"/>
        <rFont val="Century Gothic"/>
        <family val="2"/>
      </rPr>
      <t>Pour plus d’information sur Rainforest Alliance, visitez le site </t>
    </r>
    <r>
      <rPr>
        <sz val="10"/>
        <color rgb="FF1A52C2"/>
        <rFont val="Century Gothic"/>
        <family val="2"/>
      </rPr>
      <t>www.rainforest-alliance.org</t>
    </r>
    <r>
      <rPr>
        <sz val="10"/>
        <color theme="1"/>
        <rFont val="Century Gothic"/>
        <family val="2"/>
      </rPr>
      <t> ou contactez </t>
    </r>
    <r>
      <rPr>
        <sz val="10"/>
        <color rgb="FF1A52C2"/>
        <rFont val="Century Gothic"/>
        <family val="2"/>
      </rPr>
      <t>info@ra.org</t>
    </r>
    <r>
      <rPr>
        <sz val="10"/>
        <color theme="1"/>
        <rFont val="Century Gothic"/>
        <family val="2"/>
      </rPr>
      <t> </t>
    </r>
  </si>
  <si>
    <t>Toute utilisation de ce contenu, y compris la reproduction, la modification, la distribution ou la réédition, sans l’accord préalable écrit de Rainforest Alliance est strictement interdite.</t>
  </si>
  <si>
    <t>© 2023 Rainforest Alliance. Tous droits réservés.</t>
  </si>
  <si>
    <t>RAINFOREST ALLIANCE -- OUTIL D’ÉVALUATION APPROFONDIE DES RISQUES DU CHANGEMENT CLIMATIQUE</t>
  </si>
  <si>
    <t xml:space="preserve">
</t>
  </si>
  <si>
    <t>Page d’explication</t>
  </si>
  <si>
    <t>1. Paramétrage de l’outil</t>
  </si>
  <si>
    <t>2. Explication de l’onglet de saisie des données (n° 2)</t>
  </si>
  <si>
    <t>3. Explication de l’onglet de résultats (n° 3)</t>
  </si>
  <si>
    <r>
      <rPr>
        <b/>
        <sz val="14"/>
        <color theme="1"/>
        <rFont val="Calibri"/>
        <family val="2"/>
        <scheme val="minor"/>
      </rPr>
      <t>L’outil comprend trois onglets.</t>
    </r>
    <r>
      <rPr>
        <b/>
        <sz val="14"/>
        <color theme="1"/>
        <rFont val="Calibri"/>
        <family val="2"/>
        <scheme val="minor"/>
      </rPr>
      <t xml:space="preserve"> 
</t>
    </r>
    <r>
      <rPr>
        <b/>
        <sz val="14"/>
        <color theme="1"/>
        <rFont val="Calibri"/>
        <family val="2"/>
        <scheme val="minor"/>
      </rPr>
      <t xml:space="preserve">Onglet n° 1 (document d'orientation), </t>
    </r>
    <r>
      <rPr>
        <sz val="14"/>
        <color theme="1"/>
        <rFont val="Calibri"/>
        <family val="2"/>
        <scheme val="minor"/>
      </rPr>
      <t>explication de l’outil et des différentes étapes nécessaires à la finalisation de l’é</t>
    </r>
    <r>
      <rPr>
        <sz val="14"/>
        <color rgb="FF000000"/>
        <rFont val="Calibri"/>
        <family val="2"/>
        <scheme val="minor"/>
      </rPr>
      <t>valuation des risques du changement</t>
    </r>
    <r>
      <rPr>
        <sz val="14"/>
        <color theme="1"/>
        <rFont val="Calibri"/>
        <family val="2"/>
        <scheme val="minor"/>
      </rPr>
      <t xml:space="preserve"> climatique.</t>
    </r>
    <r>
      <rPr>
        <sz val="14"/>
        <color theme="1"/>
        <rFont val="Calibri"/>
        <family val="2"/>
        <scheme val="minor"/>
      </rPr>
      <t xml:space="preserve">  </t>
    </r>
    <r>
      <rPr>
        <b/>
        <sz val="14"/>
        <color theme="1"/>
        <rFont val="Calibri"/>
        <family val="2"/>
        <scheme val="minor"/>
      </rPr>
      <t xml:space="preserve">
</t>
    </r>
  </si>
  <si>
    <r>
      <rPr>
        <b/>
        <sz val="14"/>
        <color theme="1"/>
        <rFont val="Calibri"/>
        <family val="2"/>
        <scheme val="minor"/>
      </rPr>
      <t>ÉTAPE 1 Sélection du lieu, de la culture et de la langue.</t>
    </r>
    <r>
      <rPr>
        <sz val="14"/>
        <color theme="1"/>
        <rFont val="Calibri"/>
        <family val="2"/>
        <scheme val="minor"/>
      </rPr>
      <t xml:space="preserve"> 
</t>
    </r>
    <r>
      <rPr>
        <sz val="14"/>
        <color theme="1"/>
        <rFont val="Calibri"/>
        <family val="2"/>
        <scheme val="minor"/>
      </rPr>
      <t>L’onglet de saisie des données vous permet de choisir la région (au niveau du continent), le pays et la sous-région éventuelle (à l’intérieur du pays).</t>
    </r>
    <r>
      <rPr>
        <sz val="14"/>
        <color theme="1"/>
        <rFont val="Calibri"/>
        <family val="2"/>
        <scheme val="minor"/>
      </rPr>
      <t xml:space="preserve"> </t>
    </r>
    <r>
      <rPr>
        <sz val="14"/>
        <color theme="1"/>
        <rFont val="Calibri"/>
        <family val="2"/>
        <scheme val="minor"/>
      </rPr>
      <t>Il permet également de sélectionner les cultures (café, thé, bananes, cacao).</t>
    </r>
    <r>
      <rPr>
        <sz val="14"/>
        <color theme="1"/>
        <rFont val="Calibri"/>
        <family val="2"/>
        <scheme val="minor"/>
      </rPr>
      <t xml:space="preserve">
</t>
    </r>
  </si>
  <si>
    <r>
      <rPr>
        <b/>
        <sz val="14"/>
        <color theme="1"/>
        <rFont val="Calibri"/>
        <family val="2"/>
        <scheme val="minor"/>
      </rPr>
      <t>Section 1.</t>
    </r>
    <r>
      <rPr>
        <b/>
        <sz val="14"/>
        <color theme="1"/>
        <rFont val="Calibri"/>
        <family val="2"/>
        <scheme val="minor"/>
      </rPr>
      <t xml:space="preserve"> </t>
    </r>
    <r>
      <rPr>
        <b/>
        <sz val="14"/>
        <color theme="1"/>
        <rFont val="Calibri"/>
        <family val="2"/>
        <scheme val="minor"/>
      </rPr>
      <t>Vue d’ensemble du niveau de risque climatique.</t>
    </r>
    <r>
      <rPr>
        <sz val="14"/>
        <color theme="1"/>
        <rFont val="Calibri"/>
        <family val="2"/>
        <scheme val="minor"/>
      </rPr>
      <t xml:space="preserve">
</t>
    </r>
    <r>
      <rPr>
        <sz val="14"/>
        <color theme="1"/>
        <rFont val="Calibri"/>
        <family val="2"/>
        <scheme val="minor"/>
      </rPr>
      <t>Cette section détermine le niveau de risque climatique sur la base de vos réponses aux questions de la section sur l’exposition et l’impact en onglet n° 2 (saisie des données).</t>
    </r>
  </si>
  <si>
    <r>
      <rPr>
        <b/>
        <sz val="14"/>
        <color theme="1"/>
        <rFont val="Calibri"/>
        <family val="2"/>
        <scheme val="minor"/>
      </rPr>
      <t>Onglet n° 2 (Saisie des données),</t>
    </r>
    <r>
      <rPr>
        <sz val="14"/>
        <color theme="1"/>
        <rFont val="Calibri"/>
        <family val="2"/>
        <scheme val="minor"/>
      </rPr>
      <t xml:space="preserve"> qui permet de saisir les données (position, cultures et langue) et de répondre  à des questions spécifiques sur les impacts climatique et l’exposition et sur votre capacité d’adaptation au changement climatique</t>
    </r>
    <r>
      <rPr>
        <b/>
        <sz val="14"/>
        <color theme="1"/>
        <rFont val="Calibri"/>
        <family val="2"/>
        <scheme val="minor"/>
      </rPr>
      <t xml:space="preserve">
</t>
    </r>
  </si>
  <si>
    <r>
      <rPr>
        <b/>
        <sz val="14"/>
        <color theme="1"/>
        <rFont val="Calibri"/>
        <family val="2"/>
        <scheme val="minor"/>
      </rPr>
      <t>ÉTAPE 2.</t>
    </r>
    <r>
      <rPr>
        <b/>
        <sz val="14"/>
        <color theme="1"/>
        <rFont val="Calibri"/>
        <family val="2"/>
        <scheme val="minor"/>
      </rPr>
      <t xml:space="preserve"> </t>
    </r>
    <r>
      <rPr>
        <b/>
        <sz val="14"/>
        <color theme="1"/>
        <rFont val="Calibri"/>
        <family val="2"/>
        <scheme val="minor"/>
      </rPr>
      <t>Répondre (par oui ou par non) aux questions relatives à votre niveau d’exposition aux impacts du changement climatique</t>
    </r>
    <r>
      <rPr>
        <sz val="14"/>
        <color theme="1"/>
        <rFont val="Calibri"/>
        <family val="2"/>
        <scheme val="minor"/>
      </rPr>
      <t xml:space="preserve">
Vos réponses à 7 questions permettent de définir votre niveau d’exposition aux impacts du changement climatique.</t>
    </r>
    <r>
      <rPr>
        <sz val="14"/>
        <color theme="1"/>
        <rFont val="Calibri"/>
        <family val="2"/>
        <scheme val="minor"/>
      </rPr>
      <t xml:space="preserve"> </t>
    </r>
    <r>
      <rPr>
        <sz val="14"/>
        <color theme="1"/>
        <rFont val="Calibri"/>
        <family val="2"/>
        <scheme val="minor"/>
      </rPr>
      <t>Répondez à ces question par « oui » ou par « non ».</t>
    </r>
    <r>
      <rPr>
        <sz val="14"/>
        <color theme="1"/>
        <rFont val="Calibri"/>
        <family val="2"/>
        <scheme val="minor"/>
      </rPr>
      <t xml:space="preserve"> </t>
    </r>
    <r>
      <rPr>
        <sz val="14"/>
        <color theme="1"/>
        <rFont val="Calibri"/>
        <family val="2"/>
        <scheme val="minor"/>
      </rPr>
      <t>Sélectionnez la réponse dans la liste déroulante.</t>
    </r>
    <r>
      <rPr>
        <sz val="14"/>
        <color theme="1"/>
        <rFont val="Calibri"/>
        <family val="2"/>
        <scheme val="minor"/>
      </rPr>
      <t xml:space="preserve">
</t>
    </r>
  </si>
  <si>
    <r>
      <rPr>
        <b/>
        <sz val="14"/>
        <color theme="1"/>
        <rFont val="Calibri"/>
        <family val="2"/>
        <scheme val="minor"/>
      </rPr>
      <t>Section 2.</t>
    </r>
    <r>
      <rPr>
        <b/>
        <sz val="14"/>
        <color theme="1"/>
        <rFont val="Calibri"/>
        <family val="2"/>
        <scheme val="minor"/>
      </rPr>
      <t xml:space="preserve"> </t>
    </r>
    <r>
      <rPr>
        <b/>
        <sz val="14"/>
        <color theme="1"/>
        <rFont val="Calibri"/>
        <family val="2"/>
        <scheme val="minor"/>
      </rPr>
      <t>Vue d’ensemble de votre capacité d’adaptation et de votre niveau de résilience face aux impacts du changement climatique.</t>
    </r>
    <r>
      <rPr>
        <sz val="14"/>
        <color theme="1"/>
        <rFont val="Calibri"/>
        <family val="2"/>
        <scheme val="minor"/>
      </rPr>
      <t xml:space="preserve">
</t>
    </r>
    <r>
      <rPr>
        <sz val="14"/>
        <color theme="1"/>
        <rFont val="Calibri"/>
        <family val="2"/>
        <scheme val="minor"/>
      </rPr>
      <t>Cette section permet d’établir une évaluation en forme de graphique en toile d'araignée qui représente votre résilience globale et votre capacité d’adaptation pour réagir au changement climatique.</t>
    </r>
    <r>
      <rPr>
        <sz val="14"/>
        <color theme="1"/>
        <rFont val="Calibri"/>
        <family val="2"/>
        <scheme val="minor"/>
      </rPr>
      <t xml:space="preserve"> </t>
    </r>
    <r>
      <rPr>
        <sz val="14"/>
        <color theme="1"/>
        <rFont val="Calibri"/>
        <family val="2"/>
        <scheme val="minor"/>
      </rPr>
      <t>Les scores sont basés sur vos réponses à la section de capacité d’adaptation en onglet n° 2.</t>
    </r>
    <r>
      <rPr>
        <sz val="14"/>
        <color theme="1"/>
        <rFont val="Calibri"/>
        <family val="2"/>
        <scheme val="minor"/>
      </rPr>
      <t xml:space="preserve"> </t>
    </r>
    <r>
      <rPr>
        <sz val="14"/>
        <color theme="1"/>
        <rFont val="Calibri"/>
        <family val="2"/>
        <scheme val="minor"/>
      </rPr>
      <t>La capacité d’adaptation porte sur les catégories exploitation, eau, sol, végétation naturelle et gestion des cultures.</t>
    </r>
    <r>
      <rPr>
        <sz val="14"/>
        <color theme="1"/>
        <rFont val="Calibri"/>
        <family val="2"/>
        <scheme val="minor"/>
      </rPr>
      <t xml:space="preserve"> </t>
    </r>
    <r>
      <rPr>
        <sz val="14"/>
        <color theme="1"/>
        <rFont val="Calibri"/>
        <family val="2"/>
        <scheme val="minor"/>
      </rPr>
      <t>Ces évaluations vous permettent de découvrir les domaines à améliorer.</t>
    </r>
    <r>
      <rPr>
        <sz val="14"/>
        <color theme="1"/>
        <rFont val="Calibri"/>
        <family val="2"/>
        <scheme val="minor"/>
      </rPr>
      <t xml:space="preserve">
</t>
    </r>
  </si>
  <si>
    <r>
      <rPr>
        <b/>
        <sz val="14"/>
        <color theme="1"/>
        <rFont val="Calibri"/>
        <family val="2"/>
        <scheme val="minor"/>
      </rPr>
      <t>Onglet n° 3 (Résultats)</t>
    </r>
    <r>
      <rPr>
        <sz val="14"/>
        <color theme="1"/>
        <rFont val="Calibri"/>
        <family val="2"/>
        <scheme val="minor"/>
      </rPr>
      <t xml:space="preserve"> qui fournit les résultats de l’évaluation</t>
    </r>
    <r>
      <rPr>
        <sz val="14"/>
        <color theme="1"/>
        <rFont val="Calibri"/>
        <family val="2"/>
        <scheme val="minor"/>
      </rPr>
      <t xml:space="preserve"> </t>
    </r>
  </si>
  <si>
    <r>
      <rPr>
        <b/>
        <sz val="14"/>
        <color theme="1"/>
        <rFont val="Calibri"/>
        <family val="2"/>
        <scheme val="minor"/>
      </rPr>
      <t>ÉTAPE 3.</t>
    </r>
    <r>
      <rPr>
        <b/>
        <sz val="14"/>
        <color theme="1"/>
        <rFont val="Calibri"/>
        <family val="2"/>
        <scheme val="minor"/>
      </rPr>
      <t xml:space="preserve"> </t>
    </r>
    <r>
      <rPr>
        <b/>
        <sz val="14"/>
        <color theme="1"/>
        <rFont val="Calibri"/>
        <family val="2"/>
        <scheme val="minor"/>
      </rPr>
      <t>Répondre (par oui ou par non) aux questions relatives à votre niveau d’exposition aux impacts du changement climatique</t>
    </r>
    <r>
      <rPr>
        <sz val="14"/>
        <color theme="1"/>
        <rFont val="Calibri"/>
        <family val="2"/>
        <scheme val="minor"/>
      </rPr>
      <t xml:space="preserve">
Vos réponses à 7 questions permettent de définir votre niveau d’exposition aux impacts du changement climatique.</t>
    </r>
    <r>
      <rPr>
        <sz val="14"/>
        <color theme="1"/>
        <rFont val="Calibri"/>
        <family val="2"/>
        <scheme val="minor"/>
      </rPr>
      <t xml:space="preserve"> </t>
    </r>
    <r>
      <rPr>
        <sz val="14"/>
        <color theme="1"/>
        <rFont val="Calibri"/>
        <family val="2"/>
        <scheme val="minor"/>
      </rPr>
      <t>Répondez à ces question par « oui » ou par « non ».</t>
    </r>
    <r>
      <rPr>
        <sz val="14"/>
        <color theme="1"/>
        <rFont val="Calibri"/>
        <family val="2"/>
        <scheme val="minor"/>
      </rPr>
      <t xml:space="preserve"> </t>
    </r>
    <r>
      <rPr>
        <sz val="14"/>
        <color theme="1"/>
        <rFont val="Calibri"/>
        <family val="2"/>
        <scheme val="minor"/>
      </rPr>
      <t>Sélectionnez la réponse dans la liste déroulante.</t>
    </r>
    <r>
      <rPr>
        <sz val="14"/>
        <color theme="1"/>
        <rFont val="Calibri"/>
        <family val="2"/>
        <scheme val="minor"/>
      </rPr>
      <t xml:space="preserve">
</t>
    </r>
  </si>
  <si>
    <r>
      <rPr>
        <b/>
        <sz val="14"/>
        <color theme="1"/>
        <rFont val="Calibri"/>
        <family val="2"/>
        <scheme val="minor"/>
      </rPr>
      <t>Section 3.</t>
    </r>
    <r>
      <rPr>
        <b/>
        <sz val="14"/>
        <color theme="1"/>
        <rFont val="Calibri"/>
        <family val="2"/>
        <scheme val="minor"/>
      </rPr>
      <t xml:space="preserve"> </t>
    </r>
    <r>
      <rPr>
        <b/>
        <sz val="14"/>
        <color theme="1"/>
        <rFont val="Calibri"/>
        <family val="2"/>
        <scheme val="minor"/>
      </rPr>
      <t>Mesures d’atténuation générale</t>
    </r>
    <r>
      <rPr>
        <sz val="14"/>
        <color theme="1"/>
        <rFont val="Calibri"/>
        <family val="2"/>
        <scheme val="minor"/>
      </rPr>
      <t xml:space="preserve">
Sur la base des cultures que vous avez sélectionnées, vous recevez une liste de mesures d’atténuation que vous pouvez mettre en œuvre pour une meilleure adaptation au changement climatique.</t>
    </r>
    <r>
      <rPr>
        <sz val="14"/>
        <color theme="1"/>
        <rFont val="Calibri"/>
        <family val="2"/>
        <scheme val="minor"/>
      </rPr>
      <t xml:space="preserve"> </t>
    </r>
    <r>
      <rPr>
        <sz val="14"/>
        <color theme="1"/>
        <rFont val="Calibri"/>
        <family val="2"/>
        <scheme val="minor"/>
      </rPr>
      <t>Cette liste contient les actions générales pour les quatre cultures différentes.</t>
    </r>
    <r>
      <rPr>
        <sz val="14"/>
        <color theme="1"/>
        <rFont val="Calibri"/>
        <family val="2"/>
        <scheme val="minor"/>
      </rPr>
      <t xml:space="preserve">
</t>
    </r>
  </si>
  <si>
    <r>
      <rPr>
        <b/>
        <sz val="14"/>
        <color theme="1"/>
        <rFont val="Calibri"/>
        <family val="2"/>
        <scheme val="minor"/>
      </rPr>
      <t>ÉTAPE 4.</t>
    </r>
    <r>
      <rPr>
        <b/>
        <sz val="14"/>
        <color theme="1"/>
        <rFont val="Calibri"/>
        <family val="2"/>
        <scheme val="minor"/>
      </rPr>
      <t xml:space="preserve"> </t>
    </r>
    <r>
      <rPr>
        <b/>
        <sz val="14"/>
        <color theme="1"/>
        <rFont val="Calibri"/>
        <family val="2"/>
        <scheme val="minor"/>
      </rPr>
      <t>Répondre (par oui ou par non) aux questions relatives à votre sensibilité aux impacts du changement climatique</t>
    </r>
    <r>
      <rPr>
        <sz val="14"/>
        <color theme="1"/>
        <rFont val="Calibri"/>
        <family val="2"/>
        <scheme val="minor"/>
      </rPr>
      <t xml:space="preserve">
Série de questions qui permettent d’évaluer votre niveau d’adaptabilité aux impacts du changement climatique.</t>
    </r>
    <r>
      <rPr>
        <sz val="14"/>
        <color theme="1"/>
        <rFont val="Calibri"/>
        <family val="2"/>
        <scheme val="minor"/>
      </rPr>
      <t xml:space="preserve"> </t>
    </r>
    <r>
      <rPr>
        <sz val="14"/>
        <color theme="1"/>
        <rFont val="Calibri"/>
        <family val="2"/>
        <scheme val="minor"/>
      </rPr>
      <t>Les questions de cette sections sont réparties entre les thèmes du sol, de l’eau, de la végétation naturelle et des caractéristiques spécifiques des récoltes.</t>
    </r>
    <r>
      <rPr>
        <sz val="14"/>
        <color theme="1"/>
        <rFont val="Calibri"/>
        <family val="2"/>
        <scheme val="minor"/>
      </rPr>
      <t xml:space="preserve"> 
</t>
    </r>
  </si>
  <si>
    <t>SAISIE DES DONNÉES</t>
  </si>
  <si>
    <t xml:space="preserve">Sélection des cultures </t>
  </si>
  <si>
    <r>
      <rPr>
        <sz val="14"/>
        <color theme="1"/>
        <rFont val="Calibri"/>
        <family val="2"/>
        <scheme val="minor"/>
      </rPr>
      <t xml:space="preserve">Sélectionnez une </t>
    </r>
    <r>
      <rPr>
        <b/>
        <sz val="14"/>
        <color rgb="FF000000"/>
        <rFont val="Calibri"/>
        <family val="2"/>
        <scheme val="minor"/>
      </rPr>
      <t>culture</t>
    </r>
    <r>
      <rPr>
        <sz val="14"/>
        <color rgb="FF000000"/>
        <rFont val="Calibri"/>
        <family val="2"/>
        <scheme val="minor"/>
      </rPr>
      <t xml:space="preserve"> dans la liste déroulante→</t>
    </r>
  </si>
  <si>
    <t>[SÉLECTIONNER]</t>
  </si>
  <si>
    <t>Étape 2. Niveau d’exposition</t>
  </si>
  <si>
    <t>Question 1</t>
  </si>
  <si>
    <t xml:space="preserve">Exposition : </t>
  </si>
  <si>
    <t>Question 2</t>
  </si>
  <si>
    <t>« nature et degré des changements climatiques auxquelles un système est exposé. »</t>
  </si>
  <si>
    <t>Question 3a</t>
  </si>
  <si>
    <t>Question 3b</t>
  </si>
  <si>
    <t>Question 4</t>
  </si>
  <si>
    <t>Question 5</t>
  </si>
  <si>
    <t>Question 6</t>
  </si>
  <si>
    <t>Étape 3. Niveau d’ Impact</t>
  </si>
  <si>
    <t>Question 7</t>
  </si>
  <si>
    <t>Question 8</t>
  </si>
  <si>
    <t xml:space="preserve">Impacts : </t>
  </si>
  <si>
    <t>Question 9</t>
  </si>
  <si>
    <t>Question 10</t>
  </si>
  <si>
    <t>Question 11</t>
  </si>
  <si>
    <t>Question 12</t>
  </si>
  <si>
    <t>Question 13</t>
  </si>
  <si>
    <t>Étape 4. Capacité d’adaptation</t>
  </si>
  <si>
    <t>A. Gestion de l’exploitation agricole</t>
  </si>
  <si>
    <t>Composant</t>
  </si>
  <si>
    <t>Réponse</t>
  </si>
  <si>
    <t>Barème d’évaluation</t>
  </si>
  <si>
    <t>Question 14</t>
  </si>
  <si>
    <t>Carte de l’exploitation</t>
  </si>
  <si>
    <t>Vulnérabilité pratiquement nulle, excellente capacité d’adaptation</t>
  </si>
  <si>
    <t>Question 15</t>
  </si>
  <si>
    <t>Évaluation de la vulnérabilité</t>
  </si>
  <si>
    <t>Très faible vulnérabilité, capacité d’adaptation élevée</t>
  </si>
  <si>
    <t>Question 16</t>
  </si>
  <si>
    <t>Intégration de la vulnérabilité dans les pratiques</t>
  </si>
  <si>
    <t>Faible vulnérabilité et capacité d’adaptation modérée</t>
  </si>
  <si>
    <t>Question 17</t>
  </si>
  <si>
    <t>Plan de gestion</t>
  </si>
  <si>
    <t>Vulnérabilité et capacité d’adaptation modérées</t>
  </si>
  <si>
    <t>Question 18</t>
  </si>
  <si>
    <t>Diversification des revenus</t>
  </si>
  <si>
    <t>Vulnérabilité modérée et faible capacité d’adaptation</t>
  </si>
  <si>
    <t>Question 19</t>
  </si>
  <si>
    <t>Gestion des enregistrements</t>
  </si>
  <si>
    <t>Vulnérabilité élevée et très faible capacité d’adaptation</t>
  </si>
  <si>
    <t>Vulnérabilité supérieure et capacité d’adaptation critique</t>
  </si>
  <si>
    <t>B. Gestion de l’eau</t>
  </si>
  <si>
    <t>Vulnérabilité extrême et capacité d’adaptation particulièrement faible</t>
  </si>
  <si>
    <t>Question 20</t>
  </si>
  <si>
    <t>Infrastructure de captage de l’eau</t>
  </si>
  <si>
    <t>Question 21</t>
  </si>
  <si>
    <t>Système d’irrigation</t>
  </si>
  <si>
    <t>Question 22</t>
  </si>
  <si>
    <t xml:space="preserve">Entretien des réseaux d’irrigation </t>
  </si>
  <si>
    <t>Question 23</t>
  </si>
  <si>
    <t>Optimisation de l’eau d’irrigation</t>
  </si>
  <si>
    <t>Question 24a</t>
  </si>
  <si>
    <t>Écosystèmes aquatiques</t>
  </si>
  <si>
    <t>Question 24b</t>
  </si>
  <si>
    <t>Protection des écosystèmes aquatiques</t>
  </si>
  <si>
    <t>C. Conservation des sols</t>
  </si>
  <si>
    <t>Question 25</t>
  </si>
  <si>
    <t>Incorporation d’engrais biologiques</t>
  </si>
  <si>
    <t>Question 26</t>
  </si>
  <si>
    <t>Cultures de couverture</t>
  </si>
  <si>
    <t>Question 27</t>
  </si>
  <si>
    <t>Mulching</t>
  </si>
  <si>
    <t>Question 28</t>
  </si>
  <si>
    <t>Stratégies de conservation des sols</t>
  </si>
  <si>
    <t>Question 29</t>
  </si>
  <si>
    <t xml:space="preserve">Canaux de drainage </t>
  </si>
  <si>
    <t>D. Gestion de la végétation naturelle sur l'exploitation</t>
  </si>
  <si>
    <t>Question 30</t>
  </si>
  <si>
    <t>Canaux de drainage</t>
  </si>
  <si>
    <t>Question 31</t>
  </si>
  <si>
    <t>Conservation de la végétation indigène</t>
  </si>
  <si>
    <t>Question 32</t>
  </si>
  <si>
    <t>Systèmes d’agroforesterie (si tolérants à l’ombre)</t>
  </si>
  <si>
    <t>Question 33</t>
  </si>
  <si>
    <t>Gestion des systèmes d’agroforesterie</t>
  </si>
  <si>
    <t>E. Gestion des cultures</t>
  </si>
  <si>
    <t>Question 34</t>
  </si>
  <si>
    <t>Sélection des variétés de culture</t>
  </si>
  <si>
    <t>Question 35</t>
  </si>
  <si>
    <t>Taille et élagage des cultures</t>
  </si>
  <si>
    <t>Question 36</t>
  </si>
  <si>
    <t>Luttes contres les ravageurs et les maladies</t>
  </si>
  <si>
    <t>Question 37</t>
  </si>
  <si>
    <t>Fertilisation</t>
  </si>
  <si>
    <t>Général</t>
  </si>
  <si>
    <t>oui</t>
  </si>
  <si>
    <t>les bananes</t>
  </si>
  <si>
    <t>non</t>
  </si>
  <si>
    <t>cacao</t>
  </si>
  <si>
    <t>partiellement</t>
  </si>
  <si>
    <t>N/A</t>
  </si>
  <si>
    <t>café</t>
  </si>
  <si>
    <t>thé</t>
  </si>
  <si>
    <t>Page de résultats de l'évaluation des risques du changement climatique.</t>
  </si>
  <si>
    <t>Pour imprimer vos résultats, il est recommandé de procéder par Résultat. Veillez à sélectionner la case correspondant au résultat recherché, puis sélectionner le fichier « File » et cliquez sur « Print » pour imprimer. Dans la rubrique de réglages « Settings », dans le premier menu déroulant, sélectionnez « Print Selection », puis sélectionnez la commande d’ajustement de la page d’impression à une feuille « Fit Sheet on One page » dans le menu déroulant du bas. Pour les Résultats 2, sélectionner l’orientation en paysage « Landscape Orientation ».</t>
  </si>
  <si>
    <t>RÉSULTATS 1.</t>
  </si>
  <si>
    <t>RÉSULTATS 2.</t>
  </si>
  <si>
    <t>RÉSULTATS 3.</t>
  </si>
  <si>
    <t>3.1 NIVEAU DE RISQUE CLIMATIQUE</t>
  </si>
  <si>
    <t>CAPACITÉ D’ADAPTATION (générale)</t>
  </si>
  <si>
    <t>Actions d’atténuation générale</t>
  </si>
  <si>
    <t>NIVEAUX</t>
  </si>
  <si>
    <t>Niveau</t>
  </si>
  <si>
    <t xml:space="preserve">Risque climatique </t>
  </si>
  <si>
    <t>COEFFICIENT DE RÉSILIENCE</t>
  </si>
  <si>
    <t>D. Gestion de la végétation naturelle</t>
  </si>
  <si>
    <t>Ces mesures d’amélioration ont pour but de renforcer la résilience de votre exploitation. Identifiez les actions les mieux adaptées à votre situation sur la base de l’exploitation, de vos moyens et du contexte.</t>
  </si>
  <si>
    <t>EXPOSITION</t>
  </si>
  <si>
    <t>Risque climatique pratiquement nul
(score 14 à 12)</t>
  </si>
  <si>
    <t>Le coefficient de résilience (score maxi : 1) est le score moyen de vos pratiques actuelles dans les catégories Exploitation, Eau, Sol, Végétation naturelle et Gestion des cultures. Plus le score est élevé, meilleure est la résilience de l’exploitation. Consultez votre score par catégorie afin d’identifier les domaines susceptibles d’améliorations. Votre capacité d’adaptation détermine l’amélioration potentielle que vous pouvez réaliser en fonction du contexte.</t>
  </si>
  <si>
    <t>Atténuation 1</t>
  </si>
  <si>
    <t>IMPACTS</t>
  </si>
  <si>
    <t xml:space="preserve">
Risque climatique très faible
(score 12 à 8)</t>
  </si>
  <si>
    <t>Coefficient de résilience</t>
  </si>
  <si>
    <t>Atténuation 2</t>
  </si>
  <si>
    <r>
      <rPr>
        <b/>
        <sz val="11"/>
        <color rgb="FF000000"/>
        <rFont val="Calibri"/>
        <family val="2"/>
        <scheme val="minor"/>
      </rPr>
      <t xml:space="preserve">RISQUE CLIMATIQUE ACTUEL </t>
    </r>
    <r>
      <rPr>
        <b/>
        <sz val="11"/>
        <color theme="1"/>
        <rFont val="Calibri"/>
        <family val="2"/>
        <scheme val="minor"/>
      </rPr>
      <t xml:space="preserve">
(Changements de couleur en fonction du score, ne pas modifier)</t>
    </r>
  </si>
  <si>
    <r>
      <rPr>
        <b/>
        <sz val="11"/>
        <color theme="1"/>
        <rFont val="Calibri"/>
        <family val="2"/>
        <scheme val="minor"/>
      </rPr>
      <t xml:space="preserve">Comparez la couleur au tableau (ou utilisez le score)
            </t>
    </r>
    <r>
      <rPr>
        <b/>
        <sz val="20"/>
        <color rgb="FF000000"/>
        <rFont val="Calibri"/>
        <family val="2"/>
        <scheme val="minor"/>
      </rPr>
      <t xml:space="preserve">  --&gt;</t>
    </r>
  </si>
  <si>
    <t>Risque climatique faible
(score 8 à 4)</t>
  </si>
  <si>
    <t>Gestion de l’exploitation agricole</t>
  </si>
  <si>
    <t>Atténuation 3</t>
  </si>
  <si>
    <t>Le score de risque climatique est indiqué par la couleur correspondante sur la base de vos réponses aux questions des catégories Exposition et impact. Le score élevé est 14 et le plus faible est –14. Nous insistons sur le fait que ce score est indicatif et qu’il a pour objet de mieux montrer l’importance du changement climatique pour vous, mais pour indiquer que l’essentiel n’est pas uniquement le nombre mais votre prise de conscience des menaces que le changement climatique fait peser sur votre système d’exploitation agricole.</t>
  </si>
  <si>
    <t>Risque climatique modéré
(score 4 à 0)</t>
  </si>
  <si>
    <t>Gestion de l’eau</t>
  </si>
  <si>
    <t>Atténuation 4</t>
  </si>
  <si>
    <t xml:space="preserve">
Risque climatique très modéré
(score 0 à –4)</t>
  </si>
  <si>
    <t>Gestion des sols</t>
  </si>
  <si>
    <t>Atténuation 5</t>
  </si>
  <si>
    <t>Risque climatique élevé
(score –4 à –8)</t>
  </si>
  <si>
    <t>Gestion de la végétation naturelle</t>
  </si>
  <si>
    <t>Atténuation 6</t>
  </si>
  <si>
    <t>Risque climatique très élevé
(score –8 à –12)</t>
  </si>
  <si>
    <t>Gestion des cultures</t>
  </si>
  <si>
    <t>Atténuation 7</t>
  </si>
  <si>
    <t>Risque climatique critique/très élevé
(score –12 à –14)</t>
  </si>
  <si>
    <t>Atténuation 8</t>
  </si>
  <si>
    <t>Atténuation 9</t>
  </si>
  <si>
    <t>Atténuation 10</t>
  </si>
  <si>
    <t>Atténuation 11</t>
  </si>
  <si>
    <t>Atténuation 12</t>
  </si>
  <si>
    <t>C. Gestion des sols</t>
  </si>
  <si>
    <t>Produit agricole</t>
  </si>
  <si>
    <t>Question</t>
  </si>
  <si>
    <t>Concate1</t>
  </si>
  <si>
    <t>Question (Consultation 1)</t>
  </si>
  <si>
    <t>Concate2</t>
  </si>
  <si>
    <t>Réponse (Consultation 2)</t>
  </si>
  <si>
    <t>Concat3</t>
  </si>
  <si>
    <t>Action d’atténuation (Consultation 3)</t>
  </si>
  <si>
    <t>Exposition</t>
  </si>
  <si>
    <t xml:space="preserve">La température a-t-elle changé au cours des 10 dernières années ? </t>
  </si>
  <si>
    <t>Impacts</t>
  </si>
  <si>
    <t xml:space="preserve">Constatez-vous une augmentation de la chute des fleurs et des fruits ? </t>
  </si>
  <si>
    <t>Constatez-vous une augmentation de la défoliation des plantes ?</t>
  </si>
  <si>
    <r>
      <rPr>
        <sz val="7"/>
        <color theme="1"/>
        <rFont val="Times New Roman"/>
        <family val="1"/>
      </rPr>
      <t xml:space="preserve"> </t>
    </r>
    <r>
      <rPr>
        <sz val="11"/>
        <color theme="1"/>
        <rFont val="Calibri"/>
        <family val="2"/>
        <scheme val="minor"/>
      </rPr>
      <t>Les dégâts des ravageurs et des maladies sur le système de production ont-ils augmenté au cours des 5 à 10 dernières années ?</t>
    </r>
    <r>
      <rPr>
        <sz val="11"/>
        <color theme="1"/>
        <rFont val="Calibri"/>
        <family val="2"/>
        <scheme val="minor"/>
      </rPr>
      <t xml:space="preserve"> </t>
    </r>
  </si>
  <si>
    <t>Sur la base de l’évaluation des sols, identifier les zones exposées aux risques d’érosion et mettre en place des pratiques de conservation des sols telles que terrasses, terrasses individuelles, conservation des sols, etc.</t>
  </si>
  <si>
    <t>Le sol de la zone de production n’est pas laissé à nu, il est protégé par des mesures telles que des cultures de couverture et du paillis afin de limiter l’érosion et la perte de nutriments au profit de l’augmentation des nutriments et de la ressource en eau</t>
  </si>
  <si>
    <t>Mettre en œuvre des mesures de diversification des systèmes de production tels qu’une augmentation du nombre d’arbres fruitier, du bois d’œuvre et des cultures alimentaires</t>
  </si>
  <si>
    <t>Si les systèmes de production sont exposés en plein soleil, essayer de renforcer l’ombrage jusqu’au seuil optimal de couverture. En cas d’ombrage excessif, mettre en œuvre des activités de gestion de l’ombre permettant d’atteindre le seuil optimal</t>
  </si>
  <si>
    <t xml:space="preserve"> Les dégâts des ravageurs et des maladies sur le système de production ont-ils augmenté au cours des 5 à 10 dernières années ? </t>
  </si>
  <si>
    <t>Mettre en œuvre une taille ou un élagage progressif de rajeunissement ou la plantation progressive de nouvelles plantes. Sélectionner les nouveaux plants en fonction des conditions climatiques futures.</t>
  </si>
  <si>
    <t>Améliorer la surveillance des ravageurs et des maladies afin d’en évaluer les impacts sur les cacaoyers</t>
  </si>
  <si>
    <t xml:space="preserve">La productivité a-t-elle diminué au cours des dernières années (5 à 10 ans) ? </t>
  </si>
  <si>
    <t>Maintenir les pratiques de taille et d’élagage</t>
  </si>
  <si>
    <t>Replanter les plantes malades conformément à la stratégie de LIR</t>
  </si>
  <si>
    <t>Épandre en premier lieu les engrais biologiques et les sous-produits disponibles sur l’exploitation, puis compléter avec des engrais chimiques si les nutriments restent insuffisants.</t>
  </si>
  <si>
    <t xml:space="preserve">Les écosystèmes aquatiques sont entourés de zones ripariennes tampons dont la largeur correspond aux paramètres des exigences standards
</t>
  </si>
  <si>
    <t>Augmenter la couverture de végétation naturelle sur l’exploitation pour renforcer l’apport et la résilience de la biodiversité et de l’écosystème.</t>
  </si>
  <si>
    <t>Prendre en compte les impacts actuels et futurs du changement climatique lors du développement des plans de gestion des cultures et de l’exploitation</t>
  </si>
  <si>
    <t>Capacité d’adaptation</t>
  </si>
  <si>
    <t>Existe-t-il une carte (éventuellement un croquis) de l’exploitation qui identifie les zones de production, les aires de conservation, les écosystèmes aquatiques et les zones potentiellement vulnérables (zones inondables, exposées à l’érosion, etc.) ?</t>
  </si>
  <si>
    <t>Sur la base de l’évaluation des sols, identifier les zones exposées aux risques d’érosion et mettre en œuvre des pratiques de conservation des sols telles que terrasses, terrasses individuelles, paillage, etc.)</t>
  </si>
  <si>
    <t>Sur la base de l’évaluation des sols, identifier les zones exposées aux risques d’érosion et mettre en place des pratiques de conservation des sols telles que terrasses, terrasses individuelles, couverture des sols, etc.)</t>
  </si>
  <si>
    <t>Entretenir les canaux de drainage pour prévenir l’érosion et protéger l’eau.</t>
  </si>
  <si>
    <t>Les risques climatiques futurs ont-ils été identifiés sur la base des niveaux de vulnérabilité ?</t>
  </si>
  <si>
    <t>Le sol de la zone de production n’est pas laissé à nu, il est protégé par des mesures telles que des cultures de couverture et du paillis afin de limiter l’érosion et la perte de nutriments au profit de l’augmentation des nutriments et de la ressource en eau.</t>
  </si>
  <si>
    <t>Les pratiques agricoles ont-elles été associées en vue de compenser les vulnérabilités climatiques identifiées ?</t>
  </si>
  <si>
    <t>La diversification est un aspect clé de la résilience. Maintenir la diversification de la composition des espèces sur l’exploitation.</t>
  </si>
  <si>
    <t>Existe-t-il un plan de gestion des cultures ou de l’exploitation qui tient compte des vulnérabilités climatiques actuelles et futures ?</t>
  </si>
  <si>
    <t>Entretenir et/ou rétablir les zones ripariennes tampons proches des écosystèmes aquatiques</t>
  </si>
  <si>
    <t>Existe-t-il une stratégies de diversification des revenus ? (Horizontale / verticale)</t>
  </si>
  <si>
    <t>Appliquer les mesures phytosanitaires de réduction des risques d’infection TR4. Appliquer le plan d’urgence en cas d’apparition d’une infection.</t>
  </si>
  <si>
    <t>Existe-t-il un plan de gestion des enregistrements de la production, des intrants agricoles, des données météorologiques, etc. ?</t>
  </si>
  <si>
    <t>Améliorer la surveillance des ravageurs et des maladies afin d’en évaluer les impacts sur les caféiers</t>
  </si>
  <si>
    <t>Améliorer la surveillance des ravageurs et des maladies afin d’en évaluer les impacts sur les théiers</t>
  </si>
  <si>
    <t>Appliquer et mettre à jour le plan de LIR contre la cercosporiose du bananier</t>
  </si>
  <si>
    <t xml:space="preserve">Les pluies ont-elles été irrégulières au cours des dernières années (5 à 10 ans) ? </t>
  </si>
  <si>
    <t>L’exploitation installe-t-elle une infrastructure de collecte de l’eau de pluie pour l’irrigation et à d’autres fins ?</t>
  </si>
  <si>
    <t>Respecter scrupuleusement les consignes de manipulation des pesticides lors de leur application.</t>
  </si>
  <si>
    <t>Votre exploitation comprend-elle un système d’irrigation ? Si non-applicable, passez aux deux questions suivantes.</t>
  </si>
  <si>
    <t>Les réseaux d’irrigation sont-ils régulièrement inspectés et entretenus, par exemple pour éviter les fuites ?</t>
  </si>
  <si>
    <t>Les réseaux d’irrigation sont-ils conçus et entretenus en vue d'optimiser le rendement agricole ? (Conditions climatiques, évapotranspiration des cultures à différents stades de leur croissance, type de sol)</t>
  </si>
  <si>
    <t>Augmenter le couvert végétal naturel sur l’exploitation pour renforcer l’apport et la résilience de la biodiversité et de l’écosystème.</t>
  </si>
  <si>
    <t>Existe-t-il des écosystèmes aquatiques à proximité de l’exploitation ?</t>
  </si>
  <si>
    <t>Ces écosystèmes aquatiques sont-ils protégés par la présence de zone sans applications de produits phytosanitaires ?</t>
  </si>
  <si>
    <t>La production d‘engrais biologique provient-elle de la décomposition des déchets organiques (traités) de l’exploitation ?</t>
  </si>
  <si>
    <t>L'exploitation comprend-elle des cultures de couverture ?</t>
  </si>
  <si>
    <t>La parcelle comprend-elle des surfaces de couverture morte (couche holorganique) ?</t>
  </si>
  <si>
    <t>Existe-t-il des canaux de drainage ?</t>
  </si>
  <si>
    <t>Existe-t-il des stratégies de conservation des sols ? (terrasses, terrasses individuelles, plantation des bordures, barrières végétales vivantes, barrières mortes)</t>
  </si>
  <si>
    <t>Question 3</t>
  </si>
  <si>
    <t xml:space="preserve">Les précipitations accompagnées d’inondations et de glissements de terrain ont-elles augmenté au cours des 5 à 10 dernières années ? </t>
  </si>
  <si>
    <t>Au minimum 10 % de la végétation naturelle ? (formes diverses telles que systèmes d’agroforesterie, terres en friche, plantation de haies, zones ripariennes tampons)</t>
  </si>
  <si>
    <t>Les principales cultures sont-elles produites en agroforesterie ?</t>
  </si>
  <si>
    <t>Le couvert arboré des systèmes d’agroforesterie est-il géré conformément aux paramètres d’ombrage et de diversité des essences de feuillus optimaux ou recommandés ?</t>
  </si>
  <si>
    <t>Les canaux de drainage (primaires ou secondaires) sont-il recouverts de végétation naturelle ?</t>
  </si>
  <si>
    <t>Les variétés ont-elles été sélectionnées en fonction de leur potentiel d’adaptation aux futures changements climatiques ?</t>
  </si>
  <si>
    <t>Maintenir la protection des canaux de drainage pour prévenir l’érosion et protéger l’eau.</t>
  </si>
  <si>
    <t>Les cultures sont-elles correctement taillées ou élaguées ?</t>
  </si>
  <si>
    <t>L’exploitation suit-elle un plan intégré de lutte contre les ravageurs et les maladies ?</t>
  </si>
  <si>
    <t>L’application des engrais est-elle efficace (conformément à l’analyse du sol et des plantes et des besoins des cultures en nutriments) ?</t>
  </si>
  <si>
    <t>Les précipitations ont-elles augmenté (au cours des 5 à 10 dernières années) ?</t>
  </si>
  <si>
    <t>Les inondations et  les glissements de terrain ont-ils augmenté (au cours des 5 à 10 dernières années) ?</t>
  </si>
  <si>
    <r>
      <rPr>
        <sz val="7"/>
        <color theme="1"/>
        <rFont val="Times New Roman"/>
        <family val="1"/>
      </rPr>
      <t xml:space="preserve"> </t>
    </r>
    <r>
      <rPr>
        <sz val="11"/>
        <color theme="1"/>
        <rFont val="Calibri"/>
        <family val="2"/>
        <scheme val="minor"/>
      </rPr>
      <t>Le risque d’ouragans et de tempêtes tropicales est-il aggravé ?</t>
    </r>
  </si>
  <si>
    <t xml:space="preserve"> Le risque d’ouragans et de tempêtes tropicales est-il aggravé ?</t>
  </si>
  <si>
    <r>
      <rPr>
        <sz val="7"/>
        <color theme="1"/>
        <rFont val="Times New Roman"/>
        <family val="1"/>
      </rPr>
      <t xml:space="preserve"> </t>
    </r>
    <r>
      <rPr>
        <sz val="11"/>
        <color theme="1"/>
        <rFont val="Calibri"/>
        <family val="2"/>
        <scheme val="minor"/>
      </rPr>
      <t>Avez-vous constaté (5 à 10 dernières années) des épisodes de sécheresse ou de baisse ou réduction des ressources en eau ?</t>
    </r>
    <r>
      <rPr>
        <sz val="11"/>
        <color theme="1"/>
        <rFont val="Calibri"/>
        <family val="2"/>
        <scheme val="minor"/>
      </rPr>
      <t xml:space="preserve"> </t>
    </r>
  </si>
  <si>
    <t xml:space="preserve"> Avez-vous constaté (5 à 10 dernières années) des épisodes de sécheresse ou de baisse ou réduction des ressources en eau ? </t>
  </si>
  <si>
    <t>Avez-vous constaté une augmentation de l’importance et de la fréquence des canicules au cours des dernières années (5 à 10 ans) ?</t>
  </si>
  <si>
    <t>Avez-vous constaté une augmentation de la force et de la fréquence des vents ou des tempêtes au cours des dernières années (5 à 10 ans) ?</t>
  </si>
  <si>
    <t xml:space="preserve">Les sols des zones de production et d’autres utilisation des sols de l’exploitation montrent-ils des signes d’érosion ? </t>
  </si>
  <si>
    <t>La fertilité du sol s’est-elle altérée au cours des 5 à 10 dernières années ?</t>
  </si>
  <si>
    <r>
      <rPr>
        <sz val="7"/>
        <color theme="1"/>
        <rFont val="Times New Roman"/>
        <family val="1"/>
      </rPr>
      <t xml:space="preserve"> </t>
    </r>
    <r>
      <rPr>
        <sz val="11"/>
        <color theme="1"/>
        <rFont val="Calibri"/>
        <family val="2"/>
        <scheme val="minor"/>
      </rPr>
      <t>Constatez-vous des réactions physiologiques anormales des plantes telles qu’une floraison irrégulière ?</t>
    </r>
    <r>
      <rPr>
        <sz val="11"/>
        <color theme="1"/>
        <rFont val="Calibri"/>
        <family val="2"/>
        <scheme val="minor"/>
      </rPr>
      <t xml:space="preserve"> </t>
    </r>
  </si>
  <si>
    <r>
      <rPr>
        <sz val="7"/>
        <color theme="1"/>
        <rFont val="Times New Roman"/>
        <family val="1"/>
      </rPr>
      <t xml:space="preserve"> </t>
    </r>
    <r>
      <rPr>
        <sz val="11"/>
        <color theme="1"/>
        <rFont val="Calibri"/>
        <family val="2"/>
        <scheme val="minor"/>
      </rPr>
      <t>Constatez-vous des réactions physiologiques anormales des plantes telles qu’une floraison irrégulière ?</t>
    </r>
  </si>
  <si>
    <t xml:space="preserve"> Constatez-vous des réactions physiologiques anormales des plantes telles qu’une floraison irrégulière ? </t>
  </si>
  <si>
    <t>Sur la base de l’évaluation des sols, identifier les zones exposées aux risques d’érosion et mettre en place des pratiques de conservation des sols telles que terrasses, terrasses individuelles, couverture des sols, etc.</t>
  </si>
  <si>
    <t>Améliorer la surveillance des ravageurs et des maladies afin d’en évaluer les impacts sur les cultures ou les arbres</t>
  </si>
  <si>
    <t>Constatez-vous une augmentation de la défoliation des plantes (chute naturelle des feuilles) ?</t>
  </si>
  <si>
    <r>
      <rPr>
        <sz val="7"/>
        <color theme="1"/>
        <rFont val="Times New Roman"/>
        <family val="1"/>
      </rPr>
      <t xml:space="preserve"> </t>
    </r>
    <r>
      <rPr>
        <sz val="11"/>
        <color theme="1"/>
        <rFont val="Calibri"/>
        <family val="2"/>
        <scheme val="minor"/>
      </rPr>
      <t>Les dégâts des ravageurs et des maladies sur le système de production ont-ils augmenté au cours des 5 à 10 dernières années (sur l’exploitation agricole) ?</t>
    </r>
    <r>
      <rPr>
        <sz val="11"/>
        <color theme="1"/>
        <rFont val="Calibri"/>
        <family val="2"/>
        <scheme val="minor"/>
      </rPr>
      <t xml:space="preserve"> </t>
    </r>
  </si>
  <si>
    <t xml:space="preserve"> Les dégâts des ravageurs et des maladies sur le système de production ont-ils augmenté au cours des 5 à 10 dernières années (sur l’exploitation agricole) ? </t>
  </si>
  <si>
    <t xml:space="preserve">La productivité a-t-elle diminué au cours des dernières années (5 à 10 ans) en raison du changement climatique ? </t>
  </si>
  <si>
    <t xml:space="preserve">La productivité a-t-elle diminué au cours des dernières années (5 à 10 ans) en raison du changement climatique ?  </t>
  </si>
  <si>
    <t xml:space="preserve">Au cours des dernières années (5 à 10 ans) les précipitations ont-elles été irrégulières (le régime pluviométrique a-t-il changé) ? </t>
  </si>
  <si>
    <t>Si nécessaire, les réseaux d’irrigation sont-ils régulièrement inspectés et entretenus, par exemple pour éviter les fuites ?</t>
  </si>
  <si>
    <t>Si nécessaire, les réseaux d’irrigation sont-ils conçus et entretenus en vue d'optimiser le rendement agricole ? (Conditions climatiques, évapotranspiration des cultures à différents stades de leur croissance, type de sol)</t>
  </si>
  <si>
    <t>Ces écosystèmes aquatiques sont-ils protégés par la présence de zone sans applications de produits phytosanitaires (à l’exclusion de la végétation riveraines et des sillons de non-application) ?</t>
  </si>
  <si>
    <t>Atténuation 13</t>
  </si>
  <si>
    <t>La production d‘engrais biologique provient-elle de la décomposition des déchets organiques (traités) de l’exploitation ? Répondez « partiellement » si applicable uniquement à une partie plutôt qu’à l'ensemble de l’exploitation.</t>
  </si>
  <si>
    <t>La parcelle est-elle protégée par un couvert végétal (paillis, coupe d’adventices ou résidus d’élagage) ?</t>
  </si>
  <si>
    <t>L’exploitation comprend-elle des canaux de drainage (drains ou fossés) ?</t>
  </si>
  <si>
    <t>L’exploitation est-elle couverte de végétation naturelle sur au moins 10 % de sa surface ? (Formes variées telles que jachères, fragments du couvert forestier, plantations de bordure, zones ripariennes tampons)</t>
  </si>
  <si>
    <t>La culture principale est-elle réalisée en agroforesterie ? (Par ex. ombrage d’arbres fruitiers, palmiers, bambous délibérément utilisés au même endroit que la culture) ?</t>
  </si>
  <si>
    <t>Les canaux de drainage (primaires ou secondaires) sont-il recouverts de végétation naturelle ? (répondre N/A en l’absence de canaux de drainage)</t>
  </si>
  <si>
    <t>L’exploitation utilise-t-elle des pratiques intégrées de lutte contre les ravageurs et les maladies ?</t>
  </si>
  <si>
    <t>Les ouragans et les tempêtes tropicales ont-ils augmenté (au cours des 5 à 10 dernières années) ?</t>
  </si>
  <si>
    <t>Les sécheresses ou la pénurie d'eau sont-elles devenues plus fréquentes et/ou plus graves au cours des 5 à 10 dernières années ?</t>
  </si>
  <si>
    <t>Avez-vous constaté une augmentation de l’importance et de la fréquence des canicules (températures supérieures à la normale pendant plusieurs jours consécutifs) au cours des dernières années (5 à 10 ans) ?</t>
  </si>
  <si>
    <t xml:space="preserve">La plupart des sols de l’exploitation utilisés pour la production ou à d’autre fins montrent-ils des signes d’érosion ‘sols nus, craquelés ou dont la couche superficielle a disparu) ? </t>
  </si>
  <si>
    <t>La température a-t-elle changé au cours des 10 dernières années ? oui</t>
  </si>
  <si>
    <t>La température a-t-elle changé au cours des 10 dernières années ? non</t>
  </si>
  <si>
    <t>Constatez-vous une augmentation de la chute des fleurs et des fruits ?oui</t>
  </si>
  <si>
    <t>Constatez-vous une augmentation de la chute des fleurs et des fruits ? non</t>
  </si>
  <si>
    <t>Constatez-vous une augmentation de la défoliation des plantes (chute naturelle des feuilles) ? oui</t>
  </si>
  <si>
    <t>Constatez-vous une augmentation de la défoliation des plantes (chute naturelle des feuilles) ? non</t>
  </si>
  <si>
    <t xml:space="preserve"> Les dégâts des ravageurs et des maladies sur le système de production ont-ils augmenté au cours des 5 à 10 dernières années (sur l’exploitation agricole) ? oui</t>
  </si>
  <si>
    <t xml:space="preserve"> Les dégâts des ravageurs et des maladies sur le système de production ont-ils augmenté au cours des 5 à 10 dernières années (sur l’exploitation agricole) ? non</t>
  </si>
  <si>
    <t>La productivité a-t-elle diminué au cours des dernières années (5 à 10 ans) en raison du changement climatique ? oui</t>
  </si>
  <si>
    <t>cacao oui</t>
  </si>
  <si>
    <t>La productivité a-t-elle diminué au cours des dernières années (5 à 10 ans) en raison du changement climatique ? non</t>
  </si>
  <si>
    <t>cacao non</t>
  </si>
  <si>
    <t>Existe-t-il une carte (éventuellement un croquis) de l’exploitation qui identifie les zones de production, les aires de conservation, les écosystèmes aquatiques et les zones potentiellement vulnérables (zones inondables, exposées à l’érosion, etc.) ? Atténuation n°1</t>
  </si>
  <si>
    <t>Les risques climatiques futurs ont-ils été identifiés sur la base des niveaux de vulnérabilité ? Atténuation n°2</t>
  </si>
  <si>
    <t>Les pratiques agricoles ont-elles été associées en vue de compenser les vulnérabilités climatiques identifiées ?Atténuation 3</t>
  </si>
  <si>
    <t>Existe-t-il un plan de gestion des cultures ou de l’exploitation qui tient compte des vulnérabilités climatiques actuelles et futures ?Atténuation 4</t>
  </si>
  <si>
    <t>Existe-t-il une stratégies de diversification des revenus ? (Horizontale / verticale)Atténuation 5</t>
  </si>
  <si>
    <t>Existe-t-il un plan de gestion des enregistrements de la production, des intrants agricoles, des données météorologiques, etc. ? Atténuation 6</t>
  </si>
  <si>
    <t>Au cours des dernières années (5 à 10 ans) les précipitations ont-elles été irrégulières (le régime pluviométrique a-t-il changé) ? oui</t>
  </si>
  <si>
    <t>Au cours des dernières années (5 à 10 ans) les précipitations ont-elles été irrégulières (le régime pluviométrique a-t-il changé) ? non</t>
  </si>
  <si>
    <t>Utilisez-vous une installation de collecte de l’eau de pluie pour l’irrigation et à d’autres fins ?Atténuation 7</t>
  </si>
  <si>
    <t>cacaoAtténuation 7</t>
  </si>
  <si>
    <t>Votre exploitation comprend-elle un système d’irrigation ? Si non-applicable, passer aux deux questions suivantes.Atténuation 8</t>
  </si>
  <si>
    <t>cacaoAtténuation 8</t>
  </si>
  <si>
    <t>Les réseaux d’irrigation sont-ils régulièrement inspectés et entretenus, par exemple pour éviter les fuites ?Atténuation 9</t>
  </si>
  <si>
    <t>Si nécessaire, les réseaux d’irrigation sont-ils conçus et entretenus en vue d'optimiser le rendement agricole ? (Conditions climatiques, évapotranspiration des cultures à différents stades de leur croissance, type de sol)Atténuation 10</t>
  </si>
  <si>
    <t>Existe-t-il des écosystèmes aquatiques à proximité de l’exploitation ?Atténuation 11</t>
  </si>
  <si>
    <t>Ces écosystèmes aquatiques sont-ils protégés par la présence de zones sans applications de produits phytosanitaires (à l’exclusion de la végétation riveraines et des sillons de non-application) ?Atténuation 12</t>
  </si>
  <si>
    <t>La production d‘engrais biologique provient-elle de la décomposition des déchets organiques (traités) de l’exploitation ?Atténuation 13</t>
  </si>
  <si>
    <t>Les précipitations accompagnées d’inondations et de glissements de terrain ont-elles augmenté au cours des 5 à 10 dernières années ? oui</t>
  </si>
  <si>
    <t>Les précipitations accompagnées d’inondations et de glissements de terrain ont-elles augmenté au cours des 5 à 10 dernières années ? non</t>
  </si>
  <si>
    <t>Les précipitations ont-elles augmenté (au cours des 5 à 10 dernières années) ? oui</t>
  </si>
  <si>
    <t>Les précipitations ont-elles augmenté (au cours des 5 à 10 dernières années) ? non</t>
  </si>
  <si>
    <t>Les inondations et les glissements de terrain ont-ils augmenté (au cours des 5 à 10 dernières années) ? oui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</si>
</sst>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b/>
      <sz val="11"/>
      <color theme="1"/>
      <name val="Calibri"/>
      <family val="2"/>
      <scheme val="minor"/>
    </font>
    <font>
      <sz val="10"/>
      <name val="Arial"/>
      <family val="2"/>
    </font>
    <font>
      <b/>
      <sz val="12"/>
      <color theme="1"/>
      <name val="Calibri"/>
      <family val="2"/>
      <scheme val="minor"/>
    </font>
    <font>
      <b/>
      <sz val="11"/>
      <name val="Calibri"/>
      <family val="2"/>
      <scheme val="minor"/>
    </font>
    <font>
      <sz val="7"/>
      <color theme="1"/>
      <name val="Times New Roman"/>
      <family val="1"/>
    </font>
    <font>
      <b/>
      <sz val="14"/>
      <color theme="1"/>
      <name val="Calibri"/>
      <family val="2"/>
      <scheme val="minor"/>
    </font>
    <font>
      <b/>
      <sz val="20"/>
      <color theme="1"/>
      <name val="Calibri"/>
      <family val="2"/>
      <scheme val="minor"/>
    </font>
    <font>
      <b/>
      <sz val="22"/>
      <color theme="1"/>
      <name val="Calibri"/>
      <family val="2"/>
      <scheme val="minor"/>
    </font>
    <font>
      <b/>
      <sz val="16"/>
      <color theme="1"/>
      <name val="Calibri"/>
      <family val="2"/>
      <scheme val="minor"/>
    </font>
    <font>
      <b/>
      <sz val="18"/>
      <color theme="1"/>
      <name val="Calibri"/>
      <family val="2"/>
      <scheme val="minor"/>
    </font>
    <font>
      <i/>
      <sz val="11"/>
      <color theme="1"/>
      <name val="Calibri"/>
      <family val="2"/>
      <scheme val="minor"/>
    </font>
    <font>
      <sz val="14"/>
      <color theme="1"/>
      <name val="Calibri"/>
      <family val="2"/>
      <scheme val="minor"/>
    </font>
    <font>
      <sz val="14"/>
      <name val="Calibri"/>
      <family val="2"/>
      <scheme val="minor"/>
    </font>
    <font>
      <sz val="11"/>
      <name val="Calibri"/>
      <family val="2"/>
      <scheme val="minor"/>
    </font>
    <font>
      <i/>
      <sz val="14"/>
      <name val="Calibri"/>
      <family val="2"/>
      <scheme val="minor"/>
    </font>
    <font>
      <b/>
      <sz val="20"/>
      <name val="Calibri"/>
      <family val="2"/>
      <scheme val="minor"/>
    </font>
    <font>
      <sz val="20"/>
      <color theme="1"/>
      <name val="Calibri"/>
      <family val="2"/>
      <scheme val="minor"/>
    </font>
    <font>
      <b/>
      <sz val="28"/>
      <color theme="1"/>
      <name val="Calibri"/>
      <family val="2"/>
      <scheme val="minor"/>
    </font>
    <font>
      <b/>
      <sz val="36"/>
      <color rgb="FF175259"/>
      <name val="Century Gothic"/>
      <family val="2"/>
    </font>
    <font>
      <b/>
      <sz val="20"/>
      <color rgb="FFF53D1C"/>
      <name val="Century Gothic"/>
      <family val="2"/>
    </font>
    <font>
      <i/>
      <sz val="14"/>
      <color rgb="FF94BA29"/>
      <name val="Century Gothic"/>
      <family val="2"/>
    </font>
    <font>
      <sz val="11"/>
      <color rgb="FF94BA29"/>
      <name val="Century Gothic"/>
      <family val="2"/>
    </font>
    <font>
      <sz val="10"/>
      <color theme="1"/>
      <name val="Century Gothic"/>
      <family val="2"/>
    </font>
    <font>
      <sz val="10"/>
      <color rgb="FF1A52C2"/>
      <name val="Century Gothic"/>
      <family val="2"/>
    </font>
    <font>
      <b/>
      <sz val="10"/>
      <color theme="1"/>
      <name val="Century Gothic"/>
      <family val="2"/>
    </font>
    <font>
      <sz val="9"/>
      <color theme="1"/>
      <name val="Century Gothic"/>
      <family val="2"/>
    </font>
    <font>
      <sz val="9"/>
      <color rgb="FF000000"/>
      <name val="Calibri"/>
      <family val="2"/>
      <scheme val="minor"/>
    </font>
    <font>
      <i/>
      <sz val="9"/>
      <color theme="1"/>
      <name val="Century Gothic"/>
      <family val="2"/>
    </font>
    <font>
      <sz val="8"/>
      <name val="Calibri"/>
      <family val="2"/>
      <scheme val="minor"/>
    </font>
    <font>
      <sz val="12"/>
      <color theme="1"/>
      <name val="Calibri"/>
      <family val="2"/>
      <scheme val="minor"/>
    </font>
    <font>
      <b/>
      <sz val="28"/>
      <name val="Calibri"/>
      <family val="2"/>
      <scheme val="minor"/>
    </font>
    <font>
      <i/>
      <sz val="12"/>
      <color theme="1"/>
      <name val="Calibri"/>
      <family val="2"/>
      <scheme val="minor"/>
    </font>
    <font>
      <sz val="11"/>
      <color theme="1"/>
      <name val="Calibri"/>
      <family val="2"/>
      <scheme val="minor"/>
    </font>
    <font>
      <b/>
      <sz val="11"/>
      <color theme="0"/>
      <name val="Calibri"/>
      <family val="2"/>
      <scheme val="minor"/>
    </font>
    <font>
      <i/>
      <vertAlign val="superscript"/>
      <sz val="14"/>
      <color rgb="FF94BA29"/>
      <name val="Century Gothic"/>
      <family val="2"/>
    </font>
    <font>
      <sz val="14"/>
      <color rgb="FF000000"/>
      <name val="Calibri"/>
      <family val="2"/>
      <scheme val="minor"/>
    </font>
    <font>
      <b/>
      <sz val="14"/>
      <color rgb="FF000000"/>
      <name val="Calibri"/>
      <family val="2"/>
      <scheme val="minor"/>
    </font>
    <font>
      <b/>
      <sz val="11"/>
      <color rgb="FF000000"/>
      <name val="Calibri"/>
      <family val="2"/>
      <scheme val="minor"/>
    </font>
    <font>
      <b/>
      <sz val="20"/>
      <color rgb="FF000000"/>
      <name val="Calibri"/>
      <family val="2"/>
      <scheme val="minor"/>
    </font>
    <font>
      <sz val="11"/>
      <color theme="0"/>
      <name val="Calibri"/>
      <family val="2"/>
      <scheme val="minor"/>
    </font>
  </fonts>
  <fills count="28">
    <fill>
      <patternFill patternType="none"/>
    </fill>
    <fill>
      <patternFill patternType="gray125"/>
    </fill>
    <fill>
      <patternFill patternType="solid">
        <fgColor theme="9"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BFBFBF"/>
        <bgColor indexed="64"/>
      </patternFill>
    </fill>
    <fill>
      <patternFill patternType="solid">
        <fgColor theme="4" tint="0.79998168889431442"/>
        <bgColor theme="4" tint="0.79998168889431442"/>
      </patternFill>
    </fill>
    <fill>
      <patternFill patternType="solid">
        <fgColor theme="4"/>
        <bgColor theme="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2" fillId="0" borderId="0"/>
    <xf numFmtId="0" fontId="33" fillId="0" borderId="0"/>
  </cellStyleXfs>
  <cellXfs count="222">
    <xf numFmtId="0" fontId="0" fillId="0" borderId="0" xfId="0"/>
    <xf numFmtId="0" fontId="0" fillId="0" borderId="0" xfId="0" applyAlignment="1">
      <alignment wrapText="1"/>
    </xf>
    <xf numFmtId="0" fontId="1" fillId="6" borderId="0" xfId="0" applyFont="1" applyFill="1" applyAlignment="1">
      <alignment wrapText="1"/>
    </xf>
    <xf numFmtId="0" fontId="0" fillId="0" borderId="0" xfId="0" applyAlignment="1">
      <alignment vertical="center" wrapText="1"/>
    </xf>
    <xf numFmtId="0" fontId="5" fillId="0" borderId="0" xfId="0" applyFont="1" applyAlignment="1">
      <alignment vertical="center" wrapText="1"/>
    </xf>
    <xf numFmtId="0" fontId="0" fillId="0" borderId="7" xfId="0" applyBorder="1" applyAlignment="1">
      <alignment vertical="center" wrapText="1"/>
    </xf>
    <xf numFmtId="0" fontId="0" fillId="0" borderId="15" xfId="0" applyBorder="1"/>
    <xf numFmtId="0" fontId="0" fillId="0" borderId="16" xfId="0" applyBorder="1"/>
    <xf numFmtId="0" fontId="1" fillId="15" borderId="0" xfId="0" applyFont="1" applyFill="1"/>
    <xf numFmtId="0" fontId="1" fillId="18" borderId="0" xfId="0" applyFont="1" applyFill="1"/>
    <xf numFmtId="0" fontId="1" fillId="18" borderId="14" xfId="0" applyFont="1" applyFill="1" applyBorder="1"/>
    <xf numFmtId="0" fontId="1" fillId="6" borderId="0" xfId="0" applyFont="1" applyFill="1"/>
    <xf numFmtId="0" fontId="0" fillId="0" borderId="17" xfId="0" applyBorder="1" applyAlignment="1">
      <alignment horizontal="left" vertical="center" wrapText="1"/>
    </xf>
    <xf numFmtId="0" fontId="0" fillId="17" borderId="1" xfId="0" applyFill="1" applyBorder="1" applyAlignment="1">
      <alignment horizontal="center" vertical="center" wrapText="1"/>
    </xf>
    <xf numFmtId="0" fontId="1" fillId="0" borderId="9" xfId="0" applyFont="1" applyBorder="1" applyAlignment="1">
      <alignment vertical="center" wrapText="1"/>
    </xf>
    <xf numFmtId="0" fontId="8" fillId="19" borderId="23" xfId="0" applyFont="1" applyFill="1" applyBorder="1" applyAlignment="1">
      <alignment vertical="center" wrapText="1"/>
    </xf>
    <xf numFmtId="0" fontId="8" fillId="14" borderId="23" xfId="0" applyFont="1" applyFill="1" applyBorder="1" applyAlignment="1">
      <alignment wrapText="1"/>
    </xf>
    <xf numFmtId="0" fontId="8" fillId="8" borderId="23" xfId="0" applyFont="1" applyFill="1" applyBorder="1" applyAlignment="1">
      <alignment wrapText="1"/>
    </xf>
    <xf numFmtId="0" fontId="8" fillId="2" borderId="17" xfId="0" applyFont="1" applyFill="1" applyBorder="1" applyAlignment="1">
      <alignment wrapText="1"/>
    </xf>
    <xf numFmtId="0" fontId="8" fillId="2" borderId="18" xfId="0" applyFont="1" applyFill="1" applyBorder="1" applyAlignment="1">
      <alignment wrapText="1"/>
    </xf>
    <xf numFmtId="0" fontId="8" fillId="2" borderId="19" xfId="0" applyFont="1" applyFill="1" applyBorder="1" applyAlignment="1">
      <alignment wrapText="1"/>
    </xf>
    <xf numFmtId="0" fontId="6" fillId="19" borderId="24" xfId="0" applyFont="1" applyFill="1" applyBorder="1" applyAlignment="1">
      <alignment vertical="center" wrapText="1"/>
    </xf>
    <xf numFmtId="0" fontId="6" fillId="19" borderId="25" xfId="0" applyFont="1" applyFill="1" applyBorder="1" applyAlignment="1">
      <alignment vertical="center" wrapText="1"/>
    </xf>
    <xf numFmtId="0" fontId="12" fillId="14" borderId="24" xfId="0" applyFont="1" applyFill="1" applyBorder="1" applyAlignment="1">
      <alignment vertical="top" wrapText="1"/>
    </xf>
    <xf numFmtId="0" fontId="12" fillId="14" borderId="25" xfId="0" applyFont="1" applyFill="1" applyBorder="1" applyAlignment="1">
      <alignment vertical="top" wrapText="1"/>
    </xf>
    <xf numFmtId="0" fontId="12" fillId="8" borderId="24" xfId="0" applyFont="1" applyFill="1" applyBorder="1" applyAlignment="1">
      <alignment vertical="top" wrapText="1"/>
    </xf>
    <xf numFmtId="0" fontId="12" fillId="8" borderId="25" xfId="0" applyFont="1" applyFill="1" applyBorder="1" applyAlignment="1">
      <alignment vertical="top" wrapText="1"/>
    </xf>
    <xf numFmtId="0" fontId="13" fillId="4" borderId="26" xfId="0" applyFont="1" applyFill="1" applyBorder="1" applyAlignment="1">
      <alignment horizontal="left" vertical="center" wrapText="1"/>
    </xf>
    <xf numFmtId="0" fontId="14" fillId="4" borderId="18" xfId="0" applyFont="1" applyFill="1" applyBorder="1" applyAlignment="1">
      <alignment horizontal="left" vertical="center" wrapText="1"/>
    </xf>
    <xf numFmtId="0" fontId="9" fillId="8" borderId="6" xfId="0" applyFont="1" applyFill="1" applyBorder="1"/>
    <xf numFmtId="0" fontId="0" fillId="8" borderId="7" xfId="0" applyFill="1" applyBorder="1"/>
    <xf numFmtId="0" fontId="9" fillId="8" borderId="7" xfId="0" applyFont="1" applyFill="1" applyBorder="1"/>
    <xf numFmtId="0" fontId="9" fillId="20" borderId="6" xfId="0" applyFont="1" applyFill="1" applyBorder="1"/>
    <xf numFmtId="0" fontId="0" fillId="20" borderId="7" xfId="0" applyFill="1" applyBorder="1"/>
    <xf numFmtId="0" fontId="4" fillId="17" borderId="14" xfId="0" applyFont="1" applyFill="1" applyBorder="1" applyAlignment="1">
      <alignment horizontal="left" vertical="center" wrapText="1"/>
    </xf>
    <xf numFmtId="0" fontId="16" fillId="17" borderId="15" xfId="0" applyFont="1" applyFill="1" applyBorder="1" applyAlignment="1">
      <alignment horizontal="center" vertical="center" wrapText="1"/>
    </xf>
    <xf numFmtId="0" fontId="15" fillId="17" borderId="15" xfId="0" applyFont="1" applyFill="1" applyBorder="1" applyAlignment="1">
      <alignment horizontal="center" vertical="center" wrapText="1"/>
    </xf>
    <xf numFmtId="0" fontId="4" fillId="17" borderId="15" xfId="0" applyFont="1" applyFill="1" applyBorder="1" applyAlignment="1">
      <alignment horizontal="left" vertical="center" wrapText="1"/>
    </xf>
    <xf numFmtId="0" fontId="4" fillId="17" borderId="16" xfId="0" applyFont="1" applyFill="1" applyBorder="1" applyAlignment="1">
      <alignment horizontal="left" vertical="center" wrapText="1"/>
    </xf>
    <xf numFmtId="0" fontId="1" fillId="19" borderId="6" xfId="0" applyFont="1" applyFill="1" applyBorder="1" applyAlignment="1">
      <alignment horizontal="left" vertical="center" wrapText="1"/>
    </xf>
    <xf numFmtId="0" fontId="1" fillId="19" borderId="9" xfId="0" applyFont="1" applyFill="1" applyBorder="1" applyAlignment="1">
      <alignment horizontal="left" vertical="center" wrapText="1"/>
    </xf>
    <xf numFmtId="0" fontId="1" fillId="19" borderId="11" xfId="0" applyFont="1" applyFill="1" applyBorder="1" applyAlignment="1">
      <alignment horizontal="left" vertical="center" wrapText="1"/>
    </xf>
    <xf numFmtId="0" fontId="7" fillId="19" borderId="9" xfId="0" applyFont="1" applyFill="1" applyBorder="1" applyAlignment="1">
      <alignment horizontal="center" vertical="center" wrapText="1"/>
    </xf>
    <xf numFmtId="0" fontId="0" fillId="2" borderId="18" xfId="0" applyFill="1" applyBorder="1"/>
    <xf numFmtId="0" fontId="0" fillId="2" borderId="19" xfId="0" applyFill="1" applyBorder="1"/>
    <xf numFmtId="0" fontId="9" fillId="22" borderId="6" xfId="0" applyFont="1" applyFill="1" applyBorder="1"/>
    <xf numFmtId="0" fontId="0" fillId="22" borderId="7" xfId="0" applyFill="1" applyBorder="1"/>
    <xf numFmtId="0" fontId="6" fillId="2" borderId="6" xfId="0" applyFont="1" applyFill="1" applyBorder="1"/>
    <xf numFmtId="0" fontId="0" fillId="2" borderId="9" xfId="0" applyFill="1" applyBorder="1"/>
    <xf numFmtId="0" fontId="0" fillId="2" borderId="9" xfId="0" applyFill="1" applyBorder="1" applyAlignment="1">
      <alignment wrapText="1"/>
    </xf>
    <xf numFmtId="0" fontId="0" fillId="2" borderId="11" xfId="0" applyFill="1" applyBorder="1" applyAlignment="1">
      <alignment wrapText="1"/>
    </xf>
    <xf numFmtId="0" fontId="6" fillId="2" borderId="17" xfId="0" applyFont="1" applyFill="1" applyBorder="1"/>
    <xf numFmtId="0" fontId="1" fillId="2" borderId="18" xfId="0" applyFont="1" applyFill="1" applyBorder="1"/>
    <xf numFmtId="0" fontId="0" fillId="0" borderId="17" xfId="0" applyBorder="1" applyAlignment="1">
      <alignment horizontal="left" vertical="center"/>
    </xf>
    <xf numFmtId="0" fontId="12" fillId="0" borderId="0" xfId="0" applyFont="1"/>
    <xf numFmtId="0" fontId="0" fillId="0" borderId="17" xfId="0" applyBorder="1" applyAlignment="1">
      <alignment vertical="center" wrapText="1"/>
    </xf>
    <xf numFmtId="0" fontId="0" fillId="0" borderId="0" xfId="0" applyAlignment="1">
      <alignment horizontal="left" vertical="center" wrapText="1"/>
    </xf>
    <xf numFmtId="2" fontId="0" fillId="0" borderId="10" xfId="0" applyNumberFormat="1" applyBorder="1" applyAlignment="1">
      <alignment horizontal="center" vertical="center" wrapText="1"/>
    </xf>
    <xf numFmtId="0" fontId="6" fillId="2" borderId="6" xfId="0" applyFont="1" applyFill="1" applyBorder="1" applyAlignment="1">
      <alignment wrapText="1"/>
    </xf>
    <xf numFmtId="0" fontId="1" fillId="0" borderId="4" xfId="0" applyFont="1" applyBorder="1" applyAlignment="1">
      <alignment horizontal="center" vertical="center" wrapText="1"/>
    </xf>
    <xf numFmtId="0" fontId="1" fillId="19" borderId="1" xfId="0" applyFont="1" applyFill="1" applyBorder="1" applyAlignment="1">
      <alignment horizontal="center" vertical="center" wrapText="1"/>
    </xf>
    <xf numFmtId="0" fontId="1" fillId="0" borderId="1" xfId="0" applyFont="1" applyBorder="1" applyAlignment="1">
      <alignment wrapText="1"/>
    </xf>
    <xf numFmtId="0" fontId="0" fillId="9"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7" borderId="1" xfId="0" applyFill="1" applyBorder="1" applyAlignment="1">
      <alignment horizontal="center" vertical="center" wrapText="1"/>
    </xf>
    <xf numFmtId="0" fontId="4" fillId="17" borderId="4" xfId="0" applyFont="1" applyFill="1" applyBorder="1" applyAlignment="1">
      <alignment horizontal="center" vertical="center" wrapText="1"/>
    </xf>
    <xf numFmtId="0" fontId="1" fillId="19" borderId="4" xfId="0" applyFont="1" applyFill="1" applyBorder="1" applyAlignment="1">
      <alignment horizontal="center" vertical="center" wrapText="1"/>
    </xf>
    <xf numFmtId="0" fontId="0" fillId="11" borderId="2" xfId="0" applyFill="1" applyBorder="1" applyAlignment="1">
      <alignment horizontal="center" vertical="center" wrapText="1"/>
    </xf>
    <xf numFmtId="0" fontId="9" fillId="0" borderId="1" xfId="0" applyFont="1" applyBorder="1" applyAlignment="1">
      <alignment horizontal="center" vertical="center" wrapText="1"/>
    </xf>
    <xf numFmtId="0" fontId="0" fillId="23" borderId="7" xfId="0" applyFill="1" applyBorder="1" applyAlignment="1">
      <alignment wrapText="1"/>
    </xf>
    <xf numFmtId="0" fontId="0" fillId="23" borderId="9" xfId="0" applyFill="1" applyBorder="1" applyAlignment="1">
      <alignment wrapText="1"/>
    </xf>
    <xf numFmtId="0" fontId="0" fillId="23" borderId="0" xfId="0" applyFill="1" applyAlignment="1">
      <alignment wrapText="1"/>
    </xf>
    <xf numFmtId="0" fontId="0" fillId="24" borderId="0" xfId="0" applyFill="1" applyAlignment="1">
      <alignment wrapText="1"/>
    </xf>
    <xf numFmtId="0" fontId="4" fillId="24" borderId="0" xfId="0" applyFont="1" applyFill="1" applyAlignment="1">
      <alignment wrapText="1"/>
    </xf>
    <xf numFmtId="0" fontId="1" fillId="24" borderId="9" xfId="0" applyFont="1" applyFill="1" applyBorder="1" applyAlignment="1">
      <alignment vertical="center" wrapText="1"/>
    </xf>
    <xf numFmtId="0" fontId="1" fillId="24" borderId="0" xfId="0" applyFont="1" applyFill="1" applyAlignment="1">
      <alignment vertical="center" wrapText="1"/>
    </xf>
    <xf numFmtId="0" fontId="0" fillId="24" borderId="11" xfId="0" applyFill="1" applyBorder="1" applyAlignment="1">
      <alignment wrapText="1"/>
    </xf>
    <xf numFmtId="0" fontId="0" fillId="24" borderId="12" xfId="0" applyFill="1" applyBorder="1"/>
    <xf numFmtId="0" fontId="0" fillId="24" borderId="12" xfId="0" applyFill="1" applyBorder="1" applyAlignment="1">
      <alignment wrapText="1"/>
    </xf>
    <xf numFmtId="0" fontId="0" fillId="24" borderId="9" xfId="0" applyFill="1" applyBorder="1" applyAlignment="1">
      <alignment wrapText="1"/>
    </xf>
    <xf numFmtId="0" fontId="0" fillId="24" borderId="0" xfId="0" applyFill="1"/>
    <xf numFmtId="0" fontId="0" fillId="24" borderId="10" xfId="0" applyFill="1" applyBorder="1"/>
    <xf numFmtId="0" fontId="0" fillId="24" borderId="7" xfId="0" applyFill="1" applyBorder="1" applyAlignment="1">
      <alignment wrapText="1"/>
    </xf>
    <xf numFmtId="0" fontId="0" fillId="24" borderId="7" xfId="0" applyFill="1" applyBorder="1"/>
    <xf numFmtId="0" fontId="1" fillId="24" borderId="0" xfId="0" applyFont="1" applyFill="1" applyAlignment="1">
      <alignment horizontal="center" vertical="center" wrapText="1"/>
    </xf>
    <xf numFmtId="0" fontId="0" fillId="24" borderId="13" xfId="0" applyFill="1" applyBorder="1"/>
    <xf numFmtId="0" fontId="0" fillId="24" borderId="9" xfId="0" applyFill="1" applyBorder="1" applyAlignment="1">
      <alignment horizontal="left" vertical="center" wrapText="1"/>
    </xf>
    <xf numFmtId="0" fontId="1" fillId="14" borderId="9" xfId="0" applyFont="1" applyFill="1" applyBorder="1" applyAlignment="1">
      <alignment vertical="center"/>
    </xf>
    <xf numFmtId="0" fontId="1" fillId="14" borderId="11" xfId="0" applyFont="1" applyFill="1" applyBorder="1" applyAlignment="1">
      <alignment vertical="center"/>
    </xf>
    <xf numFmtId="0" fontId="10" fillId="18" borderId="6" xfId="0" applyFont="1" applyFill="1" applyBorder="1"/>
    <xf numFmtId="0" fontId="0" fillId="18" borderId="8" xfId="0" applyFill="1" applyBorder="1" applyAlignment="1">
      <alignment wrapText="1"/>
    </xf>
    <xf numFmtId="0" fontId="0" fillId="24" borderId="10" xfId="0" applyFill="1" applyBorder="1" applyAlignment="1">
      <alignment vertical="center" wrapText="1"/>
    </xf>
    <xf numFmtId="0" fontId="0" fillId="24" borderId="13" xfId="0" applyFill="1" applyBorder="1" applyAlignment="1">
      <alignment vertical="center" wrapText="1"/>
    </xf>
    <xf numFmtId="0" fontId="18" fillId="3" borderId="29" xfId="0" applyFont="1" applyFill="1" applyBorder="1"/>
    <xf numFmtId="0" fontId="18" fillId="3" borderId="22" xfId="0" applyFont="1" applyFill="1" applyBorder="1"/>
    <xf numFmtId="0" fontId="0" fillId="14" borderId="26" xfId="0" applyFill="1" applyBorder="1" applyAlignment="1">
      <alignment wrapText="1"/>
    </xf>
    <xf numFmtId="0" fontId="0" fillId="14" borderId="30" xfId="0" applyFill="1" applyBorder="1"/>
    <xf numFmtId="0" fontId="0" fillId="14" borderId="31" xfId="0" applyFill="1" applyBorder="1"/>
    <xf numFmtId="0" fontId="6" fillId="2" borderId="18" xfId="0" applyFont="1" applyFill="1" applyBorder="1"/>
    <xf numFmtId="0" fontId="0" fillId="0" borderId="0" xfId="0" applyAlignment="1">
      <alignment horizontal="left" vertical="center"/>
    </xf>
    <xf numFmtId="0" fontId="0" fillId="0" borderId="21" xfId="0" applyBorder="1" applyAlignment="1">
      <alignment horizontal="left" vertical="center" wrapText="1"/>
    </xf>
    <xf numFmtId="0" fontId="14" fillId="4" borderId="21" xfId="0" applyFont="1" applyFill="1" applyBorder="1" applyAlignment="1">
      <alignment horizontal="left" vertical="center" wrapText="1"/>
    </xf>
    <xf numFmtId="0" fontId="0" fillId="0" borderId="7" xfId="0" applyBorder="1"/>
    <xf numFmtId="0" fontId="0" fillId="0" borderId="7" xfId="0" applyBorder="1" applyAlignment="1">
      <alignment wrapText="1"/>
    </xf>
    <xf numFmtId="0" fontId="0" fillId="13" borderId="1" xfId="0" applyFill="1" applyBorder="1" applyAlignment="1">
      <alignment horizontal="center" vertical="center" wrapText="1"/>
    </xf>
    <xf numFmtId="0" fontId="4"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3" xfId="0" applyFont="1" applyBorder="1" applyAlignment="1">
      <alignment horizontal="left" vertical="center" wrapText="1"/>
    </xf>
    <xf numFmtId="0" fontId="31" fillId="3" borderId="20" xfId="0" applyFont="1" applyFill="1" applyBorder="1"/>
    <xf numFmtId="0" fontId="11" fillId="19" borderId="9"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3" fillId="2" borderId="17" xfId="0" applyFont="1" applyFill="1" applyBorder="1"/>
    <xf numFmtId="0" fontId="1" fillId="2" borderId="18" xfId="0" applyFont="1" applyFill="1" applyBorder="1" applyAlignment="1">
      <alignment vertical="center"/>
    </xf>
    <xf numFmtId="0" fontId="1" fillId="2" borderId="19" xfId="0" applyFont="1" applyFill="1" applyBorder="1"/>
    <xf numFmtId="0" fontId="3" fillId="2" borderId="17" xfId="0" applyFont="1" applyFill="1" applyBorder="1" applyAlignment="1">
      <alignment vertical="center"/>
    </xf>
    <xf numFmtId="0" fontId="30" fillId="2" borderId="18" xfId="0" applyFont="1" applyFill="1" applyBorder="1"/>
    <xf numFmtId="0" fontId="0" fillId="2" borderId="18" xfId="0" applyFill="1" applyBorder="1" applyAlignment="1">
      <alignment vertical="center"/>
    </xf>
    <xf numFmtId="0" fontId="0" fillId="2" borderId="19" xfId="0" applyFill="1" applyBorder="1" applyAlignment="1">
      <alignment vertical="center"/>
    </xf>
    <xf numFmtId="0" fontId="0" fillId="22" borderId="0" xfId="0" applyFill="1"/>
    <xf numFmtId="0" fontId="0" fillId="22" borderId="10" xfId="0" applyFill="1" applyBorder="1"/>
    <xf numFmtId="0" fontId="7" fillId="22" borderId="11" xfId="0" applyFont="1" applyFill="1" applyBorder="1"/>
    <xf numFmtId="0" fontId="0" fillId="22" borderId="19" xfId="0" applyFill="1" applyBorder="1"/>
    <xf numFmtId="0" fontId="7" fillId="22" borderId="17" xfId="0" applyFont="1" applyFill="1" applyBorder="1"/>
    <xf numFmtId="0" fontId="17" fillId="22" borderId="19" xfId="0" applyFont="1" applyFill="1" applyBorder="1" applyAlignment="1">
      <alignment wrapText="1"/>
    </xf>
    <xf numFmtId="2" fontId="9" fillId="22" borderId="21" xfId="0" applyNumberFormat="1" applyFont="1" applyFill="1" applyBorder="1" applyAlignment="1">
      <alignment horizontal="center" vertical="center" wrapText="1"/>
    </xf>
    <xf numFmtId="0" fontId="7" fillId="16" borderId="9" xfId="0" applyFont="1" applyFill="1" applyBorder="1" applyAlignment="1">
      <alignment wrapText="1"/>
    </xf>
    <xf numFmtId="0" fontId="0" fillId="24" borderId="8" xfId="0" applyFill="1" applyBorder="1"/>
    <xf numFmtId="0" fontId="16" fillId="17" borderId="9" xfId="0" applyFont="1" applyFill="1" applyBorder="1" applyAlignment="1">
      <alignment wrapText="1"/>
    </xf>
    <xf numFmtId="0" fontId="0" fillId="17" borderId="0" xfId="0" applyFill="1"/>
    <xf numFmtId="0" fontId="0" fillId="17" borderId="10" xfId="0" applyFill="1" applyBorder="1" applyAlignment="1">
      <alignment wrapText="1"/>
    </xf>
    <xf numFmtId="0" fontId="7" fillId="16" borderId="6" xfId="0" applyFont="1" applyFill="1" applyBorder="1" applyAlignment="1">
      <alignment wrapText="1"/>
    </xf>
    <xf numFmtId="0" fontId="0" fillId="24" borderId="11" xfId="0" applyFill="1" applyBorder="1"/>
    <xf numFmtId="0" fontId="0" fillId="24" borderId="8" xfId="0" applyFill="1" applyBorder="1" applyAlignment="1">
      <alignment wrapText="1"/>
    </xf>
    <xf numFmtId="0" fontId="0" fillId="24" borderId="13" xfId="0" applyFill="1" applyBorder="1" applyAlignment="1">
      <alignment wrapText="1"/>
    </xf>
    <xf numFmtId="0" fontId="11" fillId="24" borderId="0" xfId="0" applyFont="1" applyFill="1" applyAlignment="1">
      <alignment horizontal="left" vertical="top"/>
    </xf>
    <xf numFmtId="0" fontId="19" fillId="4" borderId="0" xfId="2" applyFont="1" applyFill="1" applyAlignment="1">
      <alignment vertical="center"/>
    </xf>
    <xf numFmtId="0" fontId="33" fillId="4" borderId="0" xfId="2" applyFill="1"/>
    <xf numFmtId="0" fontId="20" fillId="4" borderId="0" xfId="2" applyFont="1" applyFill="1" applyAlignment="1">
      <alignment vertical="center"/>
    </xf>
    <xf numFmtId="0" fontId="21" fillId="4" borderId="0" xfId="2" applyFont="1" applyFill="1"/>
    <xf numFmtId="0" fontId="26" fillId="4" borderId="6" xfId="2" applyFont="1" applyFill="1" applyBorder="1" applyAlignment="1">
      <alignment vertical="center"/>
    </xf>
    <xf numFmtId="0" fontId="26" fillId="4" borderId="7" xfId="2" applyFont="1" applyFill="1" applyBorder="1" applyAlignment="1">
      <alignment vertical="top"/>
    </xf>
    <xf numFmtId="0" fontId="26" fillId="4" borderId="8" xfId="2" applyFont="1" applyFill="1" applyBorder="1" applyAlignment="1">
      <alignment vertical="top"/>
    </xf>
    <xf numFmtId="0" fontId="21" fillId="4" borderId="0" xfId="2" applyFont="1" applyFill="1" applyAlignment="1">
      <alignment vertical="center"/>
    </xf>
    <xf numFmtId="0" fontId="33" fillId="4" borderId="0" xfId="2" applyFill="1" applyAlignment="1">
      <alignment vertical="center"/>
    </xf>
    <xf numFmtId="0" fontId="22" fillId="4" borderId="0" xfId="2" applyFont="1" applyFill="1" applyAlignment="1">
      <alignment vertical="center"/>
    </xf>
    <xf numFmtId="0" fontId="23" fillId="4" borderId="0" xfId="2" applyFont="1" applyFill="1" applyAlignment="1">
      <alignment horizontal="left" vertical="center" wrapText="1"/>
    </xf>
    <xf numFmtId="0" fontId="33" fillId="4" borderId="0" xfId="2" quotePrefix="1" applyFill="1"/>
    <xf numFmtId="0" fontId="27" fillId="4" borderId="0" xfId="2" applyFont="1" applyFill="1"/>
    <xf numFmtId="0" fontId="23" fillId="4" borderId="0" xfId="2" applyFont="1" applyFill="1" applyAlignment="1">
      <alignment vertical="center"/>
    </xf>
    <xf numFmtId="0" fontId="0" fillId="0" borderId="0" xfId="0" applyProtection="1">
      <protection locked="0"/>
    </xf>
    <xf numFmtId="0" fontId="0" fillId="2" borderId="19" xfId="0" applyFill="1" applyBorder="1" applyProtection="1">
      <protection locked="0"/>
    </xf>
    <xf numFmtId="0" fontId="3" fillId="8" borderId="8" xfId="0" applyFont="1" applyFill="1" applyBorder="1" applyProtection="1">
      <protection locked="0"/>
    </xf>
    <xf numFmtId="0" fontId="4" fillId="7" borderId="21" xfId="0" applyFont="1" applyFill="1" applyBorder="1" applyAlignment="1" applyProtection="1">
      <alignment horizontal="center" vertical="center" wrapText="1"/>
      <protection locked="0"/>
    </xf>
    <xf numFmtId="0" fontId="3" fillId="20" borderId="8" xfId="0" applyFont="1" applyFill="1" applyBorder="1" applyProtection="1">
      <protection locked="0"/>
    </xf>
    <xf numFmtId="0" fontId="1" fillId="21" borderId="21" xfId="0" applyFont="1" applyFill="1" applyBorder="1" applyAlignment="1" applyProtection="1">
      <alignment horizontal="center" vertical="center" wrapText="1"/>
      <protection locked="0"/>
    </xf>
    <xf numFmtId="0" fontId="3" fillId="22" borderId="8" xfId="0" applyFont="1" applyFill="1" applyBorder="1" applyProtection="1">
      <protection locked="0"/>
    </xf>
    <xf numFmtId="0" fontId="1" fillId="2" borderId="19" xfId="0" applyFont="1" applyFill="1" applyBorder="1" applyAlignment="1" applyProtection="1">
      <alignment horizontal="center" vertical="center"/>
      <protection locked="0"/>
    </xf>
    <xf numFmtId="0" fontId="1" fillId="2" borderId="21" xfId="0" applyFont="1" applyFill="1" applyBorder="1" applyAlignment="1" applyProtection="1">
      <alignment horizontal="center" vertical="center"/>
      <protection locked="0"/>
    </xf>
    <xf numFmtId="0" fontId="6" fillId="3" borderId="21" xfId="0" applyFont="1" applyFill="1" applyBorder="1" applyAlignment="1" applyProtection="1">
      <alignment horizontal="center" vertical="center"/>
      <protection locked="0"/>
    </xf>
    <xf numFmtId="0" fontId="1" fillId="0" borderId="11" xfId="0" applyFont="1" applyBorder="1" applyAlignment="1">
      <alignment vertical="center" wrapText="1"/>
    </xf>
    <xf numFmtId="2" fontId="0" fillId="0" borderId="13" xfId="0" applyNumberFormat="1" applyBorder="1" applyAlignment="1">
      <alignment horizontal="center" vertical="center" wrapText="1"/>
    </xf>
    <xf numFmtId="0" fontId="0" fillId="24" borderId="0" xfId="0" applyFill="1" applyProtection="1">
      <protection locked="0"/>
    </xf>
    <xf numFmtId="0" fontId="34" fillId="27" borderId="43" xfId="0" applyFont="1" applyFill="1" applyBorder="1"/>
    <xf numFmtId="0" fontId="34" fillId="27" borderId="45" xfId="0" applyFont="1" applyFill="1" applyBorder="1"/>
    <xf numFmtId="0" fontId="34" fillId="27" borderId="46" xfId="0" applyFont="1" applyFill="1" applyBorder="1"/>
    <xf numFmtId="0" fontId="40" fillId="0" borderId="0" xfId="0" applyFont="1"/>
    <xf numFmtId="0" fontId="34" fillId="0" borderId="0" xfId="0" applyFont="1"/>
    <xf numFmtId="0" fontId="40" fillId="26" borderId="43" xfId="0" applyFont="1" applyFill="1" applyBorder="1"/>
    <xf numFmtId="0" fontId="40" fillId="26" borderId="45" xfId="0" applyFont="1" applyFill="1" applyBorder="1"/>
    <xf numFmtId="0" fontId="40" fillId="26" borderId="46" xfId="0" applyFont="1" applyFill="1" applyBorder="1"/>
    <xf numFmtId="0" fontId="40" fillId="0" borderId="43" xfId="0" applyFont="1" applyBorder="1"/>
    <xf numFmtId="0" fontId="40" fillId="0" borderId="45" xfId="0" applyFont="1" applyBorder="1"/>
    <xf numFmtId="0" fontId="40" fillId="0" borderId="46" xfId="0" applyFont="1" applyBorder="1"/>
    <xf numFmtId="0" fontId="40" fillId="0" borderId="44" xfId="0" applyFont="1" applyBorder="1"/>
    <xf numFmtId="0" fontId="21" fillId="0" borderId="0" xfId="2" applyFont="1"/>
    <xf numFmtId="0" fontId="33" fillId="0" borderId="0" xfId="2"/>
    <xf numFmtId="0" fontId="25" fillId="25" borderId="41" xfId="2" applyFont="1" applyFill="1" applyBorder="1" applyAlignment="1">
      <alignment horizontal="left" vertical="center" wrapText="1"/>
    </xf>
    <xf numFmtId="0" fontId="25" fillId="25" borderId="42" xfId="2" applyFont="1" applyFill="1" applyBorder="1" applyAlignment="1">
      <alignment horizontal="left" vertical="center" wrapText="1"/>
    </xf>
    <xf numFmtId="0" fontId="25" fillId="25" borderId="28" xfId="2" applyFont="1" applyFill="1" applyBorder="1" applyAlignment="1">
      <alignment horizontal="left" vertical="center" wrapText="1"/>
    </xf>
    <xf numFmtId="0" fontId="26" fillId="0" borderId="41" xfId="2" applyFont="1" applyBorder="1" applyAlignment="1">
      <alignment horizontal="left" vertical="center" wrapText="1"/>
    </xf>
    <xf numFmtId="0" fontId="26" fillId="0" borderId="42" xfId="2" applyFont="1" applyBorder="1" applyAlignment="1">
      <alignment horizontal="left" vertical="center" wrapText="1"/>
    </xf>
    <xf numFmtId="0" fontId="26" fillId="0" borderId="28" xfId="2" applyFont="1" applyBorder="1" applyAlignment="1">
      <alignment horizontal="left" vertical="center" wrapText="1"/>
    </xf>
    <xf numFmtId="0" fontId="26" fillId="4" borderId="9" xfId="2" quotePrefix="1" applyFont="1" applyFill="1" applyBorder="1" applyAlignment="1">
      <alignment horizontal="left" vertical="top" wrapText="1"/>
    </xf>
    <xf numFmtId="0" fontId="26" fillId="4" borderId="0" xfId="2" quotePrefix="1" applyFont="1" applyFill="1" applyAlignment="1">
      <alignment horizontal="left" vertical="top" wrapText="1"/>
    </xf>
    <xf numFmtId="0" fontId="26" fillId="4" borderId="10" xfId="2" quotePrefix="1" applyFont="1" applyFill="1" applyBorder="1" applyAlignment="1">
      <alignment horizontal="left" vertical="top" wrapText="1"/>
    </xf>
    <xf numFmtId="0" fontId="26" fillId="4" borderId="11" xfId="2" quotePrefix="1" applyFont="1" applyFill="1" applyBorder="1" applyAlignment="1">
      <alignment horizontal="left" vertical="top" wrapText="1"/>
    </xf>
    <xf numFmtId="0" fontId="26" fillId="4" borderId="12" xfId="2" quotePrefix="1" applyFont="1" applyFill="1" applyBorder="1" applyAlignment="1">
      <alignment horizontal="left" vertical="top" wrapText="1"/>
    </xf>
    <xf numFmtId="0" fontId="26" fillId="4" borderId="13" xfId="2" quotePrefix="1" applyFont="1" applyFill="1" applyBorder="1" applyAlignment="1">
      <alignment horizontal="left" vertical="top" wrapText="1"/>
    </xf>
    <xf numFmtId="0" fontId="26" fillId="0" borderId="32" xfId="2" applyFont="1" applyBorder="1" applyAlignment="1">
      <alignment horizontal="left" vertical="top" wrapText="1"/>
    </xf>
    <xf numFmtId="0" fontId="26" fillId="0" borderId="33" xfId="2" applyFont="1" applyBorder="1" applyAlignment="1">
      <alignment horizontal="left" vertical="top" wrapText="1"/>
    </xf>
    <xf numFmtId="0" fontId="26" fillId="0" borderId="34" xfId="2" applyFont="1" applyBorder="1" applyAlignment="1">
      <alignment horizontal="left" vertical="top" wrapText="1"/>
    </xf>
    <xf numFmtId="0" fontId="26" fillId="0" borderId="35" xfId="2" applyFont="1" applyBorder="1" applyAlignment="1">
      <alignment horizontal="left" vertical="top" wrapText="1"/>
    </xf>
    <xf numFmtId="0" fontId="26" fillId="0" borderId="0" xfId="2" applyFont="1" applyAlignment="1">
      <alignment horizontal="left" vertical="top" wrapText="1"/>
    </xf>
    <xf numFmtId="0" fontId="26" fillId="0" borderId="36" xfId="2" applyFont="1" applyBorder="1" applyAlignment="1">
      <alignment horizontal="left" vertical="top" wrapText="1"/>
    </xf>
    <xf numFmtId="0" fontId="26" fillId="0" borderId="38" xfId="2" applyFont="1" applyBorder="1" applyAlignment="1">
      <alignment horizontal="left" vertical="top" wrapText="1"/>
    </xf>
    <xf numFmtId="0" fontId="26" fillId="0" borderId="39" xfId="2" applyFont="1" applyBorder="1" applyAlignment="1">
      <alignment horizontal="left" vertical="top" wrapText="1"/>
    </xf>
    <xf numFmtId="0" fontId="26" fillId="0" borderId="40" xfId="2" applyFont="1" applyBorder="1" applyAlignment="1">
      <alignment horizontal="left" vertical="top" wrapText="1"/>
    </xf>
    <xf numFmtId="0" fontId="26" fillId="4" borderId="0" xfId="2" applyFont="1" applyFill="1" applyAlignment="1">
      <alignment horizontal="left" vertical="top" wrapText="1"/>
    </xf>
    <xf numFmtId="0" fontId="23" fillId="4" borderId="0" xfId="2" applyFont="1" applyFill="1" applyAlignment="1">
      <alignment horizontal="left" vertical="top" wrapText="1"/>
    </xf>
    <xf numFmtId="0" fontId="23" fillId="4" borderId="0" xfId="2" applyFont="1" applyFill="1" applyAlignment="1">
      <alignment horizontal="left" vertical="center" wrapText="1"/>
    </xf>
    <xf numFmtId="0" fontId="28" fillId="4" borderId="0" xfId="2" applyFont="1" applyFill="1" applyAlignment="1">
      <alignment horizontal="center" vertical="center" wrapText="1"/>
    </xf>
    <xf numFmtId="0" fontId="26" fillId="0" borderId="41" xfId="2" applyFont="1" applyBorder="1" applyAlignment="1">
      <alignment horizontal="left" vertical="top" wrapText="1"/>
    </xf>
    <xf numFmtId="0" fontId="26" fillId="0" borderId="42" xfId="2" applyFont="1" applyBorder="1" applyAlignment="1">
      <alignment horizontal="left" vertical="top" wrapText="1"/>
    </xf>
    <xf numFmtId="0" fontId="26" fillId="0" borderId="28" xfId="2" applyFont="1" applyBorder="1" applyAlignment="1">
      <alignment horizontal="left" vertical="top" wrapText="1"/>
    </xf>
    <xf numFmtId="0" fontId="6" fillId="5" borderId="6" xfId="0" applyFont="1" applyFill="1" applyBorder="1" applyAlignment="1">
      <alignment horizontal="left"/>
    </xf>
    <xf numFmtId="0" fontId="6" fillId="5" borderId="8" xfId="0" applyFont="1" applyFill="1" applyBorder="1" applyAlignment="1">
      <alignment horizontal="left"/>
    </xf>
    <xf numFmtId="0" fontId="14" fillId="4" borderId="17" xfId="0" applyFont="1" applyFill="1" applyBorder="1" applyAlignment="1">
      <alignment horizontal="left" vertical="center" wrapText="1"/>
    </xf>
    <xf numFmtId="0" fontId="14" fillId="4" borderId="19" xfId="0" applyFont="1" applyFill="1" applyBorder="1" applyAlignment="1">
      <alignment horizontal="left" vertical="center" wrapText="1"/>
    </xf>
    <xf numFmtId="0" fontId="11" fillId="24" borderId="12" xfId="0" applyFont="1" applyFill="1" applyBorder="1" applyAlignment="1">
      <alignment horizontal="left" vertical="top" wrapText="1"/>
    </xf>
    <xf numFmtId="0" fontId="11" fillId="24" borderId="9" xfId="0" applyFont="1" applyFill="1" applyBorder="1" applyAlignment="1">
      <alignment horizontal="center" vertical="center" wrapText="1"/>
    </xf>
    <xf numFmtId="0" fontId="11" fillId="24" borderId="10" xfId="0" applyFont="1" applyFill="1" applyBorder="1" applyAlignment="1">
      <alignment horizontal="center" vertical="center" wrapText="1"/>
    </xf>
    <xf numFmtId="0" fontId="1" fillId="4" borderId="27"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32" fillId="24" borderId="37" xfId="0" applyFont="1" applyFill="1" applyBorder="1" applyAlignment="1">
      <alignment horizontal="center" vertical="center" wrapText="1"/>
    </xf>
    <xf numFmtId="0" fontId="32" fillId="24" borderId="9" xfId="0" applyFont="1" applyFill="1" applyBorder="1" applyAlignment="1">
      <alignment horizontal="center" vertical="center" wrapText="1"/>
    </xf>
    <xf numFmtId="0" fontId="10" fillId="2" borderId="17" xfId="0" applyFont="1" applyFill="1" applyBorder="1" applyAlignment="1">
      <alignment horizontal="center" wrapText="1"/>
    </xf>
    <xf numFmtId="0" fontId="10" fillId="2" borderId="19" xfId="0" applyFont="1" applyFill="1" applyBorder="1" applyAlignment="1">
      <alignment horizontal="center" wrapText="1"/>
    </xf>
    <xf numFmtId="0" fontId="11" fillId="23" borderId="17" xfId="0" applyFont="1" applyFill="1" applyBorder="1" applyAlignment="1">
      <alignment horizontal="center" vertical="center" wrapText="1"/>
    </xf>
    <xf numFmtId="0" fontId="11" fillId="23" borderId="18" xfId="0" applyFont="1" applyFill="1" applyBorder="1" applyAlignment="1">
      <alignment horizontal="center" vertical="center" wrapText="1"/>
    </xf>
  </cellXfs>
  <cellStyles count="3">
    <cellStyle name="Normal" xfId="0" builtinId="0"/>
    <cellStyle name="Normal 2" xfId="1" xr:uid="{6476A91E-A211-49EA-A07E-9DC0B78F5B66}"/>
    <cellStyle name="Normal 3" xfId="2" xr:uid="{82FB3C8C-01D3-4524-AB32-382F7D42F322}"/>
  </cellStyles>
  <dxfs count="8">
    <dxf>
      <fill>
        <patternFill>
          <bgColor rgb="FF00B050"/>
        </patternFill>
      </fill>
    </dxf>
    <dxf>
      <fill>
        <patternFill>
          <bgColor rgb="FF92D050"/>
        </patternFill>
      </fill>
    </dxf>
    <dxf>
      <fill>
        <patternFill>
          <bgColor theme="9" tint="0.59996337778862885"/>
        </patternFill>
      </fill>
    </dxf>
    <dxf>
      <fill>
        <patternFill>
          <bgColor theme="9" tint="0.79998168889431442"/>
        </patternFill>
      </fill>
    </dxf>
    <dxf>
      <fill>
        <patternFill>
          <bgColor theme="7" tint="0.39994506668294322"/>
        </patternFill>
      </fill>
    </dxf>
    <dxf>
      <fill>
        <patternFill>
          <bgColor rgb="FFFFC000"/>
        </patternFill>
      </fill>
    </dxf>
    <dxf>
      <fill>
        <patternFill>
          <bgColor theme="5" tint="0.39994506668294322"/>
        </patternFill>
      </fill>
    </dxf>
    <dxf>
      <fill>
        <patternFill>
          <bgColor rgb="FFFF000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2625038943073"/>
          <c:y val="9.8175026128540219E-2"/>
          <c:w val="0.55513618744676785"/>
          <c:h val="0.80601504138905711"/>
        </c:manualLayout>
      </c:layout>
      <c:radarChart>
        <c:radarStyle val="marker"/>
        <c:varyColors val="0"/>
        <c:ser>
          <c:idx val="0"/>
          <c:order val="0"/>
          <c:spPr>
            <a:ln w="28575" cap="rnd">
              <a:solidFill>
                <a:schemeClr val="accent1"/>
              </a:solidFill>
              <a:round/>
            </a:ln>
            <a:effectLst/>
          </c:spPr>
          <c:marker>
            <c:symbol val="circle"/>
            <c:size val="5"/>
            <c:spPr>
              <a:solidFill>
                <a:srgbClr val="FF0000"/>
              </a:solidFill>
              <a:ln w="9525">
                <a:solidFill>
                  <a:schemeClr val="accent1"/>
                </a:solidFill>
              </a:ln>
              <a:effectLst/>
            </c:spPr>
          </c:marker>
          <c:cat>
            <c:strRef>
              <c:f>'2. SAISIE DES DONNÉES'!$D$29:$D$34</c:f>
              <c:strCache>
                <c:ptCount val="6"/>
                <c:pt idx="0">
                  <c:v>Carte de l’exploitation</c:v>
                </c:pt>
                <c:pt idx="1">
                  <c:v>Évaluation de la vulnérabilité</c:v>
                </c:pt>
                <c:pt idx="2">
                  <c:v>Intégration de la vulnérabilité dans les pratiques</c:v>
                </c:pt>
                <c:pt idx="3">
                  <c:v>Plan de gestion</c:v>
                </c:pt>
                <c:pt idx="4">
                  <c:v>Diversification des revenus</c:v>
                </c:pt>
                <c:pt idx="5">
                  <c:v>Gestion des enregistrements</c:v>
                </c:pt>
              </c:strCache>
            </c:strRef>
          </c:cat>
          <c:val>
            <c:numRef>
              <c:f>'2. SAISIE DES DONNÉES'!$U$29:$U$34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9A8-4AFA-9C1E-789B4E81A693}"/>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28569529135703"/>
          <c:y val="0.15489213307048466"/>
          <c:w val="0.55513618744676785"/>
          <c:h val="0.80601504138905711"/>
        </c:manualLayout>
      </c:layout>
      <c:radarChart>
        <c:radarStyle val="marker"/>
        <c:varyColors val="0"/>
        <c:ser>
          <c:idx val="0"/>
          <c:order val="0"/>
          <c:spPr>
            <a:ln w="28575" cap="rnd">
              <a:solidFill>
                <a:prstClr val="black"/>
              </a:solidFill>
              <a:round/>
            </a:ln>
            <a:effectLst/>
          </c:spPr>
          <c:marker>
            <c:symbol val="circle"/>
            <c:size val="5"/>
            <c:spPr>
              <a:solidFill>
                <a:srgbClr val="FF0000"/>
              </a:solidFill>
              <a:ln w="9525">
                <a:solidFill>
                  <a:prstClr val="black"/>
                </a:solidFill>
              </a:ln>
              <a:effectLst/>
            </c:spPr>
          </c:marker>
          <c:cat>
            <c:strRef>
              <c:f>'2. SAISIE DES DONNÉES'!$D$45:$D$49</c:f>
              <c:strCache>
                <c:ptCount val="5"/>
                <c:pt idx="0">
                  <c:v>Incorporation d’engrais biologiques</c:v>
                </c:pt>
                <c:pt idx="1">
                  <c:v>Cultures de couverture</c:v>
                </c:pt>
                <c:pt idx="2">
                  <c:v>Mulching</c:v>
                </c:pt>
                <c:pt idx="3">
                  <c:v>Stratégies de conservation des sols</c:v>
                </c:pt>
                <c:pt idx="4">
                  <c:v>Canaux de drainage </c:v>
                </c:pt>
              </c:strCache>
            </c:strRef>
          </c:cat>
          <c:val>
            <c:numRef>
              <c:f>'2. SAISIE DES DONNÉES'!$U$45:$U$49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2D16-441F-8BA5-EC67EE15F68D}"/>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365278310248673"/>
          <c:y val="0.12609490588920685"/>
          <c:w val="0.50981457178963729"/>
          <c:h val="0.74752616041789843"/>
        </c:manualLayout>
      </c:layout>
      <c:radarChart>
        <c:radarStyle val="marker"/>
        <c:varyColors val="0"/>
        <c:ser>
          <c:idx val="0"/>
          <c:order val="0"/>
          <c:spPr>
            <a:ln w="28575" cap="rnd">
              <a:solidFill>
                <a:schemeClr val="accent1"/>
              </a:solidFill>
              <a:round/>
            </a:ln>
            <a:effectLst/>
          </c:spPr>
          <c:marker>
            <c:symbol val="circle"/>
            <c:size val="5"/>
            <c:spPr>
              <a:solidFill>
                <a:srgbClr val="FF0000"/>
              </a:solidFill>
              <a:ln w="9525">
                <a:solidFill>
                  <a:schemeClr val="accent1"/>
                </a:solidFill>
              </a:ln>
              <a:effectLst/>
            </c:spPr>
          </c:marker>
          <c:cat>
            <c:strRef>
              <c:f>'2. SAISIE DES DONNÉES'!$D$37:$D$42</c:f>
              <c:strCache>
                <c:ptCount val="6"/>
                <c:pt idx="0">
                  <c:v>Infrastructure de captage de l’eau</c:v>
                </c:pt>
                <c:pt idx="1">
                  <c:v>Système d’irrigation</c:v>
                </c:pt>
                <c:pt idx="2">
                  <c:v>Entretien des réseaux d’irrigation </c:v>
                </c:pt>
                <c:pt idx="3">
                  <c:v>Optimisation de l’eau d’irrigation</c:v>
                </c:pt>
                <c:pt idx="4">
                  <c:v>Écosystèmes aquatiques</c:v>
                </c:pt>
                <c:pt idx="5">
                  <c:v>Protection des écosystèmes aquatiques</c:v>
                </c:pt>
              </c:strCache>
            </c:strRef>
          </c:cat>
          <c:val>
            <c:numRef>
              <c:f>'2. SAISIE DES DONNÉES'!$U$37:$U$42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9250-4264-A7F7-2CE86BE1712A}"/>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2625038943073"/>
          <c:y val="9.8175026128540219E-2"/>
          <c:w val="0.55513618744676785"/>
          <c:h val="0.80601504138905711"/>
        </c:manualLayout>
      </c:layout>
      <c:radarChart>
        <c:radarStyle val="marker"/>
        <c:varyColors val="0"/>
        <c:ser>
          <c:idx val="0"/>
          <c:order val="0"/>
          <c:spPr>
            <a:ln w="28575" cap="rnd">
              <a:solidFill>
                <a:prstClr val="black"/>
              </a:solidFill>
              <a:round/>
            </a:ln>
            <a:effectLst/>
          </c:spPr>
          <c:marker>
            <c:symbol val="circle"/>
            <c:size val="5"/>
            <c:spPr>
              <a:solidFill>
                <a:srgbClr val="FF0000"/>
              </a:solidFill>
              <a:ln w="9525">
                <a:solidFill>
                  <a:prstClr val="black"/>
                </a:solidFill>
              </a:ln>
              <a:effectLst/>
            </c:spPr>
          </c:marker>
          <c:cat>
            <c:strRef>
              <c:f>'2. SAISIE DES DONNÉES'!$D$52:$D$55</c:f>
              <c:strCache>
                <c:ptCount val="4"/>
                <c:pt idx="0">
                  <c:v>Canaux de drainage</c:v>
                </c:pt>
                <c:pt idx="1">
                  <c:v>Conservation de la végétation indigène</c:v>
                </c:pt>
                <c:pt idx="2">
                  <c:v>Systèmes d’agroforesterie (si tolérants à l’ombre)</c:v>
                </c:pt>
                <c:pt idx="3">
                  <c:v>Gestion des systèmes d’agroforesterie</c:v>
                </c:pt>
              </c:strCache>
            </c:strRef>
          </c:cat>
          <c:val>
            <c:numRef>
              <c:f>'2. SAISIE DES DONNÉES'!$U$52:$U$55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9DAD-4412-A5CA-2EFAD3E7DD78}"/>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2625038943073"/>
          <c:y val="9.8175026128540219E-2"/>
          <c:w val="0.55513618744676785"/>
          <c:h val="0.80601504138905711"/>
        </c:manualLayout>
      </c:layout>
      <c:radarChart>
        <c:radarStyle val="marker"/>
        <c:varyColors val="0"/>
        <c:ser>
          <c:idx val="0"/>
          <c:order val="0"/>
          <c:spPr>
            <a:ln w="28575" cap="rnd">
              <a:solidFill>
                <a:prstClr val="black"/>
              </a:solidFill>
              <a:round/>
            </a:ln>
            <a:effectLst/>
          </c:spPr>
          <c:marker>
            <c:symbol val="circle"/>
            <c:size val="5"/>
            <c:spPr>
              <a:solidFill>
                <a:srgbClr val="FF0000"/>
              </a:solidFill>
              <a:ln w="9525">
                <a:solidFill>
                  <a:prstClr val="black"/>
                </a:solidFill>
              </a:ln>
              <a:effectLst/>
            </c:spPr>
          </c:marker>
          <c:cat>
            <c:strRef>
              <c:f>'2. SAISIE DES DONNÉES'!$D$58:$D$61</c:f>
              <c:strCache>
                <c:ptCount val="4"/>
                <c:pt idx="0">
                  <c:v>Sélection des variétés de culture</c:v>
                </c:pt>
                <c:pt idx="1">
                  <c:v>Taille et élagage des cultures</c:v>
                </c:pt>
                <c:pt idx="2">
                  <c:v>Luttes contres les ravageurs et les maladies</c:v>
                </c:pt>
                <c:pt idx="3">
                  <c:v>Fertilisation</c:v>
                </c:pt>
              </c:strCache>
            </c:strRef>
          </c:cat>
          <c:val>
            <c:numRef>
              <c:f>'2. SAISIE DES DONNÉES'!$U$58:$U$61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4BF4-43BE-9434-AA0F0428B010}"/>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191393460202779"/>
          <c:y val="0.12177061257442731"/>
          <c:w val="0.55513618744676785"/>
          <c:h val="0.80601504138905711"/>
        </c:manualLayout>
      </c:layout>
      <c:radarChart>
        <c:radarStyle val="marker"/>
        <c:varyColors val="0"/>
        <c:ser>
          <c:idx val="0"/>
          <c:order val="0"/>
          <c:spPr>
            <a:ln w="28575" cap="rnd">
              <a:solidFill>
                <a:schemeClr val="accent1"/>
              </a:solidFill>
              <a:round/>
            </a:ln>
            <a:effectLst/>
          </c:spPr>
          <c:marker>
            <c:symbol val="circle"/>
            <c:size val="5"/>
            <c:spPr>
              <a:solidFill>
                <a:srgbClr val="FF0000"/>
              </a:solidFill>
              <a:ln w="9525">
                <a:solidFill>
                  <a:schemeClr val="accent1"/>
                </a:solidFill>
              </a:ln>
              <a:effectLst/>
            </c:spPr>
          </c:marker>
          <c:cat>
            <c:strRef>
              <c:f>'3. RÉSULTATS'!$H$8:$H$13</c:f>
              <c:strCache>
                <c:ptCount val="6"/>
                <c:pt idx="0">
                  <c:v>Coefficient de résilience</c:v>
                </c:pt>
                <c:pt idx="1">
                  <c:v>Gestion de l’exploitation agricole</c:v>
                </c:pt>
                <c:pt idx="2">
                  <c:v>Gestion de l’eau</c:v>
                </c:pt>
                <c:pt idx="3">
                  <c:v>Gestion des sols</c:v>
                </c:pt>
                <c:pt idx="4">
                  <c:v>Gestion de la végétation naturelle</c:v>
                </c:pt>
                <c:pt idx="5">
                  <c:v>Gestion des cultures</c:v>
                </c:pt>
              </c:strCache>
            </c:strRef>
          </c:cat>
          <c:val>
            <c:numRef>
              <c:f>'3. RÉSULTATS'!$I$8:$I$13</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350-4467-AF10-1AADF86A6EFB}"/>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71682</xdr:rowOff>
    </xdr:from>
    <xdr:to>
      <xdr:col>4</xdr:col>
      <xdr:colOff>588733</xdr:colOff>
      <xdr:row>27</xdr:row>
      <xdr:rowOff>46244</xdr:rowOff>
    </xdr:to>
    <xdr:pic>
      <xdr:nvPicPr>
        <xdr:cNvPr id="2" name="Picture 1">
          <a:extLst>
            <a:ext uri="{FF2B5EF4-FFF2-40B4-BE49-F238E27FC236}">
              <a16:creationId xmlns:a16="http://schemas.microsoft.com/office/drawing/2014/main" id="{968505AA-D1BF-43B3-84C8-1C5688D7B1D4}"/>
            </a:ext>
          </a:extLst>
        </xdr:cNvPr>
        <xdr:cNvPicPr>
          <a:picLocks noChangeAspect="1"/>
        </xdr:cNvPicPr>
      </xdr:nvPicPr>
      <xdr:blipFill>
        <a:blip xmlns:r="http://schemas.openxmlformats.org/officeDocument/2006/relationships" r:embed="rId1"/>
        <a:stretch>
          <a:fillRect/>
        </a:stretch>
      </xdr:blipFill>
      <xdr:spPr>
        <a:xfrm>
          <a:off x="0" y="2300532"/>
          <a:ext cx="3484333" cy="4746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30480</xdr:colOff>
      <xdr:row>6</xdr:row>
      <xdr:rowOff>457201</xdr:rowOff>
    </xdr:from>
    <xdr:to>
      <xdr:col>23</xdr:col>
      <xdr:colOff>333375</xdr:colOff>
      <xdr:row>13</xdr:row>
      <xdr:rowOff>38100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1702</xdr:colOff>
      <xdr:row>31</xdr:row>
      <xdr:rowOff>1</xdr:rowOff>
    </xdr:from>
    <xdr:to>
      <xdr:col>23</xdr:col>
      <xdr:colOff>9525</xdr:colOff>
      <xdr:row>47</xdr:row>
      <xdr:rowOff>942975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419100</xdr:colOff>
      <xdr:row>15</xdr:row>
      <xdr:rowOff>152400</xdr:rowOff>
    </xdr:from>
    <xdr:to>
      <xdr:col>23</xdr:col>
      <xdr:colOff>257175</xdr:colOff>
      <xdr:row>28</xdr:row>
      <xdr:rowOff>57150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385761</xdr:colOff>
      <xdr:row>6</xdr:row>
      <xdr:rowOff>503873</xdr:rowOff>
    </xdr:from>
    <xdr:to>
      <xdr:col>33</xdr:col>
      <xdr:colOff>552517</xdr:colOff>
      <xdr:row>13</xdr:row>
      <xdr:rowOff>63499</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381000</xdr:colOff>
      <xdr:row>15</xdr:row>
      <xdr:rowOff>152400</xdr:rowOff>
    </xdr:from>
    <xdr:to>
      <xdr:col>33</xdr:col>
      <xdr:colOff>544421</xdr:colOff>
      <xdr:row>26</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110488</xdr:colOff>
      <xdr:row>13</xdr:row>
      <xdr:rowOff>152398</xdr:rowOff>
    </xdr:from>
    <xdr:to>
      <xdr:col>10</xdr:col>
      <xdr:colOff>571500</xdr:colOff>
      <xdr:row>18</xdr:row>
      <xdr:rowOff>866774</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33FB6-2E99-4EEB-BC0D-9467450204E4}">
  <dimension ref="A1:T34"/>
  <sheetViews>
    <sheetView showGridLines="0" tabSelected="1" showWhiteSpace="0" zoomScaleNormal="100" workbookViewId="0">
      <selection activeCell="H4" sqref="H4"/>
    </sheetView>
  </sheetViews>
  <sheetFormatPr defaultColWidth="10.85546875" defaultRowHeight="15"/>
  <cols>
    <col min="1" max="5" width="10.85546875" style="139"/>
    <col min="6" max="6" width="11.85546875" style="139" customWidth="1"/>
    <col min="7" max="7" width="11.7109375" style="139" customWidth="1"/>
    <col min="8" max="13" width="10.85546875" style="139"/>
    <col min="14" max="14" width="7.42578125" style="139" customWidth="1"/>
    <col min="15" max="19" width="10.85546875" style="139"/>
    <col min="20" max="20" width="22.42578125" style="139" customWidth="1"/>
    <col min="21" max="16384" width="10.85546875" style="139"/>
  </cols>
  <sheetData>
    <row r="1" spans="1:20" ht="43.5">
      <c r="A1" s="138" t="s">
        <v>0</v>
      </c>
    </row>
    <row r="2" spans="1:20" ht="32.25" customHeight="1">
      <c r="A2" s="140" t="s">
        <v>1</v>
      </c>
    </row>
    <row r="3" spans="1:20" ht="20.25" customHeight="1">
      <c r="A3" s="141" t="s">
        <v>2</v>
      </c>
    </row>
    <row r="4" spans="1:20" ht="18">
      <c r="A4" s="141" t="s">
        <v>3</v>
      </c>
    </row>
    <row r="5" spans="1:20" ht="18">
      <c r="A5" s="177" t="s">
        <v>4</v>
      </c>
      <c r="B5" s="178"/>
      <c r="C5" s="178"/>
      <c r="D5" s="178"/>
    </row>
    <row r="6" spans="1:20" ht="21.75" thickBot="1">
      <c r="A6" s="141" t="s">
        <v>5</v>
      </c>
    </row>
    <row r="7" spans="1:20" ht="24.75" customHeight="1">
      <c r="F7" s="179" t="s">
        <v>6</v>
      </c>
      <c r="G7" s="180"/>
      <c r="H7" s="180"/>
      <c r="I7" s="181"/>
      <c r="J7" s="179" t="s">
        <v>7</v>
      </c>
      <c r="K7" s="181"/>
      <c r="L7" s="179" t="s">
        <v>8</v>
      </c>
      <c r="M7" s="181"/>
      <c r="O7" s="142" t="s">
        <v>9</v>
      </c>
      <c r="P7" s="143"/>
      <c r="Q7" s="143"/>
      <c r="R7" s="143"/>
      <c r="S7" s="143"/>
      <c r="T7" s="144"/>
    </row>
    <row r="8" spans="1:20" ht="28.5" customHeight="1">
      <c r="F8" s="182" t="s">
        <v>10</v>
      </c>
      <c r="G8" s="183"/>
      <c r="H8" s="183"/>
      <c r="I8" s="184"/>
      <c r="J8" s="182" t="s">
        <v>11</v>
      </c>
      <c r="K8" s="184"/>
      <c r="L8" s="182" t="s">
        <v>12</v>
      </c>
      <c r="M8" s="184"/>
      <c r="O8" s="185" t="s">
        <v>13</v>
      </c>
      <c r="P8" s="186"/>
      <c r="Q8" s="186"/>
      <c r="R8" s="186"/>
      <c r="S8" s="186"/>
      <c r="T8" s="187"/>
    </row>
    <row r="9" spans="1:20" ht="18">
      <c r="A9" s="145"/>
      <c r="F9" s="179" t="s">
        <v>14</v>
      </c>
      <c r="G9" s="180"/>
      <c r="H9" s="180"/>
      <c r="I9" s="180"/>
      <c r="J9" s="180"/>
      <c r="K9" s="180"/>
      <c r="L9" s="180"/>
      <c r="M9" s="181"/>
      <c r="N9" s="146"/>
      <c r="O9" s="185"/>
      <c r="P9" s="186"/>
      <c r="Q9" s="186"/>
      <c r="R9" s="186"/>
      <c r="S9" s="186"/>
      <c r="T9" s="187"/>
    </row>
    <row r="10" spans="1:20" ht="15" customHeight="1">
      <c r="F10" s="191" t="s">
        <v>15</v>
      </c>
      <c r="G10" s="192"/>
      <c r="H10" s="192"/>
      <c r="I10" s="192"/>
      <c r="J10" s="192"/>
      <c r="K10" s="192"/>
      <c r="L10" s="192"/>
      <c r="M10" s="193"/>
      <c r="O10" s="185"/>
      <c r="P10" s="186"/>
      <c r="Q10" s="186"/>
      <c r="R10" s="186"/>
      <c r="S10" s="186"/>
      <c r="T10" s="187"/>
    </row>
    <row r="11" spans="1:20">
      <c r="F11" s="194"/>
      <c r="G11" s="195"/>
      <c r="H11" s="195"/>
      <c r="I11" s="195"/>
      <c r="J11" s="195"/>
      <c r="K11" s="195"/>
      <c r="L11" s="195"/>
      <c r="M11" s="196"/>
      <c r="O11" s="185"/>
      <c r="P11" s="186"/>
      <c r="Q11" s="186"/>
      <c r="R11" s="186"/>
      <c r="S11" s="186"/>
      <c r="T11" s="187"/>
    </row>
    <row r="12" spans="1:20">
      <c r="F12" s="197"/>
      <c r="G12" s="198"/>
      <c r="H12" s="198"/>
      <c r="I12" s="198"/>
      <c r="J12" s="198"/>
      <c r="K12" s="198"/>
      <c r="L12" s="198"/>
      <c r="M12" s="199"/>
      <c r="O12" s="185"/>
      <c r="P12" s="186"/>
      <c r="Q12" s="186"/>
      <c r="R12" s="186"/>
      <c r="S12" s="186"/>
      <c r="T12" s="187"/>
    </row>
    <row r="13" spans="1:20" ht="15.95" customHeight="1">
      <c r="F13" s="179" t="s">
        <v>16</v>
      </c>
      <c r="G13" s="180"/>
      <c r="H13" s="180"/>
      <c r="I13" s="180"/>
      <c r="J13" s="180"/>
      <c r="K13" s="180"/>
      <c r="L13" s="180"/>
      <c r="M13" s="181"/>
      <c r="O13" s="185"/>
      <c r="P13" s="186"/>
      <c r="Q13" s="186"/>
      <c r="R13" s="186"/>
      <c r="S13" s="186"/>
      <c r="T13" s="187"/>
    </row>
    <row r="14" spans="1:20" ht="15.95" customHeight="1" thickBot="1">
      <c r="F14" s="182" t="s">
        <v>17</v>
      </c>
      <c r="G14" s="183"/>
      <c r="H14" s="183"/>
      <c r="I14" s="183"/>
      <c r="J14" s="183"/>
      <c r="K14" s="183"/>
      <c r="L14" s="183"/>
      <c r="M14" s="184"/>
      <c r="O14" s="188"/>
      <c r="P14" s="189"/>
      <c r="Q14" s="189"/>
      <c r="R14" s="189"/>
      <c r="S14" s="189"/>
      <c r="T14" s="190"/>
    </row>
    <row r="15" spans="1:20" ht="15.95" customHeight="1">
      <c r="F15" s="179" t="s">
        <v>18</v>
      </c>
      <c r="G15" s="180"/>
      <c r="H15" s="180"/>
      <c r="I15" s="180"/>
      <c r="J15" s="180"/>
      <c r="K15" s="180"/>
      <c r="L15" s="180"/>
      <c r="M15" s="181"/>
    </row>
    <row r="16" spans="1:20" ht="15.95" customHeight="1">
      <c r="F16" s="182" t="s">
        <v>19</v>
      </c>
      <c r="G16" s="183"/>
      <c r="H16" s="183"/>
      <c r="I16" s="183"/>
      <c r="J16" s="183"/>
      <c r="K16" s="183"/>
      <c r="L16" s="183"/>
      <c r="M16" s="184"/>
    </row>
    <row r="17" spans="6:20" ht="20.25" customHeight="1">
      <c r="F17" s="179" t="s">
        <v>20</v>
      </c>
      <c r="G17" s="180"/>
      <c r="H17" s="180"/>
      <c r="I17" s="180"/>
      <c r="J17" s="180"/>
      <c r="K17" s="180"/>
      <c r="L17" s="180"/>
      <c r="M17" s="181"/>
    </row>
    <row r="18" spans="6:20" ht="19.5" customHeight="1">
      <c r="F18" s="182" t="s">
        <v>21</v>
      </c>
      <c r="G18" s="183"/>
      <c r="H18" s="183"/>
      <c r="I18" s="183"/>
      <c r="J18" s="183"/>
      <c r="K18" s="183"/>
      <c r="L18" s="183"/>
      <c r="M18" s="184"/>
    </row>
    <row r="19" spans="6:20" s="146" customFormat="1" ht="17.25" customHeight="1">
      <c r="F19" s="179" t="s">
        <v>22</v>
      </c>
      <c r="G19" s="180"/>
      <c r="H19" s="180"/>
      <c r="I19" s="181"/>
      <c r="J19" s="179" t="s">
        <v>23</v>
      </c>
      <c r="K19" s="180"/>
      <c r="L19" s="180"/>
      <c r="M19" s="181"/>
      <c r="N19" s="139"/>
      <c r="O19" s="147" t="s">
        <v>24</v>
      </c>
      <c r="P19" s="147"/>
      <c r="Q19" s="147"/>
      <c r="R19" s="147"/>
      <c r="S19" s="147"/>
      <c r="T19" s="147"/>
    </row>
    <row r="20" spans="6:20" ht="42.75" customHeight="1">
      <c r="F20" s="204" t="s">
        <v>25</v>
      </c>
      <c r="G20" s="205"/>
      <c r="H20" s="205"/>
      <c r="I20" s="206"/>
      <c r="J20" s="204" t="s">
        <v>26</v>
      </c>
      <c r="K20" s="205"/>
      <c r="L20" s="205"/>
      <c r="M20" s="206"/>
      <c r="O20" s="200" t="s">
        <v>27</v>
      </c>
      <c r="P20" s="200"/>
      <c r="Q20" s="200"/>
      <c r="R20" s="200"/>
      <c r="S20" s="200"/>
      <c r="T20" s="200"/>
    </row>
    <row r="21" spans="6:20" ht="18.600000000000001" customHeight="1"/>
    <row r="22" spans="6:20" ht="18" customHeight="1">
      <c r="F22" s="147" t="s">
        <v>28</v>
      </c>
    </row>
    <row r="23" spans="6:20" ht="18" customHeight="1">
      <c r="F23" s="201" t="s">
        <v>29</v>
      </c>
      <c r="G23" s="201"/>
      <c r="H23" s="201"/>
      <c r="I23" s="201"/>
      <c r="J23" s="201"/>
      <c r="K23" s="201"/>
      <c r="L23" s="201"/>
      <c r="M23" s="201"/>
    </row>
    <row r="24" spans="6:20" ht="18.600000000000001" customHeight="1">
      <c r="F24" s="201"/>
      <c r="G24" s="201"/>
      <c r="H24" s="201"/>
      <c r="I24" s="201"/>
      <c r="J24" s="201"/>
      <c r="K24" s="201"/>
      <c r="L24" s="201"/>
      <c r="M24" s="201"/>
    </row>
    <row r="25" spans="6:20" ht="18.600000000000001" customHeight="1">
      <c r="F25" s="201"/>
      <c r="G25" s="201"/>
      <c r="H25" s="201"/>
      <c r="I25" s="201"/>
      <c r="J25" s="201"/>
      <c r="K25" s="201"/>
      <c r="L25" s="201"/>
      <c r="M25" s="201"/>
    </row>
    <row r="26" spans="6:20" ht="15.75" customHeight="1">
      <c r="F26" s="201"/>
      <c r="G26" s="201"/>
      <c r="H26" s="201"/>
      <c r="I26" s="201"/>
      <c r="J26" s="201"/>
      <c r="K26" s="201"/>
      <c r="L26" s="201"/>
      <c r="M26" s="201"/>
    </row>
    <row r="27" spans="6:20" ht="15.75" customHeight="1">
      <c r="F27" s="147" t="s">
        <v>30</v>
      </c>
    </row>
    <row r="28" spans="6:20" ht="18.600000000000001" customHeight="1">
      <c r="F28" s="202" t="s">
        <v>31</v>
      </c>
      <c r="G28" s="202"/>
      <c r="H28" s="202"/>
      <c r="I28" s="202"/>
      <c r="J28" s="202"/>
      <c r="K28" s="202"/>
      <c r="L28" s="202"/>
      <c r="M28" s="202"/>
    </row>
    <row r="29" spans="6:20" ht="18.600000000000001" customHeight="1">
      <c r="F29" s="202"/>
      <c r="G29" s="202"/>
      <c r="H29" s="202"/>
      <c r="I29" s="202"/>
      <c r="J29" s="202"/>
      <c r="K29" s="202"/>
      <c r="L29" s="202"/>
      <c r="M29" s="202"/>
    </row>
    <row r="30" spans="6:20" ht="18.600000000000001" customHeight="1">
      <c r="F30" s="148"/>
      <c r="G30" s="148"/>
      <c r="H30" s="148"/>
      <c r="I30" s="148"/>
      <c r="J30" s="148"/>
      <c r="K30" s="148"/>
      <c r="L30" s="148"/>
      <c r="M30" s="148"/>
      <c r="O30" s="149"/>
    </row>
    <row r="31" spans="6:20" ht="18.75" customHeight="1"/>
    <row r="32" spans="6:20" ht="21" customHeight="1">
      <c r="F32" s="203" t="s">
        <v>32</v>
      </c>
      <c r="G32" s="203"/>
      <c r="H32" s="203"/>
      <c r="I32" s="203"/>
      <c r="J32" s="203"/>
      <c r="K32" s="203"/>
      <c r="L32" s="203"/>
      <c r="M32" s="203"/>
    </row>
    <row r="33" spans="1:13">
      <c r="A33" s="150" t="s">
        <v>33</v>
      </c>
      <c r="F33" s="203"/>
      <c r="G33" s="203"/>
      <c r="H33" s="203"/>
      <c r="I33" s="203"/>
      <c r="J33" s="203"/>
      <c r="K33" s="203"/>
      <c r="L33" s="203"/>
      <c r="M33" s="203"/>
    </row>
    <row r="34" spans="1:13" ht="14.45" customHeight="1">
      <c r="F34" s="151"/>
    </row>
  </sheetData>
  <sheetProtection formatColumns="0" formatRows="0"/>
  <mergeCells count="23">
    <mergeCell ref="O20:T20"/>
    <mergeCell ref="F23:M26"/>
    <mergeCell ref="F28:M29"/>
    <mergeCell ref="F32:M33"/>
    <mergeCell ref="F16:M16"/>
    <mergeCell ref="F17:M17"/>
    <mergeCell ref="F18:M18"/>
    <mergeCell ref="F19:I19"/>
    <mergeCell ref="J19:M19"/>
    <mergeCell ref="F20:I20"/>
    <mergeCell ref="J20:M20"/>
    <mergeCell ref="O8:T14"/>
    <mergeCell ref="F9:M9"/>
    <mergeCell ref="F10:M12"/>
    <mergeCell ref="F13:M13"/>
    <mergeCell ref="F14:M14"/>
    <mergeCell ref="F15:M15"/>
    <mergeCell ref="F7:I7"/>
    <mergeCell ref="J7:K7"/>
    <mergeCell ref="L7:M7"/>
    <mergeCell ref="F8:I8"/>
    <mergeCell ref="J8:K8"/>
    <mergeCell ref="L8:M8"/>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AD81F-8274-4EF3-BA98-FE0C1422FA0B}">
  <sheetPr>
    <tabColor rgb="FF0070C0"/>
  </sheetPr>
  <dimension ref="B1:F11"/>
  <sheetViews>
    <sheetView zoomScale="80" zoomScaleNormal="80" workbookViewId="0">
      <selection activeCell="B7" sqref="B7"/>
    </sheetView>
  </sheetViews>
  <sheetFormatPr defaultRowHeight="15"/>
  <cols>
    <col min="2" max="2" width="78.28515625" customWidth="1"/>
    <col min="4" max="4" width="71.140625" customWidth="1"/>
    <col min="6" max="6" width="68" customWidth="1"/>
  </cols>
  <sheetData>
    <row r="1" spans="2:6" ht="15.75" thickBot="1"/>
    <row r="2" spans="2:6" ht="36">
      <c r="B2" s="111" t="s">
        <v>34</v>
      </c>
      <c r="C2" s="96"/>
      <c r="D2" s="96"/>
      <c r="E2" s="96"/>
      <c r="F2" s="97"/>
    </row>
    <row r="3" spans="2:6" ht="30.75" thickBot="1">
      <c r="B3" s="98" t="s">
        <v>35</v>
      </c>
      <c r="C3" s="99"/>
      <c r="D3" s="99"/>
      <c r="E3" s="99"/>
      <c r="F3" s="100"/>
    </row>
    <row r="4" spans="2:6" ht="15.75" thickBot="1"/>
    <row r="5" spans="2:6" ht="29.25" thickBot="1">
      <c r="B5" s="18" t="s">
        <v>36</v>
      </c>
      <c r="C5" s="19"/>
      <c r="D5" s="19"/>
      <c r="E5" s="19"/>
      <c r="F5" s="20"/>
    </row>
    <row r="6" spans="2:6" ht="15.75" thickBot="1"/>
    <row r="7" spans="2:6" ht="57">
      <c r="B7" s="15" t="s">
        <v>37</v>
      </c>
      <c r="D7" s="16" t="s">
        <v>38</v>
      </c>
      <c r="F7" s="17" t="s">
        <v>39</v>
      </c>
    </row>
    <row r="8" spans="2:6" ht="131.25">
      <c r="B8" s="21" t="s">
        <v>40</v>
      </c>
      <c r="C8" s="54"/>
      <c r="D8" s="23" t="s">
        <v>41</v>
      </c>
      <c r="E8" s="54"/>
      <c r="F8" s="25" t="s">
        <v>42</v>
      </c>
    </row>
    <row r="9" spans="2:6" ht="198.75" customHeight="1">
      <c r="B9" s="21" t="s">
        <v>43</v>
      </c>
      <c r="C9" s="54"/>
      <c r="D9" s="23" t="s">
        <v>44</v>
      </c>
      <c r="E9" s="54"/>
      <c r="F9" s="25" t="s">
        <v>45</v>
      </c>
    </row>
    <row r="10" spans="2:6" ht="169.5" thickBot="1">
      <c r="B10" s="22" t="s">
        <v>46</v>
      </c>
      <c r="C10" s="54"/>
      <c r="D10" s="23" t="s">
        <v>47</v>
      </c>
      <c r="E10" s="54"/>
      <c r="F10" s="26" t="s">
        <v>48</v>
      </c>
    </row>
    <row r="11" spans="2:6" ht="169.5" thickBot="1">
      <c r="B11" s="54"/>
      <c r="C11" s="54"/>
      <c r="D11" s="24" t="s">
        <v>49</v>
      </c>
      <c r="E11" s="54"/>
      <c r="F11" s="54"/>
    </row>
  </sheetData>
  <sheetProtection sheet="1" objects="1" scenarios="1" formatColumns="0" formatRows="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CB560-17D7-43CC-A9A8-2797C1283902}">
  <sheetPr>
    <tabColor rgb="FF0070C0"/>
  </sheetPr>
  <dimension ref="B1:AG69"/>
  <sheetViews>
    <sheetView zoomScale="80" zoomScaleNormal="80" workbookViewId="0">
      <selection activeCell="C6" sqref="C6"/>
    </sheetView>
  </sheetViews>
  <sheetFormatPr defaultRowHeight="15"/>
  <cols>
    <col min="2" max="2" width="55.85546875" customWidth="1"/>
    <col min="3" max="3" width="22.85546875" customWidth="1"/>
    <col min="4" max="4" width="21.140625" customWidth="1"/>
    <col min="5" max="5" width="57.28515625" customWidth="1"/>
    <col min="6" max="6" width="27.5703125" style="152" customWidth="1"/>
    <col min="7" max="7" width="9.140625" hidden="1" customWidth="1"/>
    <col min="8" max="8" width="27.85546875" style="152" customWidth="1"/>
    <col min="9" max="9" width="9.140625" style="152" customWidth="1"/>
    <col min="10" max="14" width="9.140625" customWidth="1"/>
    <col min="15" max="25" width="9.140625" style="168" customWidth="1"/>
    <col min="26" max="26" width="0.42578125" style="168" customWidth="1"/>
    <col min="27" max="29" width="9.140625" style="168" customWidth="1"/>
    <col min="30" max="33" width="9.140625" style="168"/>
    <col min="131" max="131" width="10.5703125" bestFit="1" customWidth="1"/>
  </cols>
  <sheetData>
    <row r="1" spans="2:26" ht="15.75" thickBot="1"/>
    <row r="2" spans="2:26" ht="24.75" customHeight="1" thickBot="1">
      <c r="B2" s="18" t="s">
        <v>50</v>
      </c>
      <c r="C2" s="19"/>
      <c r="D2" s="19"/>
      <c r="E2" s="43"/>
      <c r="F2" s="153"/>
    </row>
    <row r="4" spans="2:26" ht="15.75" thickBot="1"/>
    <row r="5" spans="2:26" ht="19.5" thickBot="1">
      <c r="B5" s="207" t="s">
        <v>51</v>
      </c>
      <c r="C5" s="208"/>
    </row>
    <row r="6" spans="2:26" ht="38.25" thickBot="1">
      <c r="B6" s="27" t="s">
        <v>52</v>
      </c>
      <c r="C6" s="161" t="s">
        <v>53</v>
      </c>
    </row>
    <row r="8" spans="2:26" ht="15.75" thickBot="1"/>
    <row r="9" spans="2:26" ht="21.75" thickBot="1">
      <c r="B9" s="29" t="s">
        <v>54</v>
      </c>
      <c r="C9" s="30"/>
      <c r="D9" s="30"/>
      <c r="E9" s="31"/>
      <c r="F9" s="154"/>
    </row>
    <row r="10" spans="2:26" ht="33.75" customHeight="1" thickBot="1">
      <c r="B10" s="34"/>
      <c r="C10" s="104" t="s">
        <v>55</v>
      </c>
      <c r="D10" s="209" t="e">
        <f>VLOOKUP($C$6&amp;C10,'Data Sheet Current Vulnerabilit'!$D:$E,2,FALSE)</f>
        <v>#N/A</v>
      </c>
      <c r="E10" s="210"/>
      <c r="F10" s="155" t="s">
        <v>53</v>
      </c>
      <c r="V10" s="168">
        <f>IF(F10=$V$65,-1)+IF(F10=$V$66,1)</f>
        <v>0</v>
      </c>
      <c r="Z10" s="168">
        <f>SUM(V10:V25)</f>
        <v>0</v>
      </c>
    </row>
    <row r="11" spans="2:26" ht="39" customHeight="1" thickBot="1">
      <c r="B11" s="35" t="s">
        <v>56</v>
      </c>
      <c r="C11" s="104" t="s">
        <v>57</v>
      </c>
      <c r="D11" s="209" t="e">
        <f>VLOOKUP($C$6&amp;C11,'Data Sheet Current Vulnerabilit'!$D:$E,2,FALSE)</f>
        <v>#N/A</v>
      </c>
      <c r="E11" s="210"/>
      <c r="F11" s="155" t="s">
        <v>53</v>
      </c>
      <c r="V11" s="168">
        <f t="shared" ref="V11:V16" si="0">IF(F11=$V$65,-1)+IF(F11=$V$66,1)</f>
        <v>0</v>
      </c>
    </row>
    <row r="12" spans="2:26" ht="36.6" customHeight="1" thickBot="1">
      <c r="B12" s="36" t="s">
        <v>58</v>
      </c>
      <c r="C12" s="104" t="s">
        <v>59</v>
      </c>
      <c r="D12" s="209" t="e">
        <f>VLOOKUP($C$6&amp;C12,'Data Sheet Current Vulnerabilit'!$D:$E,2,FALSE)</f>
        <v>#N/A</v>
      </c>
      <c r="E12" s="210"/>
      <c r="F12" s="155" t="s">
        <v>53</v>
      </c>
      <c r="V12" s="168">
        <f t="shared" si="0"/>
        <v>0</v>
      </c>
    </row>
    <row r="13" spans="2:26" ht="18.600000000000001" customHeight="1" thickBot="1">
      <c r="B13" s="36"/>
      <c r="C13" s="104" t="s">
        <v>60</v>
      </c>
      <c r="D13" s="209" t="e">
        <f>VLOOKUP($C$6&amp;C13,'Data Sheet Current Vulnerabilit'!$D:$E,2,FALSE)</f>
        <v>#N/A</v>
      </c>
      <c r="E13" s="210"/>
      <c r="F13" s="155" t="s">
        <v>53</v>
      </c>
      <c r="V13" s="168">
        <f t="shared" si="0"/>
        <v>0</v>
      </c>
    </row>
    <row r="14" spans="2:26" ht="35.25" customHeight="1" thickBot="1">
      <c r="B14" s="37"/>
      <c r="C14" s="104" t="s">
        <v>61</v>
      </c>
      <c r="D14" s="209" t="e">
        <f>VLOOKUP($C$6&amp;C14,'Data Sheet Current Vulnerabilit'!$D:$E,2,FALSE)</f>
        <v>#N/A</v>
      </c>
      <c r="E14" s="210"/>
      <c r="F14" s="155" t="s">
        <v>53</v>
      </c>
      <c r="V14" s="168">
        <f t="shared" si="0"/>
        <v>0</v>
      </c>
    </row>
    <row r="15" spans="2:26" ht="31.5" customHeight="1" thickBot="1">
      <c r="B15" s="37"/>
      <c r="C15" s="104" t="s">
        <v>62</v>
      </c>
      <c r="D15" s="209" t="e">
        <f>VLOOKUP($C$6&amp;C15,'Data Sheet Current Vulnerabilit'!$D:$E,2,FALSE)</f>
        <v>#N/A</v>
      </c>
      <c r="E15" s="210"/>
      <c r="F15" s="155" t="s">
        <v>53</v>
      </c>
      <c r="V15" s="168">
        <f t="shared" si="0"/>
        <v>0</v>
      </c>
    </row>
    <row r="16" spans="2:26" ht="44.25" customHeight="1" thickBot="1">
      <c r="B16" s="38"/>
      <c r="C16" s="104" t="s">
        <v>63</v>
      </c>
      <c r="D16" s="209" t="e">
        <f>VLOOKUP($C$6&amp;C16,'Data Sheet Current Vulnerabilit'!$D:$E,2,FALSE)</f>
        <v>#N/A</v>
      </c>
      <c r="E16" s="210"/>
      <c r="F16" s="155" t="s">
        <v>53</v>
      </c>
      <c r="V16" s="168">
        <f t="shared" si="0"/>
        <v>0</v>
      </c>
    </row>
    <row r="17" spans="2:28" ht="15.75" thickBot="1">
      <c r="E17" s="28"/>
    </row>
    <row r="18" spans="2:28" ht="21.75" thickBot="1">
      <c r="B18" s="32" t="s">
        <v>64</v>
      </c>
      <c r="C18" s="33"/>
      <c r="D18" s="33"/>
      <c r="E18" s="33"/>
      <c r="F18" s="156"/>
      <c r="Y18" s="169"/>
    </row>
    <row r="19" spans="2:28" ht="39" customHeight="1" thickBot="1">
      <c r="B19" s="39"/>
      <c r="C19" s="103" t="s">
        <v>65</v>
      </c>
      <c r="D19" s="209" t="e">
        <f>VLOOKUP($C$6&amp;C19,'Data Sheet Current Vulnerabilit'!$D:$E,2,FALSE)</f>
        <v>#N/A</v>
      </c>
      <c r="E19" s="210"/>
      <c r="F19" s="157" t="s">
        <v>53</v>
      </c>
      <c r="V19" s="168">
        <f>IF(F19=$V$65,-1)+IF(F19=$V$66,1)</f>
        <v>0</v>
      </c>
    </row>
    <row r="20" spans="2:28" ht="15.75" thickBot="1">
      <c r="B20" s="40"/>
      <c r="C20" s="103" t="s">
        <v>66</v>
      </c>
      <c r="D20" s="209" t="e">
        <f>VLOOKUP($C$6&amp;C20,'Data Sheet Current Vulnerabilit'!$D:$E,2,FALSE)</f>
        <v>#N/A</v>
      </c>
      <c r="E20" s="210"/>
      <c r="F20" s="157" t="s">
        <v>53</v>
      </c>
      <c r="V20" s="168">
        <f t="shared" ref="V20:V25" si="1">IF(F20=$V$65,-1)+IF(F20=$V$66,1)</f>
        <v>0</v>
      </c>
    </row>
    <row r="21" spans="2:28" ht="33.75" customHeight="1" thickBot="1">
      <c r="B21" s="42" t="s">
        <v>67</v>
      </c>
      <c r="C21" s="103" t="s">
        <v>68</v>
      </c>
      <c r="D21" s="209" t="e">
        <f>VLOOKUP($C$6&amp;C21,'Data Sheet Current Vulnerabilit'!$D:$E,2,FALSE)</f>
        <v>#N/A</v>
      </c>
      <c r="E21" s="210"/>
      <c r="F21" s="157" t="s">
        <v>53</v>
      </c>
      <c r="V21" s="168">
        <f t="shared" si="1"/>
        <v>0</v>
      </c>
    </row>
    <row r="22" spans="2:28" ht="40.5" customHeight="1" thickBot="1">
      <c r="B22" s="112"/>
      <c r="C22" s="103" t="s">
        <v>69</v>
      </c>
      <c r="D22" s="209" t="e">
        <f>VLOOKUP($C$6&amp;C22,'Data Sheet Current Vulnerabilit'!$D:$E,2,FALSE)</f>
        <v>#N/A</v>
      </c>
      <c r="E22" s="210"/>
      <c r="F22" s="157" t="s">
        <v>53</v>
      </c>
      <c r="V22" s="168">
        <f t="shared" si="1"/>
        <v>0</v>
      </c>
    </row>
    <row r="23" spans="2:28" ht="15.75" customHeight="1" thickBot="1">
      <c r="B23" s="40"/>
      <c r="C23" s="103" t="s">
        <v>70</v>
      </c>
      <c r="D23" s="209" t="e">
        <f>VLOOKUP($C$6&amp;C23,'Data Sheet Current Vulnerabilit'!$D:$E,2,FALSE)</f>
        <v>#N/A</v>
      </c>
      <c r="E23" s="210"/>
      <c r="F23" s="157" t="s">
        <v>53</v>
      </c>
      <c r="V23" s="168">
        <f t="shared" si="1"/>
        <v>0</v>
      </c>
    </row>
    <row r="24" spans="2:28" ht="28.15" customHeight="1" thickBot="1">
      <c r="B24" s="40"/>
      <c r="C24" s="103" t="s">
        <v>71</v>
      </c>
      <c r="D24" s="209" t="e">
        <f>VLOOKUP($C$6&amp;C24,'Data Sheet Current Vulnerabilit'!$D:$E,2,FALSE)</f>
        <v>#N/A</v>
      </c>
      <c r="E24" s="210"/>
      <c r="F24" s="157" t="s">
        <v>53</v>
      </c>
      <c r="V24" s="168">
        <f t="shared" si="1"/>
        <v>0</v>
      </c>
    </row>
    <row r="25" spans="2:28" ht="15.75" customHeight="1" thickBot="1">
      <c r="B25" s="41"/>
      <c r="C25" s="12" t="s">
        <v>72</v>
      </c>
      <c r="D25" s="209" t="e">
        <f>VLOOKUP($C$6&amp;C25,'Data Sheet Current Vulnerabilit'!$D:$E,2,FALSE)</f>
        <v>#N/A</v>
      </c>
      <c r="E25" s="210"/>
      <c r="F25" s="157" t="s">
        <v>53</v>
      </c>
      <c r="V25" s="168">
        <f t="shared" si="1"/>
        <v>0</v>
      </c>
    </row>
    <row r="26" spans="2:28" ht="15.75" thickBot="1"/>
    <row r="27" spans="2:28" ht="21.75" thickBot="1">
      <c r="B27" s="45" t="s">
        <v>73</v>
      </c>
      <c r="C27" s="46"/>
      <c r="D27" s="46"/>
      <c r="E27" s="46"/>
      <c r="F27" s="158"/>
    </row>
    <row r="28" spans="2:28" ht="19.5" thickBot="1">
      <c r="B28" s="47" t="s">
        <v>74</v>
      </c>
      <c r="C28" s="51" t="s">
        <v>75</v>
      </c>
      <c r="D28" s="101"/>
      <c r="E28" s="52"/>
      <c r="F28" s="159" t="s">
        <v>76</v>
      </c>
      <c r="Y28" s="169" t="s">
        <v>77</v>
      </c>
    </row>
    <row r="29" spans="2:28" ht="75.75" thickBot="1">
      <c r="B29" s="48"/>
      <c r="C29" s="53" t="s">
        <v>78</v>
      </c>
      <c r="D29" s="53" t="s">
        <v>79</v>
      </c>
      <c r="E29" s="28" t="e">
        <f>VLOOKUP($C$6&amp;C29,'Data Sheet Current Vulnerabilit'!$D:$E,2,FALSE)</f>
        <v>#N/A</v>
      </c>
      <c r="F29" s="160" t="s">
        <v>53</v>
      </c>
      <c r="G29">
        <f t="shared" ref="G29:G34" si="2">IF(F29=$V$65,1)+IF(F29=$V$67,0.5)+IF(F29=$V$66,0)</f>
        <v>0</v>
      </c>
      <c r="U29" s="168">
        <f>G29</f>
        <v>0</v>
      </c>
      <c r="V29" s="168">
        <f>G29</f>
        <v>0</v>
      </c>
      <c r="Y29" s="168">
        <v>14</v>
      </c>
      <c r="Z29" s="168">
        <v>12</v>
      </c>
      <c r="AA29" s="168">
        <v>1</v>
      </c>
      <c r="AB29" s="168" t="s">
        <v>80</v>
      </c>
    </row>
    <row r="30" spans="2:28" ht="30.75" thickBot="1">
      <c r="B30" s="48"/>
      <c r="C30" s="12" t="s">
        <v>81</v>
      </c>
      <c r="D30" s="12" t="s">
        <v>82</v>
      </c>
      <c r="E30" s="28" t="e">
        <f>VLOOKUP($C$6&amp;C30,'Data Sheet Current Vulnerabilit'!$D:$E,2,FALSE)</f>
        <v>#N/A</v>
      </c>
      <c r="F30" s="160" t="s">
        <v>53</v>
      </c>
      <c r="G30">
        <f t="shared" si="2"/>
        <v>0</v>
      </c>
      <c r="U30" s="168">
        <f t="shared" ref="U30:U34" si="3">G30</f>
        <v>0</v>
      </c>
      <c r="V30" s="168">
        <f t="shared" ref="V30:V34" si="4">G30</f>
        <v>0</v>
      </c>
      <c r="Y30" s="168">
        <v>12</v>
      </c>
      <c r="Z30" s="168">
        <v>8</v>
      </c>
      <c r="AA30" s="168">
        <v>2</v>
      </c>
      <c r="AB30" s="168" t="s">
        <v>83</v>
      </c>
    </row>
    <row r="31" spans="2:28" ht="45.75" thickBot="1">
      <c r="B31" s="48"/>
      <c r="C31" s="53" t="s">
        <v>84</v>
      </c>
      <c r="D31" s="12" t="s">
        <v>85</v>
      </c>
      <c r="E31" s="28" t="e">
        <f>VLOOKUP($C$6&amp;C31,'Data Sheet Current Vulnerabilit'!$D:$E,2,FALSE)</f>
        <v>#N/A</v>
      </c>
      <c r="F31" s="160" t="s">
        <v>53</v>
      </c>
      <c r="G31">
        <f t="shared" si="2"/>
        <v>0</v>
      </c>
      <c r="U31" s="168">
        <f t="shared" si="3"/>
        <v>0</v>
      </c>
      <c r="V31" s="168">
        <f t="shared" si="4"/>
        <v>0</v>
      </c>
      <c r="Y31" s="168">
        <v>8</v>
      </c>
      <c r="Z31" s="168">
        <v>4</v>
      </c>
      <c r="AA31" s="168">
        <v>3</v>
      </c>
      <c r="AB31" s="168" t="s">
        <v>86</v>
      </c>
    </row>
    <row r="32" spans="2:28" ht="45.75" thickBot="1">
      <c r="B32" s="49"/>
      <c r="C32" s="12" t="s">
        <v>87</v>
      </c>
      <c r="D32" s="12" t="s">
        <v>88</v>
      </c>
      <c r="E32" s="28" t="e">
        <f>VLOOKUP($C$6&amp;C32,'Data Sheet Current Vulnerabilit'!$D:$E,2,FALSE)</f>
        <v>#N/A</v>
      </c>
      <c r="F32" s="160" t="s">
        <v>53</v>
      </c>
      <c r="G32">
        <f t="shared" si="2"/>
        <v>0</v>
      </c>
      <c r="U32" s="168">
        <f t="shared" si="3"/>
        <v>0</v>
      </c>
      <c r="V32" s="168">
        <f t="shared" si="4"/>
        <v>0</v>
      </c>
      <c r="Y32" s="168">
        <v>4</v>
      </c>
      <c r="Z32" s="168">
        <v>0</v>
      </c>
      <c r="AA32" s="168">
        <v>4</v>
      </c>
      <c r="AB32" s="168" t="s">
        <v>89</v>
      </c>
    </row>
    <row r="33" spans="2:28" ht="30.75" thickBot="1">
      <c r="B33" s="49"/>
      <c r="C33" s="53" t="s">
        <v>90</v>
      </c>
      <c r="D33" s="12" t="s">
        <v>91</v>
      </c>
      <c r="E33" s="28" t="e">
        <f>VLOOKUP($C$6&amp;C33,'Data Sheet Current Vulnerabilit'!$D:$E,2,FALSE)</f>
        <v>#N/A</v>
      </c>
      <c r="F33" s="160" t="s">
        <v>53</v>
      </c>
      <c r="G33">
        <f t="shared" si="2"/>
        <v>0</v>
      </c>
      <c r="U33" s="168">
        <f t="shared" si="3"/>
        <v>0</v>
      </c>
      <c r="V33" s="168">
        <f t="shared" si="4"/>
        <v>0</v>
      </c>
      <c r="Y33" s="168">
        <v>0</v>
      </c>
      <c r="Z33" s="168">
        <v>-4</v>
      </c>
      <c r="AA33" s="168">
        <v>5</v>
      </c>
      <c r="AB33" s="168" t="s">
        <v>92</v>
      </c>
    </row>
    <row r="34" spans="2:28" ht="45.75" thickBot="1">
      <c r="B34" s="50"/>
      <c r="C34" s="12" t="s">
        <v>93</v>
      </c>
      <c r="D34" s="12" t="s">
        <v>94</v>
      </c>
      <c r="E34" s="28" t="e">
        <f>VLOOKUP($C$6&amp;C34,'Data Sheet Current Vulnerabilit'!$D:$E,2,FALSE)</f>
        <v>#N/A</v>
      </c>
      <c r="F34" s="160" t="s">
        <v>53</v>
      </c>
      <c r="G34">
        <f t="shared" si="2"/>
        <v>0</v>
      </c>
      <c r="U34" s="168">
        <f t="shared" si="3"/>
        <v>0</v>
      </c>
      <c r="V34" s="168">
        <f t="shared" si="4"/>
        <v>0</v>
      </c>
      <c r="Y34" s="168">
        <v>-4</v>
      </c>
      <c r="Z34" s="168">
        <v>-8</v>
      </c>
      <c r="AA34" s="168">
        <v>6</v>
      </c>
      <c r="AB34" s="168" t="s">
        <v>95</v>
      </c>
    </row>
    <row r="35" spans="2:28" ht="15.75" thickBot="1">
      <c r="Y35" s="168">
        <v>-8</v>
      </c>
      <c r="Z35" s="168">
        <v>-12</v>
      </c>
      <c r="AA35" s="168">
        <v>7</v>
      </c>
      <c r="AB35" s="168" t="s">
        <v>96</v>
      </c>
    </row>
    <row r="36" spans="2:28" ht="19.5" customHeight="1" thickBot="1">
      <c r="B36" s="47" t="s">
        <v>97</v>
      </c>
      <c r="C36" s="51" t="s">
        <v>75</v>
      </c>
      <c r="D36" s="101"/>
      <c r="E36" s="52"/>
      <c r="F36" s="159" t="s">
        <v>76</v>
      </c>
      <c r="Y36" s="168">
        <v>-12</v>
      </c>
      <c r="Z36" s="168">
        <v>-14</v>
      </c>
      <c r="AA36" s="168">
        <v>8</v>
      </c>
      <c r="AB36" s="168" t="s">
        <v>98</v>
      </c>
    </row>
    <row r="37" spans="2:28" ht="30.75" thickBot="1">
      <c r="B37" s="48"/>
      <c r="C37" s="53" t="s">
        <v>99</v>
      </c>
      <c r="D37" s="55" t="s">
        <v>100</v>
      </c>
      <c r="E37" s="28" t="e">
        <f>VLOOKUP($C$6&amp;C37,'Data Sheet Current Vulnerabilit'!$D:$E,2,FALSE)</f>
        <v>#N/A</v>
      </c>
      <c r="F37" s="160" t="s">
        <v>53</v>
      </c>
      <c r="G37">
        <f t="shared" ref="G37:G42" si="5">IF(F37=$V$65,1)+IF(F37=$V$67,0.5)+IF(F37=$V$66,0)</f>
        <v>0</v>
      </c>
      <c r="U37" s="168">
        <f>G37</f>
        <v>0</v>
      </c>
    </row>
    <row r="38" spans="2:28" ht="30.75" thickBot="1">
      <c r="B38" s="48"/>
      <c r="C38" s="53" t="s">
        <v>101</v>
      </c>
      <c r="D38" s="12" t="s">
        <v>102</v>
      </c>
      <c r="E38" s="28" t="e">
        <f>VLOOKUP($C$6&amp;C38,'Data Sheet Current Vulnerabilit'!$D:$E,2,FALSE)</f>
        <v>#N/A</v>
      </c>
      <c r="F38" s="160" t="s">
        <v>53</v>
      </c>
      <c r="G38">
        <f t="shared" si="5"/>
        <v>0</v>
      </c>
      <c r="U38" s="168">
        <f t="shared" ref="U38:U61" si="6">G38</f>
        <v>0</v>
      </c>
    </row>
    <row r="39" spans="2:28" ht="30.75" thickBot="1">
      <c r="B39" s="48"/>
      <c r="C39" s="53" t="s">
        <v>103</v>
      </c>
      <c r="D39" s="12" t="s">
        <v>104</v>
      </c>
      <c r="E39" s="28" t="e">
        <f>VLOOKUP($C$6&amp;C39,'Data Sheet Current Vulnerabilit'!$D:$E,2,FALSE)</f>
        <v>#N/A</v>
      </c>
      <c r="F39" s="160" t="s">
        <v>53</v>
      </c>
      <c r="G39">
        <f t="shared" si="5"/>
        <v>0</v>
      </c>
      <c r="U39" s="168">
        <f t="shared" si="6"/>
        <v>0</v>
      </c>
    </row>
    <row r="40" spans="2:28" ht="60.75" thickBot="1">
      <c r="B40" s="48"/>
      <c r="C40" s="53" t="s">
        <v>105</v>
      </c>
      <c r="D40" s="12" t="s">
        <v>106</v>
      </c>
      <c r="E40" s="28" t="e">
        <f>VLOOKUP($C$6&amp;C40,'Data Sheet Current Vulnerabilit'!$D:$E,2,FALSE)</f>
        <v>#N/A</v>
      </c>
      <c r="F40" s="160" t="s">
        <v>53</v>
      </c>
      <c r="G40">
        <f t="shared" si="5"/>
        <v>0</v>
      </c>
      <c r="U40" s="168">
        <f t="shared" si="6"/>
        <v>0</v>
      </c>
    </row>
    <row r="41" spans="2:28" ht="30.75" thickBot="1">
      <c r="B41" s="48"/>
      <c r="C41" s="53" t="s">
        <v>107</v>
      </c>
      <c r="D41" s="12" t="s">
        <v>108</v>
      </c>
      <c r="E41" s="28" t="e">
        <f>VLOOKUP($C$6&amp;C41,'Data Sheet Current Vulnerabilit'!$D:$E,2,FALSE)</f>
        <v>#N/A</v>
      </c>
      <c r="F41" s="160" t="s">
        <v>53</v>
      </c>
      <c r="G41">
        <f t="shared" si="5"/>
        <v>0</v>
      </c>
      <c r="U41" s="168">
        <f t="shared" si="6"/>
        <v>0</v>
      </c>
    </row>
    <row r="42" spans="2:28" ht="46.9" customHeight="1" thickBot="1">
      <c r="B42" s="50"/>
      <c r="C42" s="53" t="s">
        <v>109</v>
      </c>
      <c r="D42" s="12" t="s">
        <v>110</v>
      </c>
      <c r="E42" s="28" t="e">
        <f>VLOOKUP($C$6&amp;C42,'Data Sheet Current Vulnerabilit'!$D:$E,2,FALSE)</f>
        <v>#N/A</v>
      </c>
      <c r="F42" s="160" t="s">
        <v>53</v>
      </c>
      <c r="G42">
        <f t="shared" si="5"/>
        <v>0</v>
      </c>
      <c r="U42" s="168">
        <f t="shared" si="6"/>
        <v>0</v>
      </c>
    </row>
    <row r="43" spans="2:28" ht="15.75" thickBot="1">
      <c r="K43" s="102"/>
    </row>
    <row r="44" spans="2:28" ht="19.5" thickBot="1">
      <c r="B44" s="47" t="s">
        <v>111</v>
      </c>
      <c r="C44" s="51" t="s">
        <v>75</v>
      </c>
      <c r="D44" s="101"/>
      <c r="E44" s="52"/>
      <c r="F44" s="159" t="s">
        <v>76</v>
      </c>
      <c r="K44" s="102"/>
    </row>
    <row r="45" spans="2:28" ht="81.75" customHeight="1" thickBot="1">
      <c r="B45" s="48"/>
      <c r="C45" s="53" t="s">
        <v>112</v>
      </c>
      <c r="D45" s="12" t="s">
        <v>113</v>
      </c>
      <c r="E45" s="28" t="e">
        <f>VLOOKUP($C$6&amp;C45,'Data Sheet Current Vulnerabilit'!$D:$E,2,FALSE)</f>
        <v>#N/A</v>
      </c>
      <c r="F45" s="160" t="s">
        <v>53</v>
      </c>
      <c r="G45">
        <f>IF(F45=$V$65,1)+IF(F45=$V$67,0.5)+IF(F45=$V$66,0)</f>
        <v>0</v>
      </c>
      <c r="K45" s="102"/>
      <c r="U45" s="168">
        <f t="shared" si="6"/>
        <v>0</v>
      </c>
    </row>
    <row r="46" spans="2:28" ht="19.899999999999999" customHeight="1" thickBot="1">
      <c r="B46" s="48"/>
      <c r="C46" s="53" t="s">
        <v>114</v>
      </c>
      <c r="D46" s="12" t="s">
        <v>115</v>
      </c>
      <c r="E46" s="28" t="e">
        <f>VLOOKUP($C$6&amp;C46,'Data Sheet Current Vulnerabilit'!$D:$E,2,FALSE)</f>
        <v>#N/A</v>
      </c>
      <c r="F46" s="160" t="s">
        <v>53</v>
      </c>
      <c r="G46">
        <f>IF(F46=$V$65,1)+IF(F46=$V$67,0.5)+IF(F46=$V$66,0)</f>
        <v>0</v>
      </c>
      <c r="K46" s="102"/>
      <c r="U46" s="168">
        <f t="shared" si="6"/>
        <v>0</v>
      </c>
    </row>
    <row r="47" spans="2:28" ht="36" customHeight="1" thickBot="1">
      <c r="B47" s="48"/>
      <c r="C47" s="53" t="s">
        <v>116</v>
      </c>
      <c r="D47" s="12" t="s">
        <v>117</v>
      </c>
      <c r="E47" s="28" t="e">
        <f>VLOOKUP($C$6&amp;C47,'Data Sheet Current Vulnerabilit'!$D:$E,2,FALSE)</f>
        <v>#N/A</v>
      </c>
      <c r="F47" s="160" t="s">
        <v>53</v>
      </c>
      <c r="G47">
        <f>IF(F47=$V$65,1)+IF(F47=$V$67,0.5)+IF(F47=$V$66,0)</f>
        <v>0</v>
      </c>
      <c r="K47" s="102"/>
      <c r="U47" s="168">
        <f t="shared" si="6"/>
        <v>0</v>
      </c>
    </row>
    <row r="48" spans="2:28" ht="57" customHeight="1" thickBot="1">
      <c r="B48" s="49"/>
      <c r="C48" s="53" t="s">
        <v>118</v>
      </c>
      <c r="D48" s="12" t="s">
        <v>119</v>
      </c>
      <c r="E48" s="28" t="e">
        <f>VLOOKUP($C$6&amp;C48,'Data Sheet Current Vulnerabilit'!$D:$E,2,FALSE)</f>
        <v>#N/A</v>
      </c>
      <c r="F48" s="160" t="s">
        <v>53</v>
      </c>
      <c r="G48">
        <f>IF(F48=$V$65,1)+IF(F48=$V$67,0.5)+IF(F48=$V$66,0)</f>
        <v>0</v>
      </c>
      <c r="K48" s="102"/>
      <c r="U48" s="168">
        <f t="shared" si="6"/>
        <v>0</v>
      </c>
    </row>
    <row r="49" spans="2:23" ht="50.25" customHeight="1" thickBot="1">
      <c r="B49" s="50"/>
      <c r="C49" s="53" t="s">
        <v>120</v>
      </c>
      <c r="D49" s="12" t="s">
        <v>121</v>
      </c>
      <c r="E49" s="28" t="e">
        <f>VLOOKUP($C$6&amp;C49,'Data Sheet Current Vulnerabilit'!$D:$E,2,FALSE)</f>
        <v>#N/A</v>
      </c>
      <c r="F49" s="160" t="s">
        <v>53</v>
      </c>
      <c r="G49">
        <f>IF(F49=$V$65,1)+IF(F49=$V$67,0.5)+IF(F49=$V$66,0)</f>
        <v>0</v>
      </c>
      <c r="K49" s="102"/>
      <c r="U49" s="168">
        <f t="shared" si="6"/>
        <v>0</v>
      </c>
    </row>
    <row r="50" spans="2:23" ht="15.75" thickBot="1">
      <c r="K50" s="102"/>
    </row>
    <row r="51" spans="2:23" ht="38.25" thickBot="1">
      <c r="B51" s="58" t="s">
        <v>122</v>
      </c>
      <c r="C51" s="51" t="s">
        <v>75</v>
      </c>
      <c r="D51" s="101"/>
      <c r="E51" s="52"/>
      <c r="F51" s="159" t="s">
        <v>76</v>
      </c>
      <c r="K51" s="102"/>
      <c r="U51" s="168">
        <f t="shared" si="6"/>
        <v>0</v>
      </c>
    </row>
    <row r="52" spans="2:23" ht="46.15" customHeight="1" thickBot="1">
      <c r="B52" s="48"/>
      <c r="C52" s="53" t="s">
        <v>123</v>
      </c>
      <c r="D52" s="12" t="s">
        <v>124</v>
      </c>
      <c r="E52" s="28" t="e">
        <f>VLOOKUP($C$6&amp;C52,'Data Sheet Current Vulnerabilit'!$D:$E,2,FALSE)</f>
        <v>#N/A</v>
      </c>
      <c r="F52" s="160" t="s">
        <v>53</v>
      </c>
      <c r="G52">
        <f>IF(F52=$V$65,1)+IF(F52=$V$67,0.5)+IF(F52=$V$66,0)</f>
        <v>0</v>
      </c>
      <c r="K52" s="102"/>
      <c r="U52" s="168">
        <f t="shared" si="6"/>
        <v>0</v>
      </c>
    </row>
    <row r="53" spans="2:23" ht="51.75" customHeight="1" thickBot="1">
      <c r="B53" s="48"/>
      <c r="C53" s="53" t="s">
        <v>125</v>
      </c>
      <c r="D53" s="12" t="s">
        <v>126</v>
      </c>
      <c r="E53" s="28" t="e">
        <f>VLOOKUP($C$6&amp;C53,'Data Sheet Current Vulnerabilit'!$D:$E,2,FALSE)</f>
        <v>#N/A</v>
      </c>
      <c r="F53" s="160" t="s">
        <v>53</v>
      </c>
      <c r="G53">
        <f>IF(F53=$V$65,1)+IF(F53=$V$67,0.5)+IF(F53=$V$66,0)</f>
        <v>0</v>
      </c>
      <c r="K53" s="102"/>
      <c r="U53" s="168">
        <f t="shared" si="6"/>
        <v>0</v>
      </c>
    </row>
    <row r="54" spans="2:23" ht="53.25" customHeight="1" thickBot="1">
      <c r="B54" s="48"/>
      <c r="C54" s="53" t="s">
        <v>127</v>
      </c>
      <c r="D54" s="12" t="s">
        <v>128</v>
      </c>
      <c r="E54" s="28" t="e">
        <f>VLOOKUP($C$6&amp;C54,'Data Sheet Current Vulnerabilit'!$D:$E,2,FALSE)</f>
        <v>#N/A</v>
      </c>
      <c r="F54" s="160" t="s">
        <v>53</v>
      </c>
      <c r="G54">
        <f>IF(F54=$V$65,1)+IF(F54=$V$67,0.5)+IF(F54=$V$66,0)</f>
        <v>0</v>
      </c>
      <c r="K54" s="102"/>
      <c r="U54" s="168">
        <f t="shared" si="6"/>
        <v>0</v>
      </c>
    </row>
    <row r="55" spans="2:23" ht="45.75" thickBot="1">
      <c r="B55" s="50"/>
      <c r="C55" s="53" t="s">
        <v>129</v>
      </c>
      <c r="D55" s="12" t="s">
        <v>130</v>
      </c>
      <c r="E55" s="28" t="e">
        <f>VLOOKUP($C$6&amp;C55,'Data Sheet Current Vulnerabilit'!$D:$E,2,FALSE)</f>
        <v>#N/A</v>
      </c>
      <c r="F55" s="160" t="s">
        <v>53</v>
      </c>
      <c r="G55">
        <f>IF(F55=$V$65,1)+IF(F55=$V$67,0.5)+IF(F55=$V$66,0)</f>
        <v>0</v>
      </c>
      <c r="K55" s="102"/>
      <c r="U55" s="168">
        <f t="shared" si="6"/>
        <v>0</v>
      </c>
    </row>
    <row r="56" spans="2:23" ht="15.75" thickBot="1">
      <c r="K56" s="102"/>
    </row>
    <row r="57" spans="2:23" ht="19.5" thickBot="1">
      <c r="B57" s="47" t="s">
        <v>131</v>
      </c>
      <c r="C57" s="51" t="s">
        <v>75</v>
      </c>
      <c r="D57" s="101"/>
      <c r="E57" s="52"/>
      <c r="F57" s="159" t="s">
        <v>76</v>
      </c>
      <c r="K57" s="102"/>
      <c r="U57" s="168">
        <f t="shared" si="6"/>
        <v>0</v>
      </c>
    </row>
    <row r="58" spans="2:23" ht="45.75" thickBot="1">
      <c r="B58" s="48"/>
      <c r="C58" s="53" t="s">
        <v>132</v>
      </c>
      <c r="D58" s="12" t="s">
        <v>133</v>
      </c>
      <c r="E58" s="28" t="e">
        <f>VLOOKUP($C$6&amp;C58,'Data Sheet Current Vulnerabilit'!$D:$E,2,FALSE)</f>
        <v>#N/A</v>
      </c>
      <c r="F58" s="160" t="s">
        <v>53</v>
      </c>
      <c r="G58">
        <f>IF(F58=$V$65,1)+IF(F58=$V$67,0.5)+IF(F58=$V$66,0)</f>
        <v>0</v>
      </c>
      <c r="U58" s="168">
        <f t="shared" si="6"/>
        <v>0</v>
      </c>
    </row>
    <row r="59" spans="2:23" ht="30.75" thickBot="1">
      <c r="B59" s="48"/>
      <c r="C59" s="53" t="s">
        <v>134</v>
      </c>
      <c r="D59" s="12" t="s">
        <v>135</v>
      </c>
      <c r="E59" s="28" t="e">
        <f>VLOOKUP($C$6&amp;C59,'Data Sheet Current Vulnerabilit'!$D:$E,2,FALSE)</f>
        <v>#N/A</v>
      </c>
      <c r="F59" s="160" t="s">
        <v>53</v>
      </c>
      <c r="G59">
        <f>IF(F59=$V$65,1)+IF(F59=$V$67,0.5)+IF(F59=$V$66,0)</f>
        <v>0</v>
      </c>
      <c r="U59" s="168">
        <f t="shared" si="6"/>
        <v>0</v>
      </c>
    </row>
    <row r="60" spans="2:23" ht="45.75" thickBot="1">
      <c r="B60" s="48"/>
      <c r="C60" s="53" t="s">
        <v>136</v>
      </c>
      <c r="D60" s="12" t="s">
        <v>137</v>
      </c>
      <c r="E60" s="28" t="e">
        <f>VLOOKUP($C$6&amp;C60,'Data Sheet Current Vulnerabilit'!$D:$E,2,FALSE)</f>
        <v>#N/A</v>
      </c>
      <c r="F60" s="160" t="s">
        <v>53</v>
      </c>
      <c r="G60">
        <f>IF(F60=$V$65,1)+IF(F60=$V$67,0.5)+IF(F60=$V$66,0)</f>
        <v>0</v>
      </c>
      <c r="U60" s="168">
        <f t="shared" si="6"/>
        <v>0</v>
      </c>
    </row>
    <row r="61" spans="2:23" ht="45.75" thickBot="1">
      <c r="B61" s="49"/>
      <c r="C61" s="53" t="s">
        <v>138</v>
      </c>
      <c r="D61" s="12" t="s">
        <v>139</v>
      </c>
      <c r="E61" s="28" t="e">
        <f>VLOOKUP($C$6&amp;C61,'Data Sheet Current Vulnerabilit'!$D:$E,2,FALSE)</f>
        <v>#N/A</v>
      </c>
      <c r="F61" s="160" t="s">
        <v>53</v>
      </c>
      <c r="G61">
        <f>IF(F61=$V$65,1)+IF(F61=$V$67,0.5)+IF(F61=$V$66,0)</f>
        <v>0</v>
      </c>
      <c r="U61" s="168">
        <f t="shared" si="6"/>
        <v>0</v>
      </c>
    </row>
    <row r="62" spans="2:23">
      <c r="B62" s="105"/>
    </row>
    <row r="64" spans="2:23">
      <c r="U64" s="165" t="s">
        <v>53</v>
      </c>
      <c r="V64" s="166" t="s">
        <v>53</v>
      </c>
      <c r="W64" s="167" t="s">
        <v>53</v>
      </c>
    </row>
    <row r="65" spans="21:23">
      <c r="U65" s="170" t="s">
        <v>140</v>
      </c>
      <c r="V65" s="171" t="s">
        <v>141</v>
      </c>
      <c r="W65" s="172" t="s">
        <v>141</v>
      </c>
    </row>
    <row r="66" spans="21:23">
      <c r="U66" s="173" t="s">
        <v>142</v>
      </c>
      <c r="V66" s="174" t="s">
        <v>143</v>
      </c>
      <c r="W66" s="175" t="s">
        <v>143</v>
      </c>
    </row>
    <row r="67" spans="21:23">
      <c r="U67" s="170" t="s">
        <v>144</v>
      </c>
      <c r="V67" s="171" t="s">
        <v>145</v>
      </c>
      <c r="W67" s="172" t="s">
        <v>146</v>
      </c>
    </row>
    <row r="68" spans="21:23">
      <c r="U68" s="173" t="s">
        <v>147</v>
      </c>
      <c r="V68" s="173" t="s">
        <v>146</v>
      </c>
      <c r="W68" s="176"/>
    </row>
    <row r="69" spans="21:23">
      <c r="U69" s="170" t="s">
        <v>148</v>
      </c>
    </row>
  </sheetData>
  <sheetProtection algorithmName="SHA-512" hashValue="UzFCptkJe9BZWU+36D2S3Y9rmcXHQUg0YhR85u8gpmNGk/+ud7eSGLO08cXimjdtd7OrH0U5SU+VQSJZWUkzxg==" saltValue="m2A6P5W1Uq6jZ3Zy07Ugcg==" spinCount="100000" sheet="1" formatColumns="0" formatRows="0"/>
  <dataConsolidate/>
  <mergeCells count="15">
    <mergeCell ref="B5:C5"/>
    <mergeCell ref="D24:E24"/>
    <mergeCell ref="D25:E25"/>
    <mergeCell ref="D13:E13"/>
    <mergeCell ref="D10:E10"/>
    <mergeCell ref="D19:E19"/>
    <mergeCell ref="D20:E20"/>
    <mergeCell ref="D21:E21"/>
    <mergeCell ref="D22:E22"/>
    <mergeCell ref="D23:E23"/>
    <mergeCell ref="D11:E11"/>
    <mergeCell ref="D12:E12"/>
    <mergeCell ref="D14:E14"/>
    <mergeCell ref="D15:E15"/>
    <mergeCell ref="D16:E16"/>
  </mergeCells>
  <phoneticPr fontId="29" type="noConversion"/>
  <dataValidations count="5">
    <dataValidation type="list" allowBlank="1" showInputMessage="1" showErrorMessage="1" sqref="F38:F40 F42 F52 F54" xr:uid="{E038CC5A-26C3-49FA-B9F2-E004488EADB0}">
      <formula1>$V$64:$V$68</formula1>
    </dataValidation>
    <dataValidation type="list" allowBlank="1" showInputMessage="1" showErrorMessage="1" sqref="F30:F34 F45:F49 F37 F58:F61" xr:uid="{33C9183F-7552-441F-BD0B-EFD84F1DB439}">
      <formula1>$V$64:$V$67</formula1>
    </dataValidation>
    <dataValidation type="list" allowBlank="1" showInputMessage="1" showErrorMessage="1" sqref="F10:F16 F53 F29 F19:F25" xr:uid="{D0C3C728-5BDA-4FB6-B71C-882A64F9A3F5}">
      <formula1>$V$64:$V$66</formula1>
    </dataValidation>
    <dataValidation type="list" allowBlank="1" showInputMessage="1" showErrorMessage="1" sqref="C6" xr:uid="{C9F1D20E-EC6B-4B53-B2C4-D62883C7D453}">
      <formula1>$U$64:$U$69</formula1>
    </dataValidation>
    <dataValidation type="list" allowBlank="1" showInputMessage="1" showErrorMessage="1" sqref="F41 F55" xr:uid="{74E522D9-1F79-490A-A41C-EA1989A9D3A9}">
      <formula1>$W$64:$W$67</formula1>
    </dataValidation>
  </dataValidation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550E0-C699-4160-AE69-B386F51086FC}">
  <sheetPr>
    <tabColor rgb="FF0070C0"/>
    <pageSetUpPr fitToPage="1"/>
  </sheetPr>
  <dimension ref="A1:AT49"/>
  <sheetViews>
    <sheetView topLeftCell="N1" zoomScale="85" zoomScaleNormal="85" workbookViewId="0">
      <selection activeCell="AL13" sqref="AL13"/>
    </sheetView>
  </sheetViews>
  <sheetFormatPr defaultRowHeight="15"/>
  <cols>
    <col min="1" max="1" width="9.140625" customWidth="1"/>
    <col min="2" max="2" width="49.7109375" style="1" customWidth="1"/>
    <col min="3" max="3" width="9.140625" customWidth="1"/>
    <col min="4" max="4" width="20.42578125" customWidth="1"/>
    <col min="5" max="5" width="10.85546875" customWidth="1"/>
    <col min="6" max="8" width="35.85546875" style="1" customWidth="1"/>
    <col min="9" max="9" width="52" style="1" customWidth="1"/>
    <col min="10" max="10" width="5.7109375" style="1" bestFit="1" customWidth="1"/>
    <col min="13" max="13" width="9.140625" customWidth="1"/>
    <col min="14" max="14" width="9.7109375" customWidth="1"/>
    <col min="25" max="25" width="6.28515625" customWidth="1"/>
    <col min="34" max="34" width="9.140625" customWidth="1"/>
    <col min="37" max="37" width="20.85546875" customWidth="1"/>
    <col min="38" max="38" width="128.85546875" style="1" customWidth="1"/>
    <col min="39" max="46" width="9.140625" style="152"/>
  </cols>
  <sheetData>
    <row r="1" spans="1:39">
      <c r="A1" s="83"/>
      <c r="B1" s="137" t="s">
        <v>149</v>
      </c>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75"/>
      <c r="AM1" s="164"/>
    </row>
    <row r="2" spans="1:39" ht="72" customHeight="1" thickBot="1">
      <c r="A2" s="83"/>
      <c r="B2" s="211" t="s">
        <v>150</v>
      </c>
      <c r="C2" s="211"/>
      <c r="D2" s="211"/>
      <c r="E2" s="211"/>
      <c r="F2" s="211"/>
      <c r="G2" s="83"/>
      <c r="H2" s="80"/>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75"/>
      <c r="AM2" s="164"/>
    </row>
    <row r="3" spans="1:39" ht="52.5">
      <c r="A3" s="83"/>
      <c r="B3" s="133" t="s">
        <v>151</v>
      </c>
      <c r="C3" s="86"/>
      <c r="D3" s="86"/>
      <c r="E3" s="86"/>
      <c r="F3" s="129"/>
      <c r="G3" s="83"/>
      <c r="H3" s="128" t="s">
        <v>152</v>
      </c>
      <c r="I3" s="72"/>
      <c r="J3" s="85"/>
      <c r="K3" s="86"/>
      <c r="L3" s="86"/>
      <c r="M3" s="86"/>
      <c r="N3" s="86"/>
      <c r="O3" s="86"/>
      <c r="P3" s="86"/>
      <c r="Q3" s="86"/>
      <c r="R3" s="86"/>
      <c r="S3" s="86"/>
      <c r="T3" s="86"/>
      <c r="U3" s="86"/>
      <c r="V3" s="86"/>
      <c r="W3" s="86"/>
      <c r="X3" s="86"/>
      <c r="Y3" s="86"/>
      <c r="Z3" s="86"/>
      <c r="AA3" s="86"/>
      <c r="AB3" s="86"/>
      <c r="AC3" s="86"/>
      <c r="AD3" s="86"/>
      <c r="AE3" s="86"/>
      <c r="AF3" s="86"/>
      <c r="AG3" s="86"/>
      <c r="AH3" s="129"/>
      <c r="AI3" s="83"/>
      <c r="AJ3" s="83"/>
      <c r="AK3" s="133" t="s">
        <v>153</v>
      </c>
      <c r="AL3" s="135"/>
      <c r="AM3" s="164"/>
    </row>
    <row r="4" spans="1:39" ht="15.75" thickBot="1">
      <c r="A4" s="83"/>
      <c r="B4" s="134"/>
      <c r="C4" s="80"/>
      <c r="D4" s="80"/>
      <c r="E4" s="80"/>
      <c r="F4" s="88"/>
      <c r="G4" s="83"/>
      <c r="H4" s="73"/>
      <c r="I4" s="74"/>
      <c r="J4" s="75"/>
      <c r="K4" s="83"/>
      <c r="L4" s="83"/>
      <c r="M4" s="83"/>
      <c r="N4" s="80"/>
      <c r="O4" s="80"/>
      <c r="P4" s="80"/>
      <c r="Q4" s="80"/>
      <c r="R4" s="80"/>
      <c r="S4" s="80"/>
      <c r="T4" s="80"/>
      <c r="U4" s="80"/>
      <c r="V4" s="80"/>
      <c r="W4" s="80"/>
      <c r="X4" s="83"/>
      <c r="Y4" s="83"/>
      <c r="Z4" s="80"/>
      <c r="AA4" s="80"/>
      <c r="AB4" s="80"/>
      <c r="AC4" s="80"/>
      <c r="AD4" s="80"/>
      <c r="AE4" s="80"/>
      <c r="AF4" s="80"/>
      <c r="AG4" s="80"/>
      <c r="AH4" s="88"/>
      <c r="AI4" s="83"/>
      <c r="AJ4" s="83"/>
      <c r="AK4" s="134"/>
      <c r="AL4" s="136"/>
      <c r="AM4" s="164"/>
    </row>
    <row r="5" spans="1:39" ht="53.25" thickBot="1">
      <c r="A5" s="83"/>
      <c r="B5" s="130" t="s">
        <v>154</v>
      </c>
      <c r="C5" s="131"/>
      <c r="D5" s="131"/>
      <c r="E5" s="131"/>
      <c r="F5" s="132"/>
      <c r="G5" s="83"/>
      <c r="H5" s="125" t="s">
        <v>155</v>
      </c>
      <c r="I5" s="126"/>
      <c r="J5" s="75"/>
      <c r="K5" s="83"/>
      <c r="L5" s="83"/>
      <c r="M5" s="83"/>
      <c r="N5" s="123" t="s">
        <v>155</v>
      </c>
      <c r="O5" s="121"/>
      <c r="P5" s="121"/>
      <c r="Q5" s="121"/>
      <c r="R5" s="121"/>
      <c r="S5" s="121"/>
      <c r="T5" s="121"/>
      <c r="U5" s="121"/>
      <c r="V5" s="121"/>
      <c r="W5" s="124"/>
      <c r="X5" s="83"/>
      <c r="Y5" s="84"/>
      <c r="Z5" s="121"/>
      <c r="AA5" s="121"/>
      <c r="AB5" s="121"/>
      <c r="AC5" s="121"/>
      <c r="AD5" s="121"/>
      <c r="AE5" s="121"/>
      <c r="AF5" s="121"/>
      <c r="AG5" s="121"/>
      <c r="AH5" s="122"/>
      <c r="AI5" s="83"/>
      <c r="AJ5" s="83"/>
      <c r="AK5" s="92" t="s">
        <v>156</v>
      </c>
      <c r="AL5" s="93"/>
      <c r="AM5" s="164"/>
    </row>
    <row r="6" spans="1:39" ht="41.25" customHeight="1" thickBot="1">
      <c r="A6" s="83"/>
      <c r="B6" s="214" t="s">
        <v>157</v>
      </c>
      <c r="C6" s="215"/>
      <c r="D6" s="75"/>
      <c r="E6" s="61" t="s">
        <v>158</v>
      </c>
      <c r="F6" s="108" t="s">
        <v>159</v>
      </c>
      <c r="G6" s="83"/>
      <c r="H6" s="218" t="s">
        <v>160</v>
      </c>
      <c r="I6" s="219"/>
      <c r="J6" s="75"/>
      <c r="K6" s="83"/>
      <c r="L6" s="83"/>
      <c r="M6" s="83"/>
      <c r="N6" s="114" t="s">
        <v>74</v>
      </c>
      <c r="O6" s="115"/>
      <c r="P6" s="52"/>
      <c r="Q6" s="52"/>
      <c r="R6" s="52"/>
      <c r="S6" s="52"/>
      <c r="T6" s="52"/>
      <c r="U6" s="52"/>
      <c r="V6" s="52"/>
      <c r="W6" s="116"/>
      <c r="X6" s="83"/>
      <c r="Y6" s="83"/>
      <c r="Z6" s="117" t="s">
        <v>161</v>
      </c>
      <c r="AA6" s="43"/>
      <c r="AB6" s="118"/>
      <c r="AC6" s="43"/>
      <c r="AD6" s="43"/>
      <c r="AE6" s="43"/>
      <c r="AF6" s="43"/>
      <c r="AG6" s="43"/>
      <c r="AH6" s="44"/>
      <c r="AI6" s="83"/>
      <c r="AJ6" s="83"/>
      <c r="AK6" s="212" t="s">
        <v>162</v>
      </c>
      <c r="AL6" s="213"/>
      <c r="AM6" s="164"/>
    </row>
    <row r="7" spans="1:39" ht="87.75" customHeight="1" thickBot="1">
      <c r="A7" s="83"/>
      <c r="B7" s="68" t="s">
        <v>163</v>
      </c>
      <c r="C7" s="13">
        <f>SUM('2. SAISIE DES DONNÉES'!V10:V16)</f>
        <v>0</v>
      </c>
      <c r="D7" s="75"/>
      <c r="E7" s="62"/>
      <c r="F7" s="109" t="s">
        <v>164</v>
      </c>
      <c r="G7" s="83"/>
      <c r="H7" s="220" t="s">
        <v>165</v>
      </c>
      <c r="I7" s="221"/>
      <c r="J7" s="87"/>
      <c r="K7" s="83"/>
      <c r="L7" s="83"/>
      <c r="M7" s="83"/>
      <c r="N7" s="83"/>
      <c r="O7" s="83"/>
      <c r="P7" s="83"/>
      <c r="Q7" s="83"/>
      <c r="R7" s="83"/>
      <c r="S7" s="83"/>
      <c r="T7" s="83"/>
      <c r="U7" s="83"/>
      <c r="V7" s="83"/>
      <c r="W7" s="83"/>
      <c r="X7" s="83"/>
      <c r="Y7" s="83"/>
      <c r="Z7" s="83"/>
      <c r="AA7" s="83"/>
      <c r="AB7" s="83"/>
      <c r="AC7" s="83"/>
      <c r="AD7" s="83"/>
      <c r="AE7" s="83"/>
      <c r="AF7" s="83"/>
      <c r="AG7" s="83"/>
      <c r="AH7" s="84"/>
      <c r="AI7" s="83"/>
      <c r="AJ7" s="83"/>
      <c r="AK7" s="90" t="s">
        <v>166</v>
      </c>
      <c r="AL7" s="94" t="e">
        <f>VLOOKUP('2. SAISIE DES DONNÉES'!$C$6&amp;'3. RÉSULTATS'!AK7,Mitigations!$I$28:$J$231,2,FALSE)</f>
        <v>#N/A</v>
      </c>
      <c r="AM7" s="164"/>
    </row>
    <row r="8" spans="1:39" ht="90.75" customHeight="1" thickBot="1">
      <c r="A8" s="83"/>
      <c r="B8" s="69" t="s">
        <v>167</v>
      </c>
      <c r="C8" s="60">
        <f>SUM('2. SAISIE DES DONNÉES'!V19:V25)</f>
        <v>0</v>
      </c>
      <c r="D8" s="75"/>
      <c r="E8" s="63"/>
      <c r="F8" s="109" t="s">
        <v>168</v>
      </c>
      <c r="G8" s="83"/>
      <c r="H8" s="113" t="s">
        <v>169</v>
      </c>
      <c r="I8" s="127">
        <f>AVERAGEIF('2. SAISIE DES DONNÉES'!F29:F61,"&lt;&gt;"&amp;'2. SAISIE DES DONNÉES'!$V$68,'2. SAISIE DES DONNÉES'!G29:G61)</f>
        <v>0</v>
      </c>
      <c r="J8" s="75"/>
      <c r="K8" s="83"/>
      <c r="L8" s="83"/>
      <c r="M8" s="83"/>
      <c r="N8" s="83"/>
      <c r="O8" s="83"/>
      <c r="P8" s="83"/>
      <c r="Q8" s="83"/>
      <c r="R8" s="83"/>
      <c r="S8" s="83"/>
      <c r="T8" s="83"/>
      <c r="U8" s="83"/>
      <c r="V8" s="83"/>
      <c r="W8" s="83"/>
      <c r="X8" s="83"/>
      <c r="Y8" s="83"/>
      <c r="Z8" s="83"/>
      <c r="AA8" s="83"/>
      <c r="AB8" s="83"/>
      <c r="AC8" s="83"/>
      <c r="AD8" s="83"/>
      <c r="AE8" s="83"/>
      <c r="AF8" s="83"/>
      <c r="AG8" s="83"/>
      <c r="AH8" s="84"/>
      <c r="AI8" s="83"/>
      <c r="AJ8" s="83"/>
      <c r="AK8" s="90" t="s">
        <v>170</v>
      </c>
      <c r="AL8" s="94" t="e">
        <f>VLOOKUP('2. SAISIE DES DONNÉES'!$C$6&amp;'3. RÉSULTATS'!AK8,Mitigations!$I$28:$J$231,2,FALSE)</f>
        <v>#N/A</v>
      </c>
      <c r="AM8" s="164"/>
    </row>
    <row r="9" spans="1:39" ht="76.5" customHeight="1">
      <c r="A9" s="83"/>
      <c r="B9" s="59" t="s">
        <v>171</v>
      </c>
      <c r="C9" s="71">
        <f>SUM(C7:C8)</f>
        <v>0</v>
      </c>
      <c r="D9" s="76" t="s">
        <v>172</v>
      </c>
      <c r="E9" s="64"/>
      <c r="F9" s="109" t="s">
        <v>173</v>
      </c>
      <c r="G9" s="83"/>
      <c r="H9" s="14" t="s">
        <v>174</v>
      </c>
      <c r="I9" s="57">
        <f>AVERAGEIF('2. SAISIE DES DONNÉES'!F29:F34,"&lt;&gt;"&amp;'2. SAISIE DES DONNÉES'!$V$68,'2. SAISIE DES DONNÉES'!G29:G34)</f>
        <v>0</v>
      </c>
      <c r="J9" s="75"/>
      <c r="K9" s="83"/>
      <c r="L9" s="83"/>
      <c r="M9" s="83"/>
      <c r="N9" s="83"/>
      <c r="O9" s="83"/>
      <c r="P9" s="83"/>
      <c r="Q9" s="83"/>
      <c r="R9" s="83"/>
      <c r="S9" s="83"/>
      <c r="T9" s="83"/>
      <c r="U9" s="83"/>
      <c r="V9" s="83"/>
      <c r="W9" s="83"/>
      <c r="X9" s="83"/>
      <c r="Y9" s="83"/>
      <c r="Z9" s="83"/>
      <c r="AA9" s="83"/>
      <c r="AB9" s="83"/>
      <c r="AC9" s="83"/>
      <c r="AD9" s="83"/>
      <c r="AE9" s="83"/>
      <c r="AF9" s="83"/>
      <c r="AG9" s="83"/>
      <c r="AH9" s="84"/>
      <c r="AI9" s="83"/>
      <c r="AJ9" s="83"/>
      <c r="AK9" s="90" t="s">
        <v>175</v>
      </c>
      <c r="AL9" s="94" t="e">
        <f>VLOOKUP('2. SAISIE DES DONNÉES'!$C$6&amp;'3. RÉSULTATS'!AK9,Mitigations!$I$28:$J$231,2,FALSE)</f>
        <v>#N/A</v>
      </c>
      <c r="AM9" s="164"/>
    </row>
    <row r="10" spans="1:39" ht="75" customHeight="1">
      <c r="A10" s="83"/>
      <c r="B10" s="216" t="s">
        <v>176</v>
      </c>
      <c r="C10" s="78"/>
      <c r="D10" s="75"/>
      <c r="E10" s="107"/>
      <c r="F10" s="109" t="s">
        <v>177</v>
      </c>
      <c r="G10" s="83"/>
      <c r="H10" s="14" t="s">
        <v>178</v>
      </c>
      <c r="I10" s="57">
        <f>AVERAGEIF('2. SAISIE DES DONNÉES'!F37:F42,"&lt;&gt;"&amp;'2. SAISIE DES DONNÉES'!$V$68,'2. SAISIE DES DONNÉES'!G37:G42)</f>
        <v>0</v>
      </c>
      <c r="J10" s="75"/>
      <c r="K10" s="83"/>
      <c r="L10" s="83"/>
      <c r="M10" s="83"/>
      <c r="N10" s="83"/>
      <c r="O10" s="83"/>
      <c r="P10" s="83"/>
      <c r="Q10" s="83"/>
      <c r="R10" s="83"/>
      <c r="S10" s="83"/>
      <c r="T10" s="83"/>
      <c r="U10" s="83"/>
      <c r="V10" s="83"/>
      <c r="W10" s="83"/>
      <c r="X10" s="83"/>
      <c r="Y10" s="83"/>
      <c r="Z10" s="83"/>
      <c r="AA10" s="83"/>
      <c r="AB10" s="83"/>
      <c r="AC10" s="83"/>
      <c r="AD10" s="83"/>
      <c r="AE10" s="83"/>
      <c r="AF10" s="83"/>
      <c r="AG10" s="83"/>
      <c r="AH10" s="84"/>
      <c r="AI10" s="83"/>
      <c r="AJ10" s="83"/>
      <c r="AK10" s="90" t="s">
        <v>179</v>
      </c>
      <c r="AL10" s="94" t="e">
        <f>VLOOKUP('2. SAISIE DES DONNÉES'!$C$6&amp;'3. RÉSULTATS'!AK10,Mitigations!$I$28:$J$231,2,FALSE)</f>
        <v>#N/A</v>
      </c>
      <c r="AM10" s="164"/>
    </row>
    <row r="11" spans="1:39" ht="90.75" customHeight="1">
      <c r="A11" s="83"/>
      <c r="B11" s="217"/>
      <c r="C11" s="78"/>
      <c r="D11" s="75"/>
      <c r="E11" s="65"/>
      <c r="F11" s="109" t="s">
        <v>180</v>
      </c>
      <c r="G11" s="83"/>
      <c r="H11" s="14" t="s">
        <v>181</v>
      </c>
      <c r="I11" s="57">
        <f>AVERAGEIF('2. SAISIE DES DONNÉES'!F45:F49,"&lt;&gt;"&amp;'2. SAISIE DES DONNÉES'!$V$68,'2. SAISIE DES DONNÉES'!G45:G49)</f>
        <v>0</v>
      </c>
      <c r="J11" s="75"/>
      <c r="K11" s="83"/>
      <c r="L11" s="83"/>
      <c r="M11" s="83"/>
      <c r="N11" s="83"/>
      <c r="O11" s="83"/>
      <c r="P11" s="83"/>
      <c r="Q11" s="83"/>
      <c r="R11" s="83"/>
      <c r="S11" s="83"/>
      <c r="T11" s="83"/>
      <c r="U11" s="83"/>
      <c r="V11" s="83"/>
      <c r="W11" s="83"/>
      <c r="X11" s="83"/>
      <c r="Y11" s="83"/>
      <c r="Z11" s="83"/>
      <c r="AA11" s="83"/>
      <c r="AB11" s="83"/>
      <c r="AC11" s="83"/>
      <c r="AD11" s="83"/>
      <c r="AE11" s="83"/>
      <c r="AF11" s="83"/>
      <c r="AG11" s="83"/>
      <c r="AH11" s="84"/>
      <c r="AI11" s="83"/>
      <c r="AJ11" s="83"/>
      <c r="AK11" s="90" t="s">
        <v>182</v>
      </c>
      <c r="AL11" s="94" t="e">
        <f>VLOOKUP('2. SAISIE DES DONNÉES'!$C$6&amp;'3. RÉSULTATS'!AK11,Mitigations!$I$28:$J$231,2,FALSE)</f>
        <v>#N/A</v>
      </c>
      <c r="AM11" s="164"/>
    </row>
    <row r="12" spans="1:39" ht="45.75" customHeight="1">
      <c r="A12" s="83"/>
      <c r="B12" s="77"/>
      <c r="C12" s="78"/>
      <c r="D12" s="75"/>
      <c r="E12" s="66"/>
      <c r="F12" s="109" t="s">
        <v>183</v>
      </c>
      <c r="G12" s="83"/>
      <c r="H12" s="14" t="s">
        <v>184</v>
      </c>
      <c r="I12" s="57">
        <f>AVERAGEIF('2. SAISIE DES DONNÉES'!F52:F55,"&lt;&gt;"&amp;'2. SAISIE DES DONNÉES'!$V$68,'2. SAISIE DES DONNÉES'!G52:G55)</f>
        <v>0</v>
      </c>
      <c r="J12" s="75"/>
      <c r="K12" s="83"/>
      <c r="L12" s="83"/>
      <c r="M12" s="83"/>
      <c r="N12" s="83"/>
      <c r="O12" s="83"/>
      <c r="P12" s="83"/>
      <c r="Q12" s="83"/>
      <c r="R12" s="83"/>
      <c r="S12" s="83"/>
      <c r="T12" s="83"/>
      <c r="U12" s="83"/>
      <c r="V12" s="83"/>
      <c r="W12" s="83"/>
      <c r="X12" s="83"/>
      <c r="Y12" s="83"/>
      <c r="Z12" s="83"/>
      <c r="AA12" s="83"/>
      <c r="AB12" s="83"/>
      <c r="AC12" s="83"/>
      <c r="AD12" s="83"/>
      <c r="AE12" s="83"/>
      <c r="AF12" s="83"/>
      <c r="AG12" s="83"/>
      <c r="AH12" s="84"/>
      <c r="AI12" s="83"/>
      <c r="AJ12" s="83"/>
      <c r="AK12" s="90" t="s">
        <v>185</v>
      </c>
      <c r="AL12" s="94" t="e">
        <f>VLOOKUP('2. SAISIE DES DONNÉES'!$C$6&amp;'3. RÉSULTATS'!AK12,Mitigations!$I$28:$J$231,2,FALSE)</f>
        <v>#N/A</v>
      </c>
      <c r="AM12" s="164"/>
    </row>
    <row r="13" spans="1:39" ht="49.5" customHeight="1" thickBot="1">
      <c r="A13" s="83"/>
      <c r="B13" s="77"/>
      <c r="C13" s="78"/>
      <c r="D13" s="75"/>
      <c r="E13" s="67"/>
      <c r="F13" s="109" t="s">
        <v>186</v>
      </c>
      <c r="G13" s="83"/>
      <c r="H13" s="162" t="s">
        <v>187</v>
      </c>
      <c r="I13" s="163">
        <f>AVERAGEIF('2. SAISIE DES DONNÉES'!F58:F61,"&lt;&gt;"&amp;'2. SAISIE DES DONNÉES'!$V$68,'2. SAISIE DES DONNÉES'!G58:G61)</f>
        <v>0</v>
      </c>
      <c r="J13" s="75"/>
      <c r="K13" s="83"/>
      <c r="L13" s="83"/>
      <c r="M13" s="83"/>
      <c r="N13" s="83"/>
      <c r="O13" s="83"/>
      <c r="P13" s="83"/>
      <c r="Q13" s="83"/>
      <c r="R13" s="83"/>
      <c r="S13" s="83"/>
      <c r="T13" s="83"/>
      <c r="U13" s="83"/>
      <c r="V13" s="83"/>
      <c r="W13" s="83"/>
      <c r="X13" s="83"/>
      <c r="Y13" s="83"/>
      <c r="Z13" s="83"/>
      <c r="AA13" s="83"/>
      <c r="AB13" s="83"/>
      <c r="AC13" s="83"/>
      <c r="AD13" s="83"/>
      <c r="AE13" s="83"/>
      <c r="AF13" s="83"/>
      <c r="AG13" s="83"/>
      <c r="AH13" s="84"/>
      <c r="AI13" s="83"/>
      <c r="AJ13" s="83"/>
      <c r="AK13" s="90" t="s">
        <v>188</v>
      </c>
      <c r="AL13" s="94" t="e">
        <f>VLOOKUP('2. SAISIE DES DONNÉES'!$C$6&amp;'3. RÉSULTATS'!AK13,Mitigations!$I$28:$J$231,2,FALSE)</f>
        <v>#N/A</v>
      </c>
      <c r="AM13" s="164"/>
    </row>
    <row r="14" spans="1:39" ht="80.25" customHeight="1" thickBot="1">
      <c r="A14" s="83"/>
      <c r="B14" s="79"/>
      <c r="C14" s="80"/>
      <c r="D14" s="81"/>
      <c r="E14" s="70"/>
      <c r="F14" s="110" t="s">
        <v>189</v>
      </c>
      <c r="G14" s="83"/>
      <c r="H14" s="89"/>
      <c r="I14" s="75"/>
      <c r="J14" s="75"/>
      <c r="K14" s="83"/>
      <c r="L14" s="83"/>
      <c r="M14" s="83"/>
      <c r="N14" s="83"/>
      <c r="O14" s="83"/>
      <c r="P14" s="83"/>
      <c r="Q14" s="83"/>
      <c r="R14" s="83"/>
      <c r="S14" s="83"/>
      <c r="T14" s="83"/>
      <c r="U14" s="83"/>
      <c r="V14" s="83"/>
      <c r="W14" s="83"/>
      <c r="X14" s="83"/>
      <c r="Y14" s="83"/>
      <c r="Z14" s="83"/>
      <c r="AA14" s="83"/>
      <c r="AB14" s="83"/>
      <c r="AC14" s="83"/>
      <c r="AD14" s="83"/>
      <c r="AE14" s="83"/>
      <c r="AF14" s="83"/>
      <c r="AG14" s="83"/>
      <c r="AH14" s="84"/>
      <c r="AI14" s="83"/>
      <c r="AJ14" s="83"/>
      <c r="AK14" s="90" t="s">
        <v>190</v>
      </c>
      <c r="AL14" s="94" t="e">
        <f>VLOOKUP('2. SAISIE DES DONNÉES'!$C$6&amp;'3. RÉSULTATS'!AK14,Mitigations!$I$28:$J$231,2,FALSE)</f>
        <v>#N/A</v>
      </c>
      <c r="AM14" s="164"/>
    </row>
    <row r="15" spans="1:39" ht="42" customHeight="1" thickBot="1">
      <c r="A15" s="83"/>
      <c r="B15" s="83"/>
      <c r="C15" s="83"/>
      <c r="D15" s="83"/>
      <c r="E15" s="83"/>
      <c r="F15" s="83"/>
      <c r="G15" s="83"/>
      <c r="H15" s="89"/>
      <c r="I15" s="75"/>
      <c r="J15" s="75"/>
      <c r="K15" s="83"/>
      <c r="L15" s="83"/>
      <c r="M15" s="83"/>
      <c r="N15" s="117" t="s">
        <v>97</v>
      </c>
      <c r="O15" s="43"/>
      <c r="P15" s="43"/>
      <c r="Q15" s="43"/>
      <c r="R15" s="43"/>
      <c r="S15" s="43"/>
      <c r="T15" s="43"/>
      <c r="U15" s="43"/>
      <c r="V15" s="43"/>
      <c r="W15" s="44"/>
      <c r="X15" s="83"/>
      <c r="Y15" s="83"/>
      <c r="Z15" s="117" t="s">
        <v>131</v>
      </c>
      <c r="AA15" s="43"/>
      <c r="AB15" s="43"/>
      <c r="AC15" s="43"/>
      <c r="AD15" s="43"/>
      <c r="AE15" s="43"/>
      <c r="AF15" s="43"/>
      <c r="AG15" s="43"/>
      <c r="AH15" s="44"/>
      <c r="AI15" s="83"/>
      <c r="AJ15" s="83"/>
      <c r="AK15" s="90" t="s">
        <v>191</v>
      </c>
      <c r="AL15" s="94" t="e">
        <f>VLOOKUP('2. SAISIE DES DONNÉES'!$C$6&amp;'3. RÉSULTATS'!AK15,Mitigations!$I$28:$J$231,2,FALSE)</f>
        <v>#N/A</v>
      </c>
      <c r="AM15" s="164"/>
    </row>
    <row r="16" spans="1:39" ht="42" customHeight="1">
      <c r="A16" s="83"/>
      <c r="B16" s="83"/>
      <c r="C16" s="83"/>
      <c r="D16" s="83"/>
      <c r="E16" s="83"/>
      <c r="F16" s="83"/>
      <c r="G16" s="83"/>
      <c r="H16" s="82"/>
      <c r="I16" s="75"/>
      <c r="J16" s="75"/>
      <c r="K16" s="83"/>
      <c r="L16" s="83"/>
      <c r="M16" s="83"/>
      <c r="N16" s="83"/>
      <c r="O16" s="83"/>
      <c r="P16" s="83"/>
      <c r="Q16" s="83"/>
      <c r="R16" s="83"/>
      <c r="S16" s="83"/>
      <c r="T16" s="83"/>
      <c r="U16" s="83"/>
      <c r="V16" s="83"/>
      <c r="W16" s="83"/>
      <c r="X16" s="83"/>
      <c r="Y16" s="83"/>
      <c r="Z16" s="83"/>
      <c r="AA16" s="83"/>
      <c r="AB16" s="83"/>
      <c r="AC16" s="83"/>
      <c r="AD16" s="83"/>
      <c r="AE16" s="83"/>
      <c r="AF16" s="83"/>
      <c r="AG16" s="83"/>
      <c r="AH16" s="84"/>
      <c r="AI16" s="83"/>
      <c r="AJ16" s="83"/>
      <c r="AK16" s="90" t="s">
        <v>192</v>
      </c>
      <c r="AL16" s="94" t="e">
        <f>VLOOKUP('2. SAISIE DES DONNÉES'!$C$6&amp;'3. RÉSULTATS'!AK16,Mitigations!$I$28:$J$231,2,FALSE)</f>
        <v>#N/A</v>
      </c>
      <c r="AM16" s="164"/>
    </row>
    <row r="17" spans="1:39" ht="90" customHeight="1">
      <c r="A17" s="83"/>
      <c r="B17" s="83"/>
      <c r="C17" s="83"/>
      <c r="D17" s="83"/>
      <c r="E17" s="83"/>
      <c r="F17" s="83"/>
      <c r="G17" s="83"/>
      <c r="H17" s="82"/>
      <c r="I17" s="75"/>
      <c r="J17" s="75"/>
      <c r="K17" s="83"/>
      <c r="L17" s="83"/>
      <c r="M17" s="83"/>
      <c r="N17" s="83"/>
      <c r="O17" s="83"/>
      <c r="P17" s="83"/>
      <c r="Q17" s="83"/>
      <c r="R17" s="83"/>
      <c r="S17" s="83"/>
      <c r="T17" s="83"/>
      <c r="U17" s="83"/>
      <c r="V17" s="83"/>
      <c r="W17" s="83"/>
      <c r="X17" s="83"/>
      <c r="Y17" s="83"/>
      <c r="Z17" s="83"/>
      <c r="AA17" s="83"/>
      <c r="AB17" s="83"/>
      <c r="AC17" s="83"/>
      <c r="AD17" s="83"/>
      <c r="AE17" s="83"/>
      <c r="AF17" s="83"/>
      <c r="AG17" s="83"/>
      <c r="AH17" s="84"/>
      <c r="AI17" s="83"/>
      <c r="AJ17" s="83"/>
      <c r="AK17" s="90" t="s">
        <v>193</v>
      </c>
      <c r="AL17" s="94" t="e">
        <f>VLOOKUP('2. SAISIE DES DONNÉES'!$C$6&amp;'3. RÉSULTATS'!AK17,Mitigations!$I$28:$J$231,2,FALSE)</f>
        <v>#N/A</v>
      </c>
      <c r="AM17" s="164"/>
    </row>
    <row r="18" spans="1:39" ht="34.5" customHeight="1" thickBot="1">
      <c r="A18" s="83"/>
      <c r="B18" s="83"/>
      <c r="C18" s="83"/>
      <c r="D18" s="83"/>
      <c r="E18" s="83"/>
      <c r="F18" s="83"/>
      <c r="G18" s="83"/>
      <c r="H18" s="82"/>
      <c r="I18" s="75"/>
      <c r="J18" s="75"/>
      <c r="K18" s="83"/>
      <c r="L18" s="83"/>
      <c r="M18" s="83"/>
      <c r="N18" s="83"/>
      <c r="O18" s="83"/>
      <c r="P18" s="83"/>
      <c r="Q18" s="83"/>
      <c r="R18" s="83"/>
      <c r="S18" s="83"/>
      <c r="T18" s="83"/>
      <c r="U18" s="83"/>
      <c r="V18" s="83"/>
      <c r="W18" s="83"/>
      <c r="X18" s="83"/>
      <c r="Y18" s="83"/>
      <c r="Z18" s="83"/>
      <c r="AA18" s="83"/>
      <c r="AB18" s="83"/>
      <c r="AC18" s="83"/>
      <c r="AD18" s="83"/>
      <c r="AE18" s="83"/>
      <c r="AF18" s="83"/>
      <c r="AG18" s="83"/>
      <c r="AH18" s="84"/>
      <c r="AI18" s="83"/>
      <c r="AJ18" s="83"/>
      <c r="AK18" s="91" t="s">
        <v>194</v>
      </c>
      <c r="AL18" s="95" t="e">
        <f>VLOOKUP('2. SAISIE DES DONNÉES'!$C$6&amp;'3. RÉSULTATS'!AK18,Mitigations!$I$28:$J$231,2,FALSE)</f>
        <v>#N/A</v>
      </c>
      <c r="AM18" s="164"/>
    </row>
    <row r="19" spans="1:39" ht="80.25" customHeight="1">
      <c r="A19" s="83"/>
      <c r="B19" s="83"/>
      <c r="C19" s="83"/>
      <c r="D19" s="83"/>
      <c r="E19" s="83"/>
      <c r="F19" s="83"/>
      <c r="G19" s="83"/>
      <c r="H19" s="82"/>
      <c r="I19" s="75"/>
      <c r="J19" s="75"/>
      <c r="K19" s="83"/>
      <c r="L19" s="83"/>
      <c r="M19" s="83"/>
      <c r="N19" s="83"/>
      <c r="O19" s="83"/>
      <c r="P19" s="83"/>
      <c r="Q19" s="83"/>
      <c r="R19" s="83"/>
      <c r="S19" s="83"/>
      <c r="T19" s="83"/>
      <c r="U19" s="83"/>
      <c r="V19" s="83"/>
      <c r="W19" s="83"/>
      <c r="X19" s="83"/>
      <c r="Y19" s="83"/>
      <c r="Z19" s="83"/>
      <c r="AA19" s="83"/>
      <c r="AB19" s="83"/>
      <c r="AC19" s="83"/>
      <c r="AD19" s="83"/>
      <c r="AE19" s="83"/>
      <c r="AF19" s="83"/>
      <c r="AG19" s="83"/>
      <c r="AH19" s="84"/>
      <c r="AI19" s="83"/>
      <c r="AJ19" s="83"/>
      <c r="AK19" s="83"/>
      <c r="AL19" s="75"/>
      <c r="AM19" s="164"/>
    </row>
    <row r="20" spans="1:39" ht="10.5" hidden="1" customHeight="1">
      <c r="A20" s="83"/>
      <c r="B20" s="83"/>
      <c r="C20" s="83"/>
      <c r="D20" s="83"/>
      <c r="E20" s="83"/>
      <c r="F20" s="83"/>
      <c r="G20" s="83"/>
      <c r="H20" s="82"/>
      <c r="I20" s="75"/>
      <c r="J20" s="75"/>
      <c r="K20" s="83"/>
      <c r="L20" s="83"/>
      <c r="M20" s="83"/>
      <c r="N20" s="83"/>
      <c r="O20" s="83"/>
      <c r="P20" s="83"/>
      <c r="Q20" s="83"/>
      <c r="R20" s="83"/>
      <c r="S20" s="83"/>
      <c r="T20" s="83"/>
      <c r="U20" s="83"/>
      <c r="V20" s="83"/>
      <c r="W20" s="83"/>
      <c r="X20" s="83"/>
      <c r="Y20" s="83"/>
      <c r="Z20" s="83"/>
      <c r="AA20" s="83"/>
      <c r="AB20" s="83"/>
      <c r="AC20" s="83"/>
      <c r="AD20" s="83"/>
      <c r="AE20" s="83"/>
      <c r="AF20" s="83"/>
      <c r="AG20" s="83"/>
      <c r="AH20" s="84"/>
      <c r="AI20" s="83"/>
      <c r="AJ20" s="83"/>
      <c r="AK20" s="83"/>
      <c r="AL20" s="94" t="e">
        <f>VLOOKUP('2. SAISIE DES DONNÉES'!$C$6&amp;AK20,Mitigations!$I$28:$J$157,2,FALSE)</f>
        <v>#N/A</v>
      </c>
      <c r="AM20" s="164"/>
    </row>
    <row r="21" spans="1:39">
      <c r="A21" s="83"/>
      <c r="B21" s="83"/>
      <c r="C21" s="83"/>
      <c r="D21" s="83"/>
      <c r="E21" s="83"/>
      <c r="F21" s="83"/>
      <c r="G21" s="83"/>
      <c r="H21" s="82"/>
      <c r="I21" s="75"/>
      <c r="J21" s="75"/>
      <c r="K21" s="83"/>
      <c r="L21" s="83"/>
      <c r="M21" s="83"/>
      <c r="N21" s="83"/>
      <c r="O21" s="83"/>
      <c r="P21" s="83"/>
      <c r="Q21" s="83"/>
      <c r="R21" s="83"/>
      <c r="S21" s="83"/>
      <c r="T21" s="83"/>
      <c r="U21" s="83"/>
      <c r="V21" s="83"/>
      <c r="W21" s="83"/>
      <c r="X21" s="83"/>
      <c r="Y21" s="83"/>
      <c r="Z21" s="83"/>
      <c r="AA21" s="83"/>
      <c r="AB21" s="83"/>
      <c r="AC21" s="83"/>
      <c r="AD21" s="83"/>
      <c r="AE21" s="83"/>
      <c r="AF21" s="83"/>
      <c r="AG21" s="83"/>
      <c r="AH21" s="84"/>
      <c r="AI21" s="83"/>
      <c r="AJ21" s="83"/>
      <c r="AK21" s="83"/>
      <c r="AL21" s="75"/>
      <c r="AM21" s="164"/>
    </row>
    <row r="22" spans="1:39">
      <c r="A22" s="83"/>
      <c r="B22" s="83"/>
      <c r="C22" s="83"/>
      <c r="D22" s="83"/>
      <c r="E22" s="83"/>
      <c r="F22" s="83"/>
      <c r="G22" s="83"/>
      <c r="H22" s="82"/>
      <c r="I22" s="75"/>
      <c r="J22" s="75"/>
      <c r="K22" s="83"/>
      <c r="L22" s="83"/>
      <c r="M22" s="83"/>
      <c r="N22" s="83"/>
      <c r="O22" s="83"/>
      <c r="P22" s="83"/>
      <c r="Q22" s="83"/>
      <c r="R22" s="83"/>
      <c r="S22" s="83"/>
      <c r="T22" s="83"/>
      <c r="U22" s="83"/>
      <c r="V22" s="83"/>
      <c r="W22" s="83"/>
      <c r="X22" s="83"/>
      <c r="Y22" s="83"/>
      <c r="Z22" s="83"/>
      <c r="AA22" s="83"/>
      <c r="AB22" s="83"/>
      <c r="AC22" s="83"/>
      <c r="AD22" s="83"/>
      <c r="AE22" s="83"/>
      <c r="AF22" s="83"/>
      <c r="AG22" s="83"/>
      <c r="AH22" s="84"/>
      <c r="AI22" s="83"/>
      <c r="AJ22" s="83"/>
      <c r="AK22" s="83"/>
      <c r="AL22" s="75"/>
      <c r="AM22" s="164"/>
    </row>
    <row r="23" spans="1:39">
      <c r="A23" s="83"/>
      <c r="B23" s="83"/>
      <c r="C23" s="83"/>
      <c r="D23" s="83"/>
      <c r="E23" s="83"/>
      <c r="F23" s="83"/>
      <c r="G23" s="83"/>
      <c r="H23" s="82"/>
      <c r="I23" s="75"/>
      <c r="J23" s="75"/>
      <c r="K23" s="83"/>
      <c r="L23" s="83"/>
      <c r="M23" s="83"/>
      <c r="N23" s="83"/>
      <c r="O23" s="83"/>
      <c r="P23" s="83"/>
      <c r="Q23" s="83"/>
      <c r="R23" s="83"/>
      <c r="S23" s="83"/>
      <c r="T23" s="83"/>
      <c r="U23" s="83"/>
      <c r="V23" s="83"/>
      <c r="W23" s="83"/>
      <c r="X23" s="83"/>
      <c r="Y23" s="83"/>
      <c r="Z23" s="83"/>
      <c r="AA23" s="83"/>
      <c r="AB23" s="83"/>
      <c r="AC23" s="83"/>
      <c r="AD23" s="83"/>
      <c r="AE23" s="83"/>
      <c r="AF23" s="83"/>
      <c r="AG23" s="83"/>
      <c r="AH23" s="84"/>
      <c r="AI23" s="83"/>
      <c r="AJ23" s="83"/>
      <c r="AK23" s="83"/>
      <c r="AL23" s="75"/>
      <c r="AM23" s="164"/>
    </row>
    <row r="24" spans="1:39">
      <c r="A24" s="83"/>
      <c r="B24" s="83"/>
      <c r="C24" s="83"/>
      <c r="D24" s="83"/>
      <c r="E24" s="83"/>
      <c r="F24" s="83"/>
      <c r="G24" s="83"/>
      <c r="H24" s="82"/>
      <c r="I24" s="75"/>
      <c r="J24" s="75"/>
      <c r="K24" s="83"/>
      <c r="L24" s="83"/>
      <c r="M24" s="83"/>
      <c r="N24" s="83"/>
      <c r="O24" s="83"/>
      <c r="P24" s="83"/>
      <c r="Q24" s="83"/>
      <c r="R24" s="83"/>
      <c r="S24" s="83"/>
      <c r="T24" s="83"/>
      <c r="U24" s="83"/>
      <c r="V24" s="83"/>
      <c r="W24" s="83"/>
      <c r="X24" s="83"/>
      <c r="Y24" s="83"/>
      <c r="Z24" s="83"/>
      <c r="AA24" s="83"/>
      <c r="AB24" s="83"/>
      <c r="AC24" s="83"/>
      <c r="AD24" s="83"/>
      <c r="AE24" s="83"/>
      <c r="AF24" s="83"/>
      <c r="AG24" s="83"/>
      <c r="AH24" s="84"/>
      <c r="AI24" s="83"/>
      <c r="AJ24" s="83"/>
      <c r="AK24" s="83"/>
      <c r="AL24" s="75"/>
      <c r="AM24" s="164"/>
    </row>
    <row r="25" spans="1:39">
      <c r="A25" s="83"/>
      <c r="B25" s="83"/>
      <c r="C25" s="83"/>
      <c r="D25" s="83"/>
      <c r="E25" s="83"/>
      <c r="F25" s="83"/>
      <c r="G25" s="83"/>
      <c r="H25" s="82"/>
      <c r="I25" s="75"/>
      <c r="J25" s="75"/>
      <c r="K25" s="83"/>
      <c r="L25" s="83"/>
      <c r="M25" s="83"/>
      <c r="N25" s="83"/>
      <c r="O25" s="83"/>
      <c r="P25" s="83"/>
      <c r="Q25" s="83"/>
      <c r="R25" s="83"/>
      <c r="S25" s="83"/>
      <c r="T25" s="83"/>
      <c r="U25" s="83"/>
      <c r="V25" s="83"/>
      <c r="W25" s="83"/>
      <c r="X25" s="83"/>
      <c r="Y25" s="83"/>
      <c r="Z25" s="83"/>
      <c r="AA25" s="83"/>
      <c r="AB25" s="83"/>
      <c r="AC25" s="83"/>
      <c r="AD25" s="83"/>
      <c r="AE25" s="83"/>
      <c r="AF25" s="83"/>
      <c r="AG25" s="83"/>
      <c r="AH25" s="84"/>
      <c r="AI25" s="83"/>
      <c r="AJ25" s="83"/>
      <c r="AK25" s="83"/>
      <c r="AL25" s="75"/>
      <c r="AM25" s="164"/>
    </row>
    <row r="26" spans="1:39">
      <c r="A26" s="83"/>
      <c r="B26" s="83"/>
      <c r="C26" s="83"/>
      <c r="D26" s="83"/>
      <c r="E26" s="83"/>
      <c r="F26" s="83"/>
      <c r="G26" s="83"/>
      <c r="H26" s="82"/>
      <c r="I26" s="75"/>
      <c r="J26" s="75"/>
      <c r="K26" s="83"/>
      <c r="L26" s="83"/>
      <c r="M26" s="83"/>
      <c r="N26" s="83"/>
      <c r="O26" s="83"/>
      <c r="P26" s="83"/>
      <c r="Q26" s="83"/>
      <c r="R26" s="83"/>
      <c r="S26" s="83"/>
      <c r="T26" s="83"/>
      <c r="U26" s="83"/>
      <c r="V26" s="83"/>
      <c r="W26" s="83"/>
      <c r="X26" s="83"/>
      <c r="Y26" s="83"/>
      <c r="Z26" s="83"/>
      <c r="AA26" s="83"/>
      <c r="AB26" s="83"/>
      <c r="AC26" s="83"/>
      <c r="AD26" s="83"/>
      <c r="AE26" s="83"/>
      <c r="AF26" s="83"/>
      <c r="AG26" s="83"/>
      <c r="AH26" s="84"/>
      <c r="AI26" s="83"/>
      <c r="AJ26" s="83"/>
      <c r="AK26" s="83"/>
      <c r="AL26" s="75"/>
      <c r="AM26" s="164"/>
    </row>
    <row r="27" spans="1:39">
      <c r="A27" s="83"/>
      <c r="B27" s="83"/>
      <c r="C27" s="83"/>
      <c r="D27" s="83"/>
      <c r="E27" s="83"/>
      <c r="F27" s="83"/>
      <c r="G27" s="83"/>
      <c r="H27" s="82"/>
      <c r="I27" s="75"/>
      <c r="J27" s="75"/>
      <c r="K27" s="83"/>
      <c r="L27" s="83"/>
      <c r="M27" s="83"/>
      <c r="N27" s="83"/>
      <c r="O27" s="83"/>
      <c r="P27" s="83"/>
      <c r="Q27" s="83"/>
      <c r="R27" s="83"/>
      <c r="S27" s="83"/>
      <c r="T27" s="83"/>
      <c r="U27" s="83"/>
      <c r="V27" s="83"/>
      <c r="W27" s="83"/>
      <c r="X27" s="83"/>
      <c r="Y27" s="83"/>
      <c r="Z27" s="83"/>
      <c r="AA27" s="83"/>
      <c r="AB27" s="83"/>
      <c r="AC27" s="83"/>
      <c r="AD27" s="83"/>
      <c r="AE27" s="83"/>
      <c r="AF27" s="83"/>
      <c r="AG27" s="83"/>
      <c r="AH27" s="84"/>
      <c r="AI27" s="83"/>
      <c r="AJ27" s="83"/>
      <c r="AK27" s="83"/>
      <c r="AL27" s="75"/>
      <c r="AM27" s="164"/>
    </row>
    <row r="28" spans="1:39" ht="19.5" customHeight="1">
      <c r="A28" s="83"/>
      <c r="B28" s="83"/>
      <c r="C28" s="83"/>
      <c r="D28" s="83"/>
      <c r="E28" s="83"/>
      <c r="F28" s="83"/>
      <c r="G28" s="83"/>
      <c r="H28" s="82"/>
      <c r="I28" s="75"/>
      <c r="J28" s="75"/>
      <c r="K28" s="83"/>
      <c r="L28" s="83"/>
      <c r="M28" s="83"/>
      <c r="N28" s="83"/>
      <c r="O28" s="83"/>
      <c r="P28" s="83"/>
      <c r="Q28" s="83"/>
      <c r="R28" s="83"/>
      <c r="S28" s="83"/>
      <c r="T28" s="83"/>
      <c r="U28" s="83"/>
      <c r="V28" s="83"/>
      <c r="W28" s="83"/>
      <c r="X28" s="83"/>
      <c r="Y28" s="83"/>
      <c r="Z28" s="83"/>
      <c r="AA28" s="83"/>
      <c r="AB28" s="83"/>
      <c r="AC28" s="83"/>
      <c r="AD28" s="83"/>
      <c r="AE28" s="83"/>
      <c r="AF28" s="83"/>
      <c r="AG28" s="83"/>
      <c r="AH28" s="84"/>
      <c r="AI28" s="83"/>
      <c r="AJ28" s="83"/>
      <c r="AK28" s="83"/>
      <c r="AL28" s="75"/>
      <c r="AM28" s="164"/>
    </row>
    <row r="29" spans="1:39" ht="20.25" customHeight="1" thickBot="1">
      <c r="A29" s="83"/>
      <c r="B29" s="83"/>
      <c r="C29" s="83"/>
      <c r="D29" s="83"/>
      <c r="E29" s="83"/>
      <c r="F29" s="83"/>
      <c r="G29" s="83"/>
      <c r="H29" s="82"/>
      <c r="I29" s="75"/>
      <c r="J29" s="75"/>
      <c r="K29" s="83"/>
      <c r="L29" s="83"/>
      <c r="M29" s="83"/>
      <c r="N29" s="83"/>
      <c r="O29" s="83"/>
      <c r="P29" s="83"/>
      <c r="Q29" s="83"/>
      <c r="R29" s="83"/>
      <c r="S29" s="83"/>
      <c r="T29" s="83"/>
      <c r="U29" s="83"/>
      <c r="V29" s="83"/>
      <c r="W29" s="83"/>
      <c r="X29" s="83"/>
      <c r="Y29" s="83"/>
      <c r="Z29" s="83"/>
      <c r="AA29" s="83"/>
      <c r="AB29" s="83"/>
      <c r="AC29" s="83"/>
      <c r="AD29" s="83"/>
      <c r="AE29" s="83"/>
      <c r="AF29" s="83"/>
      <c r="AG29" s="83"/>
      <c r="AH29" s="84"/>
      <c r="AI29" s="83"/>
      <c r="AJ29" s="83"/>
      <c r="AK29" s="83"/>
      <c r="AL29" s="75"/>
      <c r="AM29" s="164"/>
    </row>
    <row r="30" spans="1:39" ht="35.450000000000003" customHeight="1" thickBot="1">
      <c r="A30" s="83"/>
      <c r="B30" s="83"/>
      <c r="C30" s="83"/>
      <c r="D30" s="83"/>
      <c r="E30" s="83"/>
      <c r="F30" s="83"/>
      <c r="G30" s="83"/>
      <c r="H30" s="82"/>
      <c r="I30" s="75"/>
      <c r="J30" s="75"/>
      <c r="K30" s="83"/>
      <c r="L30" s="83"/>
      <c r="M30" s="83"/>
      <c r="N30" s="117" t="s">
        <v>195</v>
      </c>
      <c r="O30" s="119"/>
      <c r="P30" s="119"/>
      <c r="Q30" s="119"/>
      <c r="R30" s="119"/>
      <c r="S30" s="119"/>
      <c r="T30" s="119"/>
      <c r="U30" s="119"/>
      <c r="V30" s="119"/>
      <c r="W30" s="120"/>
      <c r="X30" s="83"/>
      <c r="Y30" s="83"/>
      <c r="Z30" s="83"/>
      <c r="AA30" s="83"/>
      <c r="AB30" s="83"/>
      <c r="AC30" s="83"/>
      <c r="AD30" s="83"/>
      <c r="AE30" s="83"/>
      <c r="AF30" s="83"/>
      <c r="AG30" s="83"/>
      <c r="AH30" s="84"/>
      <c r="AI30" s="83"/>
      <c r="AJ30" s="83"/>
      <c r="AK30" s="83"/>
      <c r="AL30" s="75"/>
      <c r="AM30" s="164"/>
    </row>
    <row r="31" spans="1:39" ht="10.5" customHeight="1">
      <c r="A31" s="83"/>
      <c r="B31" s="83"/>
      <c r="C31" s="83"/>
      <c r="D31" s="83"/>
      <c r="E31" s="83"/>
      <c r="F31" s="83"/>
      <c r="G31" s="83"/>
      <c r="H31" s="82"/>
      <c r="I31" s="75"/>
      <c r="J31" s="75"/>
      <c r="K31" s="83"/>
      <c r="L31" s="83"/>
      <c r="M31" s="83"/>
      <c r="N31" s="83"/>
      <c r="O31" s="83"/>
      <c r="P31" s="83"/>
      <c r="Q31" s="83"/>
      <c r="R31" s="83"/>
      <c r="S31" s="83"/>
      <c r="T31" s="83"/>
      <c r="U31" s="83"/>
      <c r="V31" s="83"/>
      <c r="W31" s="83"/>
      <c r="X31" s="83"/>
      <c r="Y31" s="83"/>
      <c r="Z31" s="83"/>
      <c r="AA31" s="83"/>
      <c r="AB31" s="83"/>
      <c r="AC31" s="83"/>
      <c r="AD31" s="83"/>
      <c r="AE31" s="83"/>
      <c r="AF31" s="83"/>
      <c r="AG31" s="83"/>
      <c r="AH31" s="84"/>
      <c r="AI31" s="83"/>
      <c r="AJ31" s="83"/>
      <c r="AK31" s="83"/>
      <c r="AL31" s="75"/>
      <c r="AM31" s="164"/>
    </row>
    <row r="32" spans="1:39" ht="52.9" customHeight="1">
      <c r="A32" s="83"/>
      <c r="B32" s="83"/>
      <c r="C32" s="83"/>
      <c r="D32" s="83"/>
      <c r="E32" s="83"/>
      <c r="F32" s="83"/>
      <c r="G32" s="83"/>
      <c r="H32" s="82"/>
      <c r="I32" s="75"/>
      <c r="J32" s="75"/>
      <c r="K32" s="83"/>
      <c r="L32" s="83"/>
      <c r="M32" s="83"/>
      <c r="N32" s="83"/>
      <c r="O32" s="83"/>
      <c r="P32" s="83"/>
      <c r="Q32" s="83"/>
      <c r="R32" s="83"/>
      <c r="S32" s="83"/>
      <c r="T32" s="83"/>
      <c r="U32" s="83"/>
      <c r="V32" s="83"/>
      <c r="W32" s="83"/>
      <c r="X32" s="83"/>
      <c r="Y32" s="83"/>
      <c r="Z32" s="83"/>
      <c r="AA32" s="83"/>
      <c r="AB32" s="83"/>
      <c r="AC32" s="83"/>
      <c r="AD32" s="83"/>
      <c r="AE32" s="83"/>
      <c r="AF32" s="83"/>
      <c r="AG32" s="83"/>
      <c r="AH32" s="84"/>
      <c r="AI32" s="83"/>
      <c r="AJ32" s="83"/>
      <c r="AK32" s="83"/>
      <c r="AL32" s="75"/>
      <c r="AM32" s="164"/>
    </row>
    <row r="33" spans="1:39">
      <c r="A33" s="83"/>
      <c r="B33" s="83"/>
      <c r="C33" s="83"/>
      <c r="D33" s="83"/>
      <c r="E33" s="83"/>
      <c r="F33" s="83"/>
      <c r="G33" s="83"/>
      <c r="H33" s="82"/>
      <c r="I33" s="75"/>
      <c r="J33" s="75"/>
      <c r="K33" s="83"/>
      <c r="L33" s="83"/>
      <c r="M33" s="83"/>
      <c r="N33" s="83"/>
      <c r="O33" s="83"/>
      <c r="P33" s="83"/>
      <c r="Q33" s="83"/>
      <c r="R33" s="83"/>
      <c r="S33" s="83"/>
      <c r="T33" s="83"/>
      <c r="U33" s="83"/>
      <c r="V33" s="83"/>
      <c r="W33" s="83"/>
      <c r="X33" s="83"/>
      <c r="Y33" s="83"/>
      <c r="Z33" s="83"/>
      <c r="AA33" s="83"/>
      <c r="AB33" s="83"/>
      <c r="AC33" s="83"/>
      <c r="AD33" s="83"/>
      <c r="AE33" s="83"/>
      <c r="AF33" s="83"/>
      <c r="AG33" s="83"/>
      <c r="AH33" s="84"/>
      <c r="AI33" s="83"/>
      <c r="AJ33" s="83"/>
      <c r="AK33" s="83"/>
      <c r="AL33" s="75"/>
      <c r="AM33" s="164"/>
    </row>
    <row r="34" spans="1:39">
      <c r="A34" s="83"/>
      <c r="B34" s="83"/>
      <c r="C34" s="83"/>
      <c r="D34" s="83"/>
      <c r="E34" s="83"/>
      <c r="F34" s="83"/>
      <c r="G34" s="83"/>
      <c r="H34" s="82"/>
      <c r="I34" s="75"/>
      <c r="J34" s="75"/>
      <c r="K34" s="83"/>
      <c r="L34" s="83"/>
      <c r="M34" s="83"/>
      <c r="N34" s="83"/>
      <c r="O34" s="83"/>
      <c r="P34" s="83"/>
      <c r="Q34" s="83"/>
      <c r="R34" s="83"/>
      <c r="S34" s="83"/>
      <c r="T34" s="83"/>
      <c r="U34" s="83"/>
      <c r="V34" s="83"/>
      <c r="W34" s="83"/>
      <c r="X34" s="83"/>
      <c r="Y34" s="83"/>
      <c r="Z34" s="83"/>
      <c r="AA34" s="83"/>
      <c r="AB34" s="83"/>
      <c r="AC34" s="83"/>
      <c r="AD34" s="83"/>
      <c r="AE34" s="83"/>
      <c r="AF34" s="83"/>
      <c r="AG34" s="83"/>
      <c r="AH34" s="84"/>
      <c r="AI34" s="83"/>
      <c r="AJ34" s="83"/>
      <c r="AK34" s="83"/>
      <c r="AL34" s="75"/>
      <c r="AM34" s="164"/>
    </row>
    <row r="35" spans="1:39">
      <c r="A35" s="83"/>
      <c r="B35" s="83"/>
      <c r="C35" s="83"/>
      <c r="D35" s="83"/>
      <c r="E35" s="83"/>
      <c r="F35" s="83"/>
      <c r="G35" s="83"/>
      <c r="H35" s="82"/>
      <c r="I35" s="75"/>
      <c r="J35" s="75"/>
      <c r="K35" s="83"/>
      <c r="L35" s="83"/>
      <c r="M35" s="83"/>
      <c r="N35" s="83"/>
      <c r="O35" s="83"/>
      <c r="P35" s="83"/>
      <c r="Q35" s="83"/>
      <c r="R35" s="83"/>
      <c r="S35" s="83"/>
      <c r="T35" s="83"/>
      <c r="U35" s="83"/>
      <c r="V35" s="83"/>
      <c r="W35" s="83"/>
      <c r="X35" s="83"/>
      <c r="Y35" s="83"/>
      <c r="Z35" s="83"/>
      <c r="AA35" s="83"/>
      <c r="AB35" s="83"/>
      <c r="AC35" s="83"/>
      <c r="AD35" s="83"/>
      <c r="AE35" s="83"/>
      <c r="AF35" s="83"/>
      <c r="AG35" s="83"/>
      <c r="AH35" s="84"/>
      <c r="AI35" s="83"/>
      <c r="AJ35" s="83"/>
      <c r="AK35" s="83"/>
      <c r="AL35" s="75"/>
      <c r="AM35" s="164"/>
    </row>
    <row r="36" spans="1:39">
      <c r="A36" s="83"/>
      <c r="B36" s="83"/>
      <c r="C36" s="83"/>
      <c r="D36" s="83"/>
      <c r="E36" s="83"/>
      <c r="F36" s="83"/>
      <c r="G36" s="83"/>
      <c r="H36" s="82"/>
      <c r="I36" s="75"/>
      <c r="J36" s="75"/>
      <c r="K36" s="83"/>
      <c r="L36" s="83"/>
      <c r="M36" s="83"/>
      <c r="N36" s="83"/>
      <c r="O36" s="83"/>
      <c r="P36" s="83"/>
      <c r="Q36" s="83"/>
      <c r="R36" s="83"/>
      <c r="S36" s="83"/>
      <c r="T36" s="83"/>
      <c r="U36" s="83"/>
      <c r="V36" s="83"/>
      <c r="W36" s="83"/>
      <c r="X36" s="83"/>
      <c r="Y36" s="83"/>
      <c r="Z36" s="83"/>
      <c r="AA36" s="83"/>
      <c r="AB36" s="83"/>
      <c r="AC36" s="83"/>
      <c r="AD36" s="83"/>
      <c r="AE36" s="83"/>
      <c r="AF36" s="83"/>
      <c r="AG36" s="83"/>
      <c r="AH36" s="84"/>
      <c r="AI36" s="83"/>
      <c r="AJ36" s="83"/>
      <c r="AK36" s="83"/>
      <c r="AL36" s="75"/>
      <c r="AM36" s="164"/>
    </row>
    <row r="37" spans="1:39">
      <c r="A37" s="83"/>
      <c r="B37" s="83"/>
      <c r="C37" s="83"/>
      <c r="D37" s="83"/>
      <c r="E37" s="83"/>
      <c r="F37" s="83"/>
      <c r="G37" s="83"/>
      <c r="H37" s="82"/>
      <c r="I37" s="75"/>
      <c r="J37" s="75"/>
      <c r="K37" s="83"/>
      <c r="L37" s="83"/>
      <c r="M37" s="83"/>
      <c r="N37" s="83"/>
      <c r="O37" s="83"/>
      <c r="P37" s="83"/>
      <c r="Q37" s="83"/>
      <c r="R37" s="83"/>
      <c r="S37" s="83"/>
      <c r="T37" s="83"/>
      <c r="U37" s="83"/>
      <c r="V37" s="83"/>
      <c r="W37" s="83"/>
      <c r="X37" s="83"/>
      <c r="Y37" s="83"/>
      <c r="Z37" s="83"/>
      <c r="AA37" s="83"/>
      <c r="AB37" s="83"/>
      <c r="AC37" s="83"/>
      <c r="AD37" s="83"/>
      <c r="AE37" s="83"/>
      <c r="AF37" s="83"/>
      <c r="AG37" s="83"/>
      <c r="AH37" s="84"/>
      <c r="AI37" s="83"/>
      <c r="AJ37" s="83"/>
      <c r="AK37" s="83"/>
      <c r="AL37" s="75"/>
      <c r="AM37" s="164"/>
    </row>
    <row r="38" spans="1:39">
      <c r="A38" s="83"/>
      <c r="B38" s="83"/>
      <c r="C38" s="83"/>
      <c r="D38" s="83"/>
      <c r="E38" s="83"/>
      <c r="F38" s="83"/>
      <c r="G38" s="83"/>
      <c r="H38" s="82"/>
      <c r="I38" s="75"/>
      <c r="J38" s="75"/>
      <c r="K38" s="83"/>
      <c r="L38" s="83"/>
      <c r="M38" s="83"/>
      <c r="N38" s="83"/>
      <c r="O38" s="83"/>
      <c r="P38" s="83"/>
      <c r="Q38" s="83"/>
      <c r="R38" s="83"/>
      <c r="S38" s="83"/>
      <c r="T38" s="83"/>
      <c r="U38" s="83"/>
      <c r="V38" s="83"/>
      <c r="W38" s="83"/>
      <c r="X38" s="83"/>
      <c r="Y38" s="83"/>
      <c r="Z38" s="83"/>
      <c r="AA38" s="83"/>
      <c r="AB38" s="83"/>
      <c r="AC38" s="83"/>
      <c r="AD38" s="83"/>
      <c r="AE38" s="83"/>
      <c r="AF38" s="83"/>
      <c r="AG38" s="83"/>
      <c r="AH38" s="84"/>
      <c r="AI38" s="83"/>
      <c r="AJ38" s="83"/>
      <c r="AK38" s="83"/>
      <c r="AL38" s="75"/>
      <c r="AM38" s="164"/>
    </row>
    <row r="39" spans="1:39">
      <c r="A39" s="83"/>
      <c r="B39" s="83"/>
      <c r="C39" s="83"/>
      <c r="D39" s="83"/>
      <c r="E39" s="83"/>
      <c r="F39" s="83"/>
      <c r="G39" s="83"/>
      <c r="H39" s="82"/>
      <c r="I39" s="75"/>
      <c r="J39" s="75"/>
      <c r="K39" s="83"/>
      <c r="L39" s="83"/>
      <c r="M39" s="83"/>
      <c r="N39" s="83"/>
      <c r="O39" s="83"/>
      <c r="P39" s="83"/>
      <c r="Q39" s="83"/>
      <c r="R39" s="83"/>
      <c r="S39" s="83"/>
      <c r="T39" s="83"/>
      <c r="U39" s="83"/>
      <c r="V39" s="83"/>
      <c r="W39" s="83"/>
      <c r="X39" s="83"/>
      <c r="Y39" s="83"/>
      <c r="Z39" s="83"/>
      <c r="AA39" s="83"/>
      <c r="AB39" s="83"/>
      <c r="AC39" s="83"/>
      <c r="AD39" s="83"/>
      <c r="AE39" s="83"/>
      <c r="AF39" s="83"/>
      <c r="AG39" s="83"/>
      <c r="AH39" s="84"/>
      <c r="AI39" s="83"/>
      <c r="AJ39" s="83"/>
      <c r="AK39" s="83"/>
      <c r="AL39" s="75"/>
      <c r="AM39" s="164"/>
    </row>
    <row r="40" spans="1:39">
      <c r="A40" s="83"/>
      <c r="B40" s="83"/>
      <c r="C40" s="83"/>
      <c r="D40" s="83"/>
      <c r="E40" s="83"/>
      <c r="F40" s="83"/>
      <c r="G40" s="83"/>
      <c r="H40" s="82"/>
      <c r="I40" s="75"/>
      <c r="J40" s="75"/>
      <c r="K40" s="83"/>
      <c r="L40" s="83"/>
      <c r="M40" s="83"/>
      <c r="N40" s="83"/>
      <c r="O40" s="83"/>
      <c r="P40" s="83"/>
      <c r="Q40" s="83"/>
      <c r="R40" s="83"/>
      <c r="S40" s="83"/>
      <c r="T40" s="83"/>
      <c r="U40" s="83"/>
      <c r="V40" s="83"/>
      <c r="W40" s="83"/>
      <c r="X40" s="83"/>
      <c r="Y40" s="83"/>
      <c r="Z40" s="83"/>
      <c r="AA40" s="83"/>
      <c r="AB40" s="83"/>
      <c r="AC40" s="83"/>
      <c r="AD40" s="83"/>
      <c r="AE40" s="83"/>
      <c r="AF40" s="83"/>
      <c r="AG40" s="83"/>
      <c r="AH40" s="84"/>
      <c r="AI40" s="83"/>
      <c r="AJ40" s="83"/>
      <c r="AK40" s="83"/>
      <c r="AL40" s="75"/>
      <c r="AM40" s="164"/>
    </row>
    <row r="41" spans="1:39">
      <c r="A41" s="83"/>
      <c r="B41" s="83"/>
      <c r="C41" s="83"/>
      <c r="D41" s="83"/>
      <c r="E41" s="83"/>
      <c r="F41" s="83"/>
      <c r="G41" s="83"/>
      <c r="H41" s="82"/>
      <c r="I41" s="75"/>
      <c r="J41" s="75"/>
      <c r="K41" s="83"/>
      <c r="L41" s="83"/>
      <c r="M41" s="83"/>
      <c r="N41" s="83"/>
      <c r="O41" s="83"/>
      <c r="P41" s="83"/>
      <c r="Q41" s="83"/>
      <c r="R41" s="83"/>
      <c r="S41" s="83"/>
      <c r="T41" s="83"/>
      <c r="U41" s="83"/>
      <c r="V41" s="83"/>
      <c r="W41" s="83"/>
      <c r="X41" s="83"/>
      <c r="Y41" s="83"/>
      <c r="Z41" s="83"/>
      <c r="AA41" s="83"/>
      <c r="AB41" s="83"/>
      <c r="AC41" s="83"/>
      <c r="AD41" s="83"/>
      <c r="AE41" s="83"/>
      <c r="AF41" s="83"/>
      <c r="AG41" s="83"/>
      <c r="AH41" s="84"/>
      <c r="AI41" s="83"/>
      <c r="AJ41" s="83"/>
      <c r="AK41" s="83"/>
      <c r="AL41" s="75"/>
      <c r="AM41" s="164"/>
    </row>
    <row r="42" spans="1:39">
      <c r="A42" s="83"/>
      <c r="B42" s="83"/>
      <c r="C42" s="83"/>
      <c r="D42" s="83"/>
      <c r="E42" s="83"/>
      <c r="F42" s="83"/>
      <c r="G42" s="83"/>
      <c r="H42" s="82"/>
      <c r="I42" s="75"/>
      <c r="J42" s="75"/>
      <c r="K42" s="83"/>
      <c r="L42" s="83"/>
      <c r="M42" s="83"/>
      <c r="N42" s="83"/>
      <c r="O42" s="83"/>
      <c r="P42" s="83"/>
      <c r="Q42" s="83"/>
      <c r="R42" s="83"/>
      <c r="S42" s="83"/>
      <c r="T42" s="83"/>
      <c r="U42" s="83"/>
      <c r="V42" s="83"/>
      <c r="W42" s="83"/>
      <c r="X42" s="83"/>
      <c r="Y42" s="83"/>
      <c r="Z42" s="83"/>
      <c r="AA42" s="83"/>
      <c r="AB42" s="83"/>
      <c r="AC42" s="83"/>
      <c r="AD42" s="83"/>
      <c r="AE42" s="83"/>
      <c r="AF42" s="83"/>
      <c r="AG42" s="83"/>
      <c r="AH42" s="84"/>
      <c r="AI42" s="83"/>
      <c r="AJ42" s="83"/>
      <c r="AK42" s="83"/>
      <c r="AL42" s="75"/>
      <c r="AM42" s="164"/>
    </row>
    <row r="43" spans="1:39">
      <c r="A43" s="83"/>
      <c r="B43" s="83"/>
      <c r="C43" s="83"/>
      <c r="D43" s="83"/>
      <c r="E43" s="83"/>
      <c r="F43" s="83"/>
      <c r="G43" s="83"/>
      <c r="H43" s="82"/>
      <c r="I43" s="75"/>
      <c r="J43" s="75"/>
      <c r="K43" s="83"/>
      <c r="L43" s="83"/>
      <c r="M43" s="83"/>
      <c r="N43" s="83"/>
      <c r="O43" s="83"/>
      <c r="P43" s="83"/>
      <c r="Q43" s="83"/>
      <c r="R43" s="83"/>
      <c r="S43" s="83"/>
      <c r="T43" s="83"/>
      <c r="U43" s="83"/>
      <c r="V43" s="83"/>
      <c r="W43" s="83"/>
      <c r="X43" s="83"/>
      <c r="Y43" s="83"/>
      <c r="Z43" s="83"/>
      <c r="AA43" s="83"/>
      <c r="AB43" s="83"/>
      <c r="AC43" s="83"/>
      <c r="AD43" s="83"/>
      <c r="AE43" s="83"/>
      <c r="AF43" s="83"/>
      <c r="AG43" s="83"/>
      <c r="AH43" s="84"/>
      <c r="AI43" s="83"/>
      <c r="AJ43" s="83"/>
      <c r="AK43" s="83"/>
      <c r="AL43" s="75"/>
      <c r="AM43" s="164"/>
    </row>
    <row r="44" spans="1:39">
      <c r="A44" s="83"/>
      <c r="B44" s="83"/>
      <c r="C44" s="83"/>
      <c r="D44" s="83"/>
      <c r="E44" s="83"/>
      <c r="F44" s="83"/>
      <c r="G44" s="83"/>
      <c r="H44" s="82"/>
      <c r="I44" s="75"/>
      <c r="J44" s="75"/>
      <c r="K44" s="83"/>
      <c r="L44" s="83"/>
      <c r="M44" s="83"/>
      <c r="N44" s="83"/>
      <c r="O44" s="83"/>
      <c r="P44" s="83"/>
      <c r="Q44" s="83"/>
      <c r="R44" s="83"/>
      <c r="S44" s="83"/>
      <c r="T44" s="83"/>
      <c r="U44" s="83"/>
      <c r="V44" s="83"/>
      <c r="W44" s="83"/>
      <c r="X44" s="83"/>
      <c r="Y44" s="83"/>
      <c r="Z44" s="83"/>
      <c r="AA44" s="83"/>
      <c r="AB44" s="83"/>
      <c r="AC44" s="83"/>
      <c r="AD44" s="83"/>
      <c r="AE44" s="83"/>
      <c r="AF44" s="83"/>
      <c r="AG44" s="83"/>
      <c r="AH44" s="84"/>
      <c r="AI44" s="83"/>
      <c r="AJ44" s="83"/>
      <c r="AK44" s="83"/>
      <c r="AL44" s="75"/>
      <c r="AM44" s="164"/>
    </row>
    <row r="45" spans="1:39">
      <c r="A45" s="83"/>
      <c r="B45" s="83"/>
      <c r="C45" s="83"/>
      <c r="D45" s="83"/>
      <c r="E45" s="83"/>
      <c r="F45" s="83"/>
      <c r="G45" s="83"/>
      <c r="H45" s="82"/>
      <c r="I45" s="75"/>
      <c r="J45" s="75"/>
      <c r="K45" s="83"/>
      <c r="L45" s="83"/>
      <c r="M45" s="83"/>
      <c r="N45" s="83"/>
      <c r="O45" s="83"/>
      <c r="P45" s="83"/>
      <c r="Q45" s="83"/>
      <c r="R45" s="83"/>
      <c r="S45" s="83"/>
      <c r="T45" s="83"/>
      <c r="U45" s="83"/>
      <c r="V45" s="83"/>
      <c r="W45" s="83"/>
      <c r="X45" s="83"/>
      <c r="Y45" s="83"/>
      <c r="Z45" s="83"/>
      <c r="AA45" s="83"/>
      <c r="AB45" s="83"/>
      <c r="AC45" s="83"/>
      <c r="AD45" s="83"/>
      <c r="AE45" s="83"/>
      <c r="AF45" s="83"/>
      <c r="AG45" s="83"/>
      <c r="AH45" s="84"/>
      <c r="AI45" s="83"/>
      <c r="AJ45" s="83"/>
      <c r="AK45" s="83"/>
      <c r="AL45" s="75"/>
      <c r="AM45" s="164"/>
    </row>
    <row r="46" spans="1:39">
      <c r="A46" s="83"/>
      <c r="B46" s="83"/>
      <c r="C46" s="83"/>
      <c r="D46" s="83"/>
      <c r="E46" s="83"/>
      <c r="F46" s="83"/>
      <c r="G46" s="83"/>
      <c r="H46" s="82"/>
      <c r="I46" s="75"/>
      <c r="J46" s="75"/>
      <c r="K46" s="83"/>
      <c r="L46" s="83"/>
      <c r="M46" s="83"/>
      <c r="N46" s="83"/>
      <c r="O46" s="83"/>
      <c r="P46" s="83"/>
      <c r="Q46" s="83"/>
      <c r="R46" s="83"/>
      <c r="S46" s="83"/>
      <c r="T46" s="83"/>
      <c r="U46" s="83"/>
      <c r="V46" s="83"/>
      <c r="W46" s="83"/>
      <c r="X46" s="83"/>
      <c r="Y46" s="83"/>
      <c r="Z46" s="83"/>
      <c r="AA46" s="83"/>
      <c r="AB46" s="83"/>
      <c r="AC46" s="83"/>
      <c r="AD46" s="83"/>
      <c r="AE46" s="83"/>
      <c r="AF46" s="83"/>
      <c r="AG46" s="83"/>
      <c r="AH46" s="84"/>
      <c r="AI46" s="83"/>
      <c r="AJ46" s="83"/>
      <c r="AK46" s="83"/>
      <c r="AL46" s="75"/>
      <c r="AM46" s="164"/>
    </row>
    <row r="47" spans="1:39">
      <c r="A47" s="83"/>
      <c r="B47" s="83"/>
      <c r="C47" s="83"/>
      <c r="D47" s="83"/>
      <c r="E47" s="83"/>
      <c r="F47" s="83"/>
      <c r="G47" s="83"/>
      <c r="H47" s="82"/>
      <c r="I47" s="75"/>
      <c r="J47" s="75"/>
      <c r="K47" s="83"/>
      <c r="L47" s="83"/>
      <c r="M47" s="83"/>
      <c r="N47" s="83"/>
      <c r="O47" s="83"/>
      <c r="P47" s="83"/>
      <c r="Q47" s="83"/>
      <c r="R47" s="83"/>
      <c r="S47" s="83"/>
      <c r="T47" s="83"/>
      <c r="U47" s="83"/>
      <c r="V47" s="83"/>
      <c r="W47" s="83"/>
      <c r="X47" s="83"/>
      <c r="Y47" s="83"/>
      <c r="Z47" s="83"/>
      <c r="AA47" s="83"/>
      <c r="AB47" s="83"/>
      <c r="AC47" s="83"/>
      <c r="AD47" s="83"/>
      <c r="AE47" s="83"/>
      <c r="AF47" s="83"/>
      <c r="AG47" s="83"/>
      <c r="AH47" s="84"/>
      <c r="AI47" s="83"/>
      <c r="AJ47" s="83"/>
      <c r="AK47" s="83"/>
      <c r="AL47" s="75"/>
      <c r="AM47" s="164"/>
    </row>
    <row r="48" spans="1:39" ht="85.9" customHeight="1" thickBot="1">
      <c r="A48" s="83"/>
      <c r="B48" s="83"/>
      <c r="C48" s="83"/>
      <c r="D48" s="83"/>
      <c r="E48" s="83"/>
      <c r="F48" s="83"/>
      <c r="G48" s="83"/>
      <c r="H48" s="79"/>
      <c r="I48" s="81"/>
      <c r="J48" s="81"/>
      <c r="K48" s="80"/>
      <c r="L48" s="80"/>
      <c r="M48" s="80"/>
      <c r="N48" s="80"/>
      <c r="O48" s="80"/>
      <c r="P48" s="80"/>
      <c r="Q48" s="80"/>
      <c r="R48" s="80"/>
      <c r="S48" s="80"/>
      <c r="T48" s="80"/>
      <c r="U48" s="80"/>
      <c r="V48" s="80"/>
      <c r="W48" s="80"/>
      <c r="X48" s="80"/>
      <c r="Y48" s="80"/>
      <c r="Z48" s="80"/>
      <c r="AA48" s="80"/>
      <c r="AB48" s="80"/>
      <c r="AC48" s="80"/>
      <c r="AD48" s="80"/>
      <c r="AE48" s="80"/>
      <c r="AF48" s="80"/>
      <c r="AG48" s="80"/>
      <c r="AH48" s="88"/>
      <c r="AI48" s="83"/>
      <c r="AJ48" s="83"/>
      <c r="AK48" s="83"/>
      <c r="AL48" s="75"/>
      <c r="AM48" s="164"/>
    </row>
    <row r="49" spans="2:2">
      <c r="B49"/>
    </row>
  </sheetData>
  <sheetProtection algorithmName="SHA-512" hashValue="5UTITR6Xwm4dTVOmdYlch+Yhrerl5ABA6rWO+2qmP5DjVSvcxGqFz/CxnOBYobIBRgxsvXQ6W49EQQu/tahAYA==" saltValue="Xn8x/9n3rtkzxcsO7GGKHw==" spinCount="100000" sheet="1" formatColumns="0" formatRows="0"/>
  <mergeCells count="6">
    <mergeCell ref="B2:F2"/>
    <mergeCell ref="AK6:AL6"/>
    <mergeCell ref="B6:C6"/>
    <mergeCell ref="B10:B11"/>
    <mergeCell ref="H6:I6"/>
    <mergeCell ref="H7:I7"/>
  </mergeCells>
  <conditionalFormatting sqref="C9">
    <cfRule type="cellIs" dxfId="7" priority="1" operator="between">
      <formula>-12</formula>
      <formula>-14</formula>
    </cfRule>
    <cfRule type="cellIs" dxfId="6" priority="2" operator="between">
      <formula>-8</formula>
      <formula>-11.9</formula>
    </cfRule>
    <cfRule type="cellIs" dxfId="5" priority="3" operator="between">
      <formula>-4</formula>
      <formula>-7.9</formula>
    </cfRule>
    <cfRule type="cellIs" dxfId="4" priority="4" operator="between">
      <formula>0</formula>
      <formula>-4.1</formula>
    </cfRule>
    <cfRule type="cellIs" dxfId="3" priority="5" operator="between">
      <formula>4</formula>
      <formula>0.1</formula>
    </cfRule>
    <cfRule type="cellIs" dxfId="2" priority="6" operator="between">
      <formula>8</formula>
      <formula>4.1</formula>
    </cfRule>
    <cfRule type="cellIs" dxfId="1" priority="7" operator="between">
      <formula>12</formula>
      <formula>8.1</formula>
    </cfRule>
    <cfRule type="cellIs" dxfId="0" priority="8" operator="between">
      <formula>14</formula>
      <formula>12.1</formula>
    </cfRule>
  </conditionalFormatting>
  <pageMargins left="0.23622047244094491" right="0.23622047244094491" top="0.74803149606299213" bottom="0.74803149606299213" header="0.31496062992125984" footer="0.31496062992125984"/>
  <pageSetup paperSize="9" orientation="portrait" blackAndWhite="1"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236D-BDA8-4905-BDC0-537E6E68284F}">
  <dimension ref="A1:J229"/>
  <sheetViews>
    <sheetView topLeftCell="A194" zoomScale="90" zoomScaleNormal="90" workbookViewId="0">
      <selection activeCell="F194" sqref="F194"/>
    </sheetView>
  </sheetViews>
  <sheetFormatPr defaultColWidth="8.85546875" defaultRowHeight="15"/>
  <cols>
    <col min="1" max="1" width="16.7109375" bestFit="1" customWidth="1"/>
    <col min="3" max="3" width="15.28515625" bestFit="1" customWidth="1"/>
    <col min="4" max="4" width="28.28515625" bestFit="1" customWidth="1"/>
    <col min="5" max="5" width="46.28515625" style="1" customWidth="1"/>
    <col min="6" max="6" width="14.5703125" customWidth="1"/>
    <col min="7" max="7" width="37.42578125" customWidth="1"/>
    <col min="8" max="8" width="23" bestFit="1" customWidth="1"/>
    <col min="9" max="9" width="39.28515625" customWidth="1"/>
    <col min="10" max="10" width="69.7109375" style="1" customWidth="1"/>
    <col min="15" max="15" width="32.85546875" bestFit="1" customWidth="1"/>
    <col min="18" max="18" width="14.28515625" bestFit="1" customWidth="1"/>
  </cols>
  <sheetData>
    <row r="1" spans="1:10">
      <c r="A1" s="8" t="s">
        <v>158</v>
      </c>
      <c r="B1" s="8" t="s">
        <v>196</v>
      </c>
      <c r="C1" s="8" t="s">
        <v>197</v>
      </c>
      <c r="D1" s="9" t="s">
        <v>198</v>
      </c>
      <c r="E1" s="2" t="s">
        <v>199</v>
      </c>
      <c r="F1" s="8" t="s">
        <v>76</v>
      </c>
      <c r="G1" s="9" t="s">
        <v>200</v>
      </c>
      <c r="H1" s="11" t="s">
        <v>201</v>
      </c>
      <c r="I1" s="9" t="s">
        <v>202</v>
      </c>
      <c r="J1" s="2" t="s">
        <v>203</v>
      </c>
    </row>
    <row r="2" spans="1:10" ht="30">
      <c r="A2" t="s">
        <v>204</v>
      </c>
      <c r="B2" t="s">
        <v>144</v>
      </c>
      <c r="C2" t="s">
        <v>55</v>
      </c>
      <c r="D2" t="str">
        <f>CONCATENATE(B2,C2)</f>
        <v>cacaoQuestion 1</v>
      </c>
      <c r="E2" s="3" t="s">
        <v>205</v>
      </c>
      <c r="F2" t="s">
        <v>141</v>
      </c>
      <c r="G2" s="1" t="str">
        <f>CONCATENATE(E2,F2)</f>
        <v>La température a-t-elle changé au cours des 10 dernières années ? oui</v>
      </c>
      <c r="H2">
        <f>IF(F2='2. SAISIE DES DONNÉES'!$V$65,-1)+IF(F2='2. SAISIE DES DONNÉES'!$V$66,1)</f>
        <v>-1</v>
      </c>
      <c r="I2" t="str">
        <f>CONCATENATE(B2,F2)</f>
        <v>cacaooui</v>
      </c>
      <c r="J2"/>
    </row>
    <row r="3" spans="1:10" ht="30">
      <c r="A3" t="s">
        <v>204</v>
      </c>
      <c r="B3" t="s">
        <v>144</v>
      </c>
      <c r="C3" t="s">
        <v>55</v>
      </c>
      <c r="D3" t="str">
        <f t="shared" ref="D3:D66" si="0">CONCATENATE(B3,C3)</f>
        <v>cacaoQuestion 1</v>
      </c>
      <c r="E3" s="3" t="s">
        <v>205</v>
      </c>
      <c r="F3" t="s">
        <v>143</v>
      </c>
      <c r="G3" s="1" t="str">
        <f>CONCATENATE(E3,F3)</f>
        <v>La température a-t-elle changé au cours des 10 dernières années ? non</v>
      </c>
      <c r="H3">
        <f>IF(F3='2. SAISIE DES DONNÉES'!$V$65,-1)+IF(F3='2. SAISIE DES DONNÉES'!$V$66,1)</f>
        <v>1</v>
      </c>
      <c r="I3" t="str">
        <f>CONCATENATE(B3,F3)</f>
        <v>cacaonon</v>
      </c>
      <c r="J3"/>
    </row>
    <row r="4" spans="1:10" ht="30">
      <c r="A4" t="s">
        <v>204</v>
      </c>
      <c r="B4" t="s">
        <v>147</v>
      </c>
      <c r="C4" t="s">
        <v>55</v>
      </c>
      <c r="D4" t="str">
        <f t="shared" si="0"/>
        <v>caféQuestion 1</v>
      </c>
      <c r="E4" s="3" t="s">
        <v>205</v>
      </c>
      <c r="F4" t="s">
        <v>141</v>
      </c>
      <c r="G4" s="1" t="str">
        <f>CONCATENATE(E4,F4)</f>
        <v>La température a-t-elle changé au cours des 10 dernières années ? oui</v>
      </c>
      <c r="H4">
        <f>IF(F4='2. SAISIE DES DONNÉES'!$V$65,-1)+IF(F4='2. SAISIE DES DONNÉES'!$V$66,1)</f>
        <v>-1</v>
      </c>
      <c r="I4" t="str">
        <f>CONCATENATE(B4,F4)</f>
        <v>caféoui</v>
      </c>
      <c r="J4"/>
    </row>
    <row r="5" spans="1:10" ht="30">
      <c r="A5" t="s">
        <v>204</v>
      </c>
      <c r="B5" t="s">
        <v>147</v>
      </c>
      <c r="C5" t="s">
        <v>55</v>
      </c>
      <c r="D5" t="str">
        <f t="shared" si="0"/>
        <v>caféQuestion 1</v>
      </c>
      <c r="E5" s="3" t="s">
        <v>205</v>
      </c>
      <c r="F5" t="s">
        <v>143</v>
      </c>
      <c r="G5" s="1" t="str">
        <f t="shared" ref="G5" si="1">CONCATENATE(E5,F5)</f>
        <v>La température a-t-elle changé au cours des 10 dernières années ? non</v>
      </c>
      <c r="H5">
        <f>IF(F5='2. SAISIE DES DONNÉES'!$V$65,-1)+IF(F5='2. SAISIE DES DONNÉES'!$V$66,1)</f>
        <v>1</v>
      </c>
      <c r="I5" t="str">
        <f t="shared" ref="I5" si="2">CONCATENATE(B5,F5)</f>
        <v>cafénon</v>
      </c>
      <c r="J5"/>
    </row>
    <row r="6" spans="1:10" ht="30">
      <c r="A6" t="s">
        <v>204</v>
      </c>
      <c r="B6" t="s">
        <v>148</v>
      </c>
      <c r="C6" t="s">
        <v>55</v>
      </c>
      <c r="D6" t="str">
        <f t="shared" si="0"/>
        <v>théQuestion 1</v>
      </c>
      <c r="E6" s="3" t="s">
        <v>205</v>
      </c>
      <c r="F6" t="s">
        <v>141</v>
      </c>
      <c r="G6" s="1" t="str">
        <f>CONCATENATE(E6,F6)</f>
        <v>La température a-t-elle changé au cours des 10 dernières années ? oui</v>
      </c>
      <c r="H6">
        <f>IF(F6='2. SAISIE DES DONNÉES'!$V$65,-1)+IF(F6='2. SAISIE DES DONNÉES'!$V$66,1)</f>
        <v>-1</v>
      </c>
      <c r="I6" t="str">
        <f>CONCATENATE(B6,F6)</f>
        <v>théoui</v>
      </c>
      <c r="J6"/>
    </row>
    <row r="7" spans="1:10" ht="30">
      <c r="A7" t="s">
        <v>204</v>
      </c>
      <c r="B7" t="s">
        <v>148</v>
      </c>
      <c r="C7" t="s">
        <v>55</v>
      </c>
      <c r="D7" t="str">
        <f t="shared" si="0"/>
        <v>théQuestion 1</v>
      </c>
      <c r="E7" s="3" t="s">
        <v>205</v>
      </c>
      <c r="F7" t="s">
        <v>143</v>
      </c>
      <c r="G7" s="1" t="str">
        <f t="shared" ref="G7" si="3">CONCATENATE(E7,F7)</f>
        <v>La température a-t-elle changé au cours des 10 dernières années ? non</v>
      </c>
      <c r="H7">
        <f>IF(F7='2. SAISIE DES DONNÉES'!$V$65,-1)+IF(F7='2. SAISIE DES DONNÉES'!$V$66,1)</f>
        <v>1</v>
      </c>
      <c r="I7" t="str">
        <f>CONCATENATE(B7,F7)</f>
        <v>thénon</v>
      </c>
      <c r="J7"/>
    </row>
    <row r="8" spans="1:10" ht="30">
      <c r="A8" t="s">
        <v>204</v>
      </c>
      <c r="B8" t="s">
        <v>142</v>
      </c>
      <c r="C8" t="s">
        <v>55</v>
      </c>
      <c r="D8" t="str">
        <f t="shared" si="0"/>
        <v>les bananesQuestion 1</v>
      </c>
      <c r="E8" s="1" t="s">
        <v>205</v>
      </c>
      <c r="F8" t="s">
        <v>141</v>
      </c>
      <c r="G8" s="1" t="str">
        <f>CONCATENATE(E8,F8)</f>
        <v>La température a-t-elle changé au cours des 10 dernières années ? oui</v>
      </c>
      <c r="H8">
        <f>IF(F8='2. SAISIE DES DONNÉES'!$V$65,-1)+IF(F8='2. SAISIE DES DONNÉES'!$V$66,1)</f>
        <v>-1</v>
      </c>
      <c r="I8" t="str">
        <f>CONCATENATE(B8,F8)</f>
        <v>les bananesoui</v>
      </c>
      <c r="J8"/>
    </row>
    <row r="9" spans="1:10" ht="30">
      <c r="A9" t="s">
        <v>204</v>
      </c>
      <c r="B9" t="s">
        <v>142</v>
      </c>
      <c r="C9" t="s">
        <v>55</v>
      </c>
      <c r="D9" t="str">
        <f t="shared" si="0"/>
        <v>les bananesQuestion 1</v>
      </c>
      <c r="E9" s="1" t="s">
        <v>205</v>
      </c>
      <c r="F9" t="s">
        <v>143</v>
      </c>
      <c r="G9" s="1" t="str">
        <f>CONCATENATE(E9,F9)</f>
        <v>La température a-t-elle changé au cours des 10 dernières années ? non</v>
      </c>
      <c r="H9">
        <f>IF(F9='2. SAISIE DES DONNÉES'!$V$65,-1)+IF(F9='2. SAISIE DES DONNÉES'!$V$66,1)</f>
        <v>1</v>
      </c>
      <c r="I9" t="str">
        <f>CONCATENATE(B9,F9)</f>
        <v>les bananesnon</v>
      </c>
      <c r="J9"/>
    </row>
    <row r="10" spans="1:10" ht="30">
      <c r="A10" t="s">
        <v>206</v>
      </c>
      <c r="B10" t="s">
        <v>144</v>
      </c>
      <c r="C10" t="s">
        <v>69</v>
      </c>
      <c r="D10" t="str">
        <f t="shared" si="0"/>
        <v>cacaoQuestion 10</v>
      </c>
      <c r="E10" s="3" t="s">
        <v>207</v>
      </c>
      <c r="F10" t="s">
        <v>141</v>
      </c>
      <c r="G10" s="1" t="str">
        <f t="shared" ref="G10:G11" si="4">CONCATENATE(E10,F10)</f>
        <v>Constatez-vous une augmentation de la chute des fleurs et des fruits ? oui</v>
      </c>
      <c r="H10">
        <f>IF(F10='2. SAISIE DES DONNÉES'!$V$65,-1)+IF(F10='2. SAISIE DES DONNÉES'!$V$66,1)</f>
        <v>-1</v>
      </c>
      <c r="I10" t="str">
        <f t="shared" ref="I10:I11" si="5">CONCATENATE(B10,F10)</f>
        <v>cacaooui</v>
      </c>
      <c r="J10"/>
    </row>
    <row r="11" spans="1:10" ht="30">
      <c r="A11" t="s">
        <v>206</v>
      </c>
      <c r="B11" t="s">
        <v>144</v>
      </c>
      <c r="C11" t="s">
        <v>69</v>
      </c>
      <c r="D11" t="str">
        <f t="shared" si="0"/>
        <v>cacaoQuestion 10</v>
      </c>
      <c r="E11" s="3" t="s">
        <v>207</v>
      </c>
      <c r="F11" t="s">
        <v>143</v>
      </c>
      <c r="G11" s="1" t="str">
        <f t="shared" si="4"/>
        <v>Constatez-vous une augmentation de la chute des fleurs et des fruits ? non</v>
      </c>
      <c r="H11">
        <f>IF(F11='2. SAISIE DES DONNÉES'!$V$65,-1)+IF(F11='2. SAISIE DES DONNÉES'!$V$66,1)</f>
        <v>1</v>
      </c>
      <c r="I11" t="str">
        <f t="shared" si="5"/>
        <v>cacaonon</v>
      </c>
      <c r="J11"/>
    </row>
    <row r="12" spans="1:10" ht="30">
      <c r="A12" t="s">
        <v>206</v>
      </c>
      <c r="B12" t="s">
        <v>147</v>
      </c>
      <c r="C12" t="s">
        <v>69</v>
      </c>
      <c r="D12" t="str">
        <f t="shared" si="0"/>
        <v>caféQuestion 10</v>
      </c>
      <c r="E12" s="3" t="s">
        <v>207</v>
      </c>
      <c r="F12" t="s">
        <v>141</v>
      </c>
      <c r="G12" s="1" t="str">
        <f t="shared" ref="G12:G17" si="6">CONCATENATE(E12,F12)</f>
        <v>Constatez-vous une augmentation de la chute des fleurs et des fruits ? oui</v>
      </c>
      <c r="H12">
        <f>IF(F12='2. SAISIE DES DONNÉES'!$V$65,-1)+IF(F12='2. SAISIE DES DONNÉES'!$V$66,1)</f>
        <v>-1</v>
      </c>
      <c r="I12" t="str">
        <f t="shared" ref="I12:I17" si="7">CONCATENATE(B12,F12)</f>
        <v>caféoui</v>
      </c>
      <c r="J12"/>
    </row>
    <row r="13" spans="1:10" ht="30">
      <c r="A13" t="s">
        <v>206</v>
      </c>
      <c r="B13" t="s">
        <v>147</v>
      </c>
      <c r="C13" t="s">
        <v>69</v>
      </c>
      <c r="D13" t="str">
        <f t="shared" si="0"/>
        <v>caféQuestion 10</v>
      </c>
      <c r="E13" s="3" t="s">
        <v>207</v>
      </c>
      <c r="F13" t="s">
        <v>143</v>
      </c>
      <c r="G13" s="1" t="str">
        <f t="shared" si="6"/>
        <v>Constatez-vous une augmentation de la chute des fleurs et des fruits ? non</v>
      </c>
      <c r="H13">
        <f>IF(F13='2. SAISIE DES DONNÉES'!$V$65,-1)+IF(F13='2. SAISIE DES DONNÉES'!$V$66,1)</f>
        <v>1</v>
      </c>
      <c r="I13" t="str">
        <f t="shared" si="7"/>
        <v>cafénon</v>
      </c>
      <c r="J13"/>
    </row>
    <row r="14" spans="1:10" ht="30">
      <c r="A14" t="s">
        <v>206</v>
      </c>
      <c r="B14" t="s">
        <v>148</v>
      </c>
      <c r="C14" t="s">
        <v>69</v>
      </c>
      <c r="D14" t="str">
        <f t="shared" si="0"/>
        <v>théQuestion 10</v>
      </c>
      <c r="E14" s="3" t="s">
        <v>207</v>
      </c>
      <c r="F14" t="s">
        <v>141</v>
      </c>
      <c r="G14" s="1" t="str">
        <f t="shared" si="6"/>
        <v>Constatez-vous une augmentation de la chute des fleurs et des fruits ? oui</v>
      </c>
      <c r="H14">
        <f>IF(F14='2. SAISIE DES DONNÉES'!$V$65,-1)+IF(F14='2. SAISIE DES DONNÉES'!$V$66,1)</f>
        <v>-1</v>
      </c>
      <c r="I14" t="str">
        <f t="shared" si="7"/>
        <v>théoui</v>
      </c>
      <c r="J14"/>
    </row>
    <row r="15" spans="1:10" ht="30">
      <c r="A15" t="s">
        <v>206</v>
      </c>
      <c r="B15" t="s">
        <v>148</v>
      </c>
      <c r="C15" t="s">
        <v>69</v>
      </c>
      <c r="D15" t="str">
        <f t="shared" si="0"/>
        <v>théQuestion 10</v>
      </c>
      <c r="E15" s="3" t="s">
        <v>207</v>
      </c>
      <c r="F15" t="s">
        <v>143</v>
      </c>
      <c r="G15" s="1" t="str">
        <f t="shared" si="6"/>
        <v>Constatez-vous une augmentation de la chute des fleurs et des fruits ? non</v>
      </c>
      <c r="H15">
        <f>IF(F15='2. SAISIE DES DONNÉES'!$V$65,-1)+IF(F15='2. SAISIE DES DONNÉES'!$V$66,1)</f>
        <v>1</v>
      </c>
      <c r="I15" t="str">
        <f t="shared" si="7"/>
        <v>thénon</v>
      </c>
      <c r="J15"/>
    </row>
    <row r="16" spans="1:10" ht="30">
      <c r="A16" t="s">
        <v>206</v>
      </c>
      <c r="B16" t="s">
        <v>142</v>
      </c>
      <c r="C16" t="s">
        <v>69</v>
      </c>
      <c r="D16" t="str">
        <f t="shared" si="0"/>
        <v>les bananesQuestion 10</v>
      </c>
      <c r="E16" s="1" t="s">
        <v>207</v>
      </c>
      <c r="F16" t="s">
        <v>141</v>
      </c>
      <c r="G16" s="1" t="str">
        <f t="shared" si="6"/>
        <v>Constatez-vous une augmentation de la chute des fleurs et des fruits ? oui</v>
      </c>
      <c r="H16">
        <f>IF(F16='2. SAISIE DES DONNÉES'!$V$65,-1)+IF(F16='2. SAISIE DES DONNÉES'!$V$66,1)</f>
        <v>-1</v>
      </c>
      <c r="I16" t="str">
        <f t="shared" si="7"/>
        <v>les bananesoui</v>
      </c>
      <c r="J16"/>
    </row>
    <row r="17" spans="1:10" ht="30">
      <c r="A17" t="s">
        <v>206</v>
      </c>
      <c r="B17" t="s">
        <v>142</v>
      </c>
      <c r="C17" t="s">
        <v>69</v>
      </c>
      <c r="D17" t="str">
        <f t="shared" si="0"/>
        <v>les bananesQuestion 10</v>
      </c>
      <c r="E17" s="1" t="s">
        <v>207</v>
      </c>
      <c r="F17" t="s">
        <v>143</v>
      </c>
      <c r="G17" s="1" t="str">
        <f t="shared" si="6"/>
        <v>Constatez-vous une augmentation de la chute des fleurs et des fruits ? non</v>
      </c>
      <c r="H17">
        <f>IF(F17='2. SAISIE DES DONNÉES'!$V$65,-1)+IF(F17='2. SAISIE DES DONNÉES'!$V$66,1)</f>
        <v>1</v>
      </c>
      <c r="I17" t="str">
        <f t="shared" si="7"/>
        <v>les bananesnon</v>
      </c>
      <c r="J17"/>
    </row>
    <row r="18" spans="1:10" ht="30">
      <c r="A18" t="s">
        <v>206</v>
      </c>
      <c r="B18" t="s">
        <v>144</v>
      </c>
      <c r="C18" t="s">
        <v>70</v>
      </c>
      <c r="D18" t="str">
        <f t="shared" si="0"/>
        <v>cacaoQuestion 11</v>
      </c>
      <c r="E18" s="3" t="s">
        <v>208</v>
      </c>
      <c r="F18" t="s">
        <v>141</v>
      </c>
      <c r="G18" s="1" t="str">
        <f t="shared" ref="G18:G19" si="8">CONCATENATE(E18,F18)</f>
        <v>Constatez-vous une augmentation de la défoliation des plantes ?oui</v>
      </c>
      <c r="H18">
        <f>IF(F18='2. SAISIE DES DONNÉES'!$V$65,-1)+IF(F18='2. SAISIE DES DONNÉES'!$V$66,1)</f>
        <v>-1</v>
      </c>
      <c r="I18" t="str">
        <f t="shared" ref="I18:I19" si="9">CONCATENATE(B18,F18)</f>
        <v>cacaooui</v>
      </c>
      <c r="J18"/>
    </row>
    <row r="19" spans="1:10" ht="30">
      <c r="A19" t="s">
        <v>206</v>
      </c>
      <c r="B19" t="s">
        <v>144</v>
      </c>
      <c r="C19" t="s">
        <v>70</v>
      </c>
      <c r="D19" t="str">
        <f t="shared" si="0"/>
        <v>cacaoQuestion 11</v>
      </c>
      <c r="E19" s="3" t="s">
        <v>208</v>
      </c>
      <c r="F19" t="s">
        <v>143</v>
      </c>
      <c r="G19" s="1" t="str">
        <f t="shared" si="8"/>
        <v>Constatez-vous une augmentation de la défoliation des plantes ?non</v>
      </c>
      <c r="H19">
        <f>IF(F19='2. SAISIE DES DONNÉES'!$V$65,-1)+IF(F19='2. SAISIE DES DONNÉES'!$V$66,1)</f>
        <v>1</v>
      </c>
      <c r="I19" t="str">
        <f t="shared" si="9"/>
        <v>cacaonon</v>
      </c>
      <c r="J19"/>
    </row>
    <row r="20" spans="1:10" ht="30">
      <c r="A20" t="s">
        <v>206</v>
      </c>
      <c r="B20" t="s">
        <v>147</v>
      </c>
      <c r="C20" t="s">
        <v>70</v>
      </c>
      <c r="D20" t="str">
        <f t="shared" si="0"/>
        <v>caféQuestion 11</v>
      </c>
      <c r="E20" s="3" t="s">
        <v>208</v>
      </c>
      <c r="F20" t="s">
        <v>141</v>
      </c>
      <c r="G20" s="1" t="str">
        <f t="shared" ref="G20:G25" si="10">CONCATENATE(E20,F20)</f>
        <v>Constatez-vous une augmentation de la défoliation des plantes ?oui</v>
      </c>
      <c r="H20">
        <f>IF(F20='2. SAISIE DES DONNÉES'!$V$65,-1)+IF(F20='2. SAISIE DES DONNÉES'!$V$66,1)</f>
        <v>-1</v>
      </c>
      <c r="I20" t="str">
        <f t="shared" ref="I20:I25" si="11">CONCATENATE(B20,F20)</f>
        <v>caféoui</v>
      </c>
      <c r="J20"/>
    </row>
    <row r="21" spans="1:10" ht="30">
      <c r="A21" t="s">
        <v>206</v>
      </c>
      <c r="B21" t="s">
        <v>147</v>
      </c>
      <c r="C21" t="s">
        <v>70</v>
      </c>
      <c r="D21" t="str">
        <f t="shared" si="0"/>
        <v>caféQuestion 11</v>
      </c>
      <c r="E21" s="3" t="s">
        <v>208</v>
      </c>
      <c r="F21" t="s">
        <v>143</v>
      </c>
      <c r="G21" s="1" t="str">
        <f t="shared" si="10"/>
        <v>Constatez-vous une augmentation de la défoliation des plantes ?non</v>
      </c>
      <c r="H21">
        <f>IF(F21='2. SAISIE DES DONNÉES'!$V$65,-1)+IF(F21='2. SAISIE DES DONNÉES'!$V$66,1)</f>
        <v>1</v>
      </c>
      <c r="I21" t="str">
        <f t="shared" si="11"/>
        <v>cafénon</v>
      </c>
      <c r="J21"/>
    </row>
    <row r="22" spans="1:10" ht="30">
      <c r="A22" t="s">
        <v>206</v>
      </c>
      <c r="B22" t="s">
        <v>148</v>
      </c>
      <c r="C22" t="s">
        <v>70</v>
      </c>
      <c r="D22" t="str">
        <f t="shared" si="0"/>
        <v>théQuestion 11</v>
      </c>
      <c r="E22" s="3" t="s">
        <v>208</v>
      </c>
      <c r="F22" t="s">
        <v>141</v>
      </c>
      <c r="G22" s="1" t="str">
        <f t="shared" si="10"/>
        <v>Constatez-vous une augmentation de la défoliation des plantes ?oui</v>
      </c>
      <c r="H22">
        <f>IF(F22='2. SAISIE DES DONNÉES'!$V$65,-1)+IF(F22='2. SAISIE DES DONNÉES'!$V$66,1)</f>
        <v>-1</v>
      </c>
      <c r="I22" t="str">
        <f t="shared" si="11"/>
        <v>théoui</v>
      </c>
      <c r="J22"/>
    </row>
    <row r="23" spans="1:10" ht="30">
      <c r="A23" t="s">
        <v>206</v>
      </c>
      <c r="B23" t="s">
        <v>148</v>
      </c>
      <c r="C23" t="s">
        <v>70</v>
      </c>
      <c r="D23" t="str">
        <f t="shared" si="0"/>
        <v>théQuestion 11</v>
      </c>
      <c r="E23" s="3" t="s">
        <v>208</v>
      </c>
      <c r="F23" t="s">
        <v>143</v>
      </c>
      <c r="G23" s="1" t="str">
        <f t="shared" si="10"/>
        <v>Constatez-vous une augmentation de la défoliation des plantes ?non</v>
      </c>
      <c r="H23">
        <f>IF(F23='2. SAISIE DES DONNÉES'!$V$65,-1)+IF(F23='2. SAISIE DES DONNÉES'!$V$66,1)</f>
        <v>1</v>
      </c>
      <c r="I23" t="str">
        <f t="shared" si="11"/>
        <v>thénon</v>
      </c>
      <c r="J23"/>
    </row>
    <row r="24" spans="1:10" ht="30">
      <c r="A24" t="s">
        <v>206</v>
      </c>
      <c r="B24" t="s">
        <v>142</v>
      </c>
      <c r="C24" t="s">
        <v>70</v>
      </c>
      <c r="D24" t="str">
        <f t="shared" si="0"/>
        <v>les bananesQuestion 11</v>
      </c>
      <c r="E24" s="1" t="s">
        <v>208</v>
      </c>
      <c r="F24" t="s">
        <v>141</v>
      </c>
      <c r="G24" s="1" t="str">
        <f t="shared" si="10"/>
        <v>Constatez-vous une augmentation de la défoliation des plantes ?oui</v>
      </c>
      <c r="H24">
        <f>IF(F24='2. SAISIE DES DONNÉES'!$V$65,-1)+IF(F24='2. SAISIE DES DONNÉES'!$V$66,1)</f>
        <v>-1</v>
      </c>
      <c r="I24" t="str">
        <f t="shared" si="11"/>
        <v>les bananesoui</v>
      </c>
      <c r="J24"/>
    </row>
    <row r="25" spans="1:10" ht="30">
      <c r="A25" t="s">
        <v>206</v>
      </c>
      <c r="B25" t="s">
        <v>142</v>
      </c>
      <c r="C25" t="s">
        <v>70</v>
      </c>
      <c r="D25" t="str">
        <f t="shared" si="0"/>
        <v>les bananesQuestion 11</v>
      </c>
      <c r="E25" s="1" t="s">
        <v>208</v>
      </c>
      <c r="F25" t="s">
        <v>143</v>
      </c>
      <c r="G25" s="1" t="str">
        <f t="shared" si="10"/>
        <v>Constatez-vous une augmentation de la défoliation des plantes ?non</v>
      </c>
      <c r="H25">
        <f>IF(F25='2. SAISIE DES DONNÉES'!$V$65,-1)+IF(F25='2. SAISIE DES DONNÉES'!$V$66,1)</f>
        <v>1</v>
      </c>
      <c r="I25" t="str">
        <f t="shared" si="11"/>
        <v>les bananesnon</v>
      </c>
      <c r="J25"/>
    </row>
    <row r="26" spans="1:10" ht="60">
      <c r="A26" t="s">
        <v>206</v>
      </c>
      <c r="B26" t="s">
        <v>144</v>
      </c>
      <c r="C26" t="s">
        <v>71</v>
      </c>
      <c r="D26" t="str">
        <f t="shared" si="0"/>
        <v>cacaoQuestion 12</v>
      </c>
      <c r="E26" s="4" t="s">
        <v>209</v>
      </c>
      <c r="F26" t="s">
        <v>141</v>
      </c>
      <c r="G26" s="1" t="str">
        <f t="shared" ref="G26:G27" si="12">CONCATENATE(E26,F26)</f>
        <v xml:space="preserve"> Les dégâts des ravageurs et des maladies sur le système de production ont-ils augmenté au cours des 5 à 10 dernières années ? oui</v>
      </c>
      <c r="H26">
        <f>IF(F26='2. SAISIE DES DONNÉES'!$V$65,-1)+IF(F26='2. SAISIE DES DONNÉES'!$V$66,1)</f>
        <v>-1</v>
      </c>
      <c r="I26" t="str">
        <f t="shared" ref="I26:I27" si="13">CONCATENATE(B26,F26)</f>
        <v>cacaooui</v>
      </c>
      <c r="J26"/>
    </row>
    <row r="27" spans="1:10" ht="60">
      <c r="A27" t="s">
        <v>206</v>
      </c>
      <c r="B27" t="s">
        <v>144</v>
      </c>
      <c r="C27" t="s">
        <v>71</v>
      </c>
      <c r="D27" t="str">
        <f t="shared" si="0"/>
        <v>cacaoQuestion 12</v>
      </c>
      <c r="E27" s="4" t="s">
        <v>209</v>
      </c>
      <c r="F27" t="s">
        <v>143</v>
      </c>
      <c r="G27" s="1" t="str">
        <f t="shared" si="12"/>
        <v xml:space="preserve"> Les dégâts des ravageurs et des maladies sur le système de production ont-ils augmenté au cours des 5 à 10 dernières années ? non</v>
      </c>
      <c r="H27">
        <f>IF(F27='2. SAISIE DES DONNÉES'!$V$65,-1)+IF(F27='2. SAISIE DES DONNÉES'!$V$66,1)</f>
        <v>1</v>
      </c>
      <c r="I27" t="str">
        <f t="shared" si="13"/>
        <v>cacaonon</v>
      </c>
      <c r="J27"/>
    </row>
    <row r="28" spans="1:10" ht="60">
      <c r="A28" t="s">
        <v>206</v>
      </c>
      <c r="B28" t="s">
        <v>147</v>
      </c>
      <c r="C28" t="s">
        <v>71</v>
      </c>
      <c r="D28" t="str">
        <f t="shared" si="0"/>
        <v>caféQuestion 12</v>
      </c>
      <c r="E28" s="4" t="s">
        <v>209</v>
      </c>
      <c r="F28" t="s">
        <v>141</v>
      </c>
      <c r="G28" s="1" t="str">
        <f t="shared" ref="G28:G40" si="14">CONCATENATE(E28,F28)</f>
        <v xml:space="preserve"> Les dégâts des ravageurs et des maladies sur le système de production ont-ils augmenté au cours des 5 à 10 dernières années ? oui</v>
      </c>
      <c r="H28">
        <f>IF(F28='2. SAISIE DES DONNÉES'!$V$65,-1)+IF(F28='2. SAISIE DES DONNÉES'!$V$66,1)</f>
        <v>-1</v>
      </c>
      <c r="I28" t="str">
        <f t="shared" ref="I28:I40" si="15">CONCATENATE(B28,F28)</f>
        <v>caféoui</v>
      </c>
      <c r="J28" s="1" t="s">
        <v>210</v>
      </c>
    </row>
    <row r="29" spans="1:10" ht="60">
      <c r="A29" t="s">
        <v>206</v>
      </c>
      <c r="B29" t="s">
        <v>147</v>
      </c>
      <c r="C29" t="s">
        <v>71</v>
      </c>
      <c r="D29" t="str">
        <f t="shared" si="0"/>
        <v>caféQuestion 12</v>
      </c>
      <c r="E29" s="4" t="s">
        <v>209</v>
      </c>
      <c r="F29" t="s">
        <v>143</v>
      </c>
      <c r="G29" s="1" t="str">
        <f t="shared" si="14"/>
        <v xml:space="preserve"> Les dégâts des ravageurs et des maladies sur le système de production ont-ils augmenté au cours des 5 à 10 dernières années ? non</v>
      </c>
      <c r="H29">
        <f>IF(F29='2. SAISIE DES DONNÉES'!$V$65,-1)+IF(F29='2. SAISIE DES DONNÉES'!$V$66,1)</f>
        <v>1</v>
      </c>
      <c r="I29" t="str">
        <f t="shared" si="15"/>
        <v>cafénon</v>
      </c>
      <c r="J29" s="1" t="s">
        <v>211</v>
      </c>
    </row>
    <row r="30" spans="1:10" ht="60">
      <c r="A30" t="s">
        <v>206</v>
      </c>
      <c r="B30" t="s">
        <v>148</v>
      </c>
      <c r="C30" t="s">
        <v>71</v>
      </c>
      <c r="D30" t="str">
        <f t="shared" si="0"/>
        <v>théQuestion 12</v>
      </c>
      <c r="E30" s="4" t="s">
        <v>209</v>
      </c>
      <c r="F30" t="s">
        <v>141</v>
      </c>
      <c r="G30" s="1" t="str">
        <f t="shared" si="14"/>
        <v xml:space="preserve"> Les dégâts des ravageurs et des maladies sur le système de production ont-ils augmenté au cours des 5 à 10 dernières années ? oui</v>
      </c>
      <c r="H30">
        <f>IF(F30='2. SAISIE DES DONNÉES'!$V$65,-1)+IF(F30='2. SAISIE DES DONNÉES'!$V$66,1)</f>
        <v>-1</v>
      </c>
      <c r="I30" t="str">
        <f t="shared" si="15"/>
        <v>théoui</v>
      </c>
      <c r="J30" s="1" t="s">
        <v>212</v>
      </c>
    </row>
    <row r="31" spans="1:10" ht="60">
      <c r="A31" t="s">
        <v>206</v>
      </c>
      <c r="B31" t="s">
        <v>148</v>
      </c>
      <c r="C31" t="s">
        <v>71</v>
      </c>
      <c r="D31" t="str">
        <f t="shared" si="0"/>
        <v>théQuestion 12</v>
      </c>
      <c r="E31" s="4" t="s">
        <v>209</v>
      </c>
      <c r="F31" t="s">
        <v>143</v>
      </c>
      <c r="G31" s="1" t="str">
        <f t="shared" si="14"/>
        <v xml:space="preserve"> Les dégâts des ravageurs et des maladies sur le système de production ont-ils augmenté au cours des 5 à 10 dernières années ? non</v>
      </c>
      <c r="H31">
        <f>IF(F31='2. SAISIE DES DONNÉES'!$V$65,-1)+IF(F31='2. SAISIE DES DONNÉES'!$V$66,1)</f>
        <v>1</v>
      </c>
      <c r="I31" t="str">
        <f t="shared" si="15"/>
        <v>thénon</v>
      </c>
      <c r="J31" s="1" t="s">
        <v>213</v>
      </c>
    </row>
    <row r="32" spans="1:10" ht="60">
      <c r="A32" t="s">
        <v>206</v>
      </c>
      <c r="B32" t="s">
        <v>142</v>
      </c>
      <c r="C32" t="s">
        <v>71</v>
      </c>
      <c r="D32" t="str">
        <f t="shared" si="0"/>
        <v>les bananesQuestion 12</v>
      </c>
      <c r="E32" s="1" t="s">
        <v>214</v>
      </c>
      <c r="F32" t="s">
        <v>141</v>
      </c>
      <c r="G32" s="1" t="str">
        <f t="shared" si="14"/>
        <v xml:space="preserve"> Les dégâts des ravageurs et des maladies sur le système de production ont-ils augmenté au cours des 5 à 10 dernières années ? oui</v>
      </c>
      <c r="H32">
        <f>IF(F32='2. SAISIE DES DONNÉES'!$V$65,-1)+IF(F32='2. SAISIE DES DONNÉES'!$V$66,1)</f>
        <v>-1</v>
      </c>
      <c r="I32" t="str">
        <f t="shared" si="15"/>
        <v>les bananesoui</v>
      </c>
      <c r="J32" s="1" t="s">
        <v>215</v>
      </c>
    </row>
    <row r="33" spans="1:10" ht="60">
      <c r="A33" t="s">
        <v>206</v>
      </c>
      <c r="B33" t="s">
        <v>142</v>
      </c>
      <c r="C33" t="s">
        <v>71</v>
      </c>
      <c r="D33" t="str">
        <f t="shared" si="0"/>
        <v>les bananesQuestion 12</v>
      </c>
      <c r="E33" s="1" t="s">
        <v>214</v>
      </c>
      <c r="F33" t="s">
        <v>143</v>
      </c>
      <c r="G33" s="1" t="str">
        <f t="shared" si="14"/>
        <v xml:space="preserve"> Les dégâts des ravageurs et des maladies sur le système de production ont-ils augmenté au cours des 5 à 10 dernières années ? non</v>
      </c>
      <c r="H33">
        <f>IF(F33='2. SAISIE DES DONNÉES'!$V$65,-1)+IF(F33='2. SAISIE DES DONNÉES'!$V$66,1)</f>
        <v>1</v>
      </c>
      <c r="I33" t="str">
        <f t="shared" si="15"/>
        <v>les bananesnon</v>
      </c>
      <c r="J33" s="1" t="s">
        <v>216</v>
      </c>
    </row>
    <row r="34" spans="1:10" ht="45">
      <c r="A34" t="s">
        <v>206</v>
      </c>
      <c r="B34" t="s">
        <v>144</v>
      </c>
      <c r="C34" t="s">
        <v>72</v>
      </c>
      <c r="D34" t="str">
        <f t="shared" si="0"/>
        <v>cacaoQuestion 13</v>
      </c>
      <c r="E34" s="3" t="s">
        <v>217</v>
      </c>
      <c r="F34" t="s">
        <v>141</v>
      </c>
      <c r="G34" s="1" t="str">
        <f t="shared" si="14"/>
        <v>La productivité a-t-elle diminué au cours des dernières années (5 à 10 ans) ? oui</v>
      </c>
      <c r="H34">
        <f>IF(F34='2. SAISIE DES DONNÉES'!$V$65,-1)+IF(F34='2. SAISIE DES DONNÉES'!$V$66,1)</f>
        <v>-1</v>
      </c>
      <c r="I34" t="str">
        <f t="shared" si="15"/>
        <v>cacaooui</v>
      </c>
      <c r="J34" s="1" t="s">
        <v>218</v>
      </c>
    </row>
    <row r="35" spans="1:10" ht="45">
      <c r="A35" t="s">
        <v>206</v>
      </c>
      <c r="B35" t="s">
        <v>144</v>
      </c>
      <c r="C35" t="s">
        <v>72</v>
      </c>
      <c r="D35" t="str">
        <f t="shared" si="0"/>
        <v>cacaoQuestion 13</v>
      </c>
      <c r="E35" s="3" t="s">
        <v>217</v>
      </c>
      <c r="F35" t="s">
        <v>143</v>
      </c>
      <c r="G35" s="1" t="str">
        <f t="shared" si="14"/>
        <v>La productivité a-t-elle diminué au cours des dernières années (5 à 10 ans) ? non</v>
      </c>
      <c r="H35">
        <f>IF(F35='2. SAISIE DES DONNÉES'!$V$65,-1)+IF(F35='2. SAISIE DES DONNÉES'!$V$66,1)</f>
        <v>1</v>
      </c>
      <c r="I35" t="str">
        <f t="shared" si="15"/>
        <v>cacaonon</v>
      </c>
      <c r="J35" s="1" t="s">
        <v>219</v>
      </c>
    </row>
    <row r="36" spans="1:10" ht="45">
      <c r="A36" t="s">
        <v>206</v>
      </c>
      <c r="B36" t="s">
        <v>147</v>
      </c>
      <c r="C36" t="s">
        <v>72</v>
      </c>
      <c r="D36" t="str">
        <f t="shared" si="0"/>
        <v>caféQuestion 13</v>
      </c>
      <c r="E36" s="3" t="s">
        <v>217</v>
      </c>
      <c r="F36" t="s">
        <v>141</v>
      </c>
      <c r="G36" s="1" t="str">
        <f t="shared" si="14"/>
        <v>La productivité a-t-elle diminué au cours des dernières années (5 à 10 ans) ? oui</v>
      </c>
      <c r="H36">
        <f>IF(F36='2. SAISIE DES DONNÉES'!$V$65,-1)+IF(F36='2. SAISIE DES DONNÉES'!$V$66,1)</f>
        <v>-1</v>
      </c>
      <c r="I36" t="str">
        <f t="shared" si="15"/>
        <v>caféoui</v>
      </c>
      <c r="J36" s="1" t="s">
        <v>220</v>
      </c>
    </row>
    <row r="37" spans="1:10" ht="45">
      <c r="A37" t="s">
        <v>206</v>
      </c>
      <c r="B37" t="s">
        <v>147</v>
      </c>
      <c r="C37" t="s">
        <v>72</v>
      </c>
      <c r="D37" t="str">
        <f t="shared" si="0"/>
        <v>caféQuestion 13</v>
      </c>
      <c r="E37" s="3" t="s">
        <v>217</v>
      </c>
      <c r="F37" t="s">
        <v>143</v>
      </c>
      <c r="G37" s="1" t="str">
        <f t="shared" si="14"/>
        <v>La productivité a-t-elle diminué au cours des dernières années (5 à 10 ans) ? non</v>
      </c>
      <c r="H37">
        <f>IF(F37='2. SAISIE DES DONNÉES'!$V$65,-1)+IF(F37='2. SAISIE DES DONNÉES'!$V$66,1)</f>
        <v>1</v>
      </c>
      <c r="I37" t="str">
        <f t="shared" si="15"/>
        <v>cafénon</v>
      </c>
      <c r="J37" s="1" t="s">
        <v>220</v>
      </c>
    </row>
    <row r="38" spans="1:10" ht="45">
      <c r="A38" t="s">
        <v>206</v>
      </c>
      <c r="B38" t="s">
        <v>148</v>
      </c>
      <c r="C38" t="s">
        <v>72</v>
      </c>
      <c r="D38" t="str">
        <f t="shared" si="0"/>
        <v>théQuestion 13</v>
      </c>
      <c r="E38" s="3" t="s">
        <v>217</v>
      </c>
      <c r="F38" t="s">
        <v>141</v>
      </c>
      <c r="G38" s="1" t="str">
        <f t="shared" si="14"/>
        <v>La productivité a-t-elle diminué au cours des dernières années (5 à 10 ans) ? oui</v>
      </c>
      <c r="H38">
        <f>IF(F38='2. SAISIE DES DONNÉES'!$V$65,-1)+IF(F38='2. SAISIE DES DONNÉES'!$V$66,1)</f>
        <v>-1</v>
      </c>
      <c r="I38" t="str">
        <f t="shared" si="15"/>
        <v>théoui</v>
      </c>
      <c r="J38" s="1" t="s">
        <v>221</v>
      </c>
    </row>
    <row r="39" spans="1:10" ht="45">
      <c r="A39" t="s">
        <v>206</v>
      </c>
      <c r="B39" t="s">
        <v>148</v>
      </c>
      <c r="C39" t="s">
        <v>72</v>
      </c>
      <c r="D39" t="str">
        <f t="shared" si="0"/>
        <v>théQuestion 13</v>
      </c>
      <c r="E39" s="3" t="s">
        <v>217</v>
      </c>
      <c r="F39" t="s">
        <v>143</v>
      </c>
      <c r="G39" s="1" t="str">
        <f t="shared" si="14"/>
        <v>La productivité a-t-elle diminué au cours des dernières années (5 à 10 ans) ? non</v>
      </c>
      <c r="H39">
        <f>IF(F39='2. SAISIE DES DONNÉES'!$V$65,-1)+IF(F39='2. SAISIE DES DONNÉES'!$V$66,1)</f>
        <v>1</v>
      </c>
      <c r="I39" t="str">
        <f t="shared" si="15"/>
        <v>thénon</v>
      </c>
      <c r="J39" s="1" t="s">
        <v>222</v>
      </c>
    </row>
    <row r="40" spans="1:10" ht="45">
      <c r="A40" t="s">
        <v>206</v>
      </c>
      <c r="B40" t="s">
        <v>142</v>
      </c>
      <c r="C40" t="s">
        <v>72</v>
      </c>
      <c r="D40" t="str">
        <f t="shared" si="0"/>
        <v>les bananesQuestion 13</v>
      </c>
      <c r="E40" s="1" t="s">
        <v>217</v>
      </c>
      <c r="F40" t="s">
        <v>141</v>
      </c>
      <c r="G40" s="1" t="str">
        <f t="shared" si="14"/>
        <v>La productivité a-t-elle diminué au cours des dernières années (5 à 10 ans) ? oui</v>
      </c>
      <c r="H40">
        <f>IF(F40='2. SAISIE DES DONNÉES'!$V$65,-1)+IF(F40='2. SAISIE DES DONNÉES'!$V$66,1)</f>
        <v>-1</v>
      </c>
      <c r="I40" t="str">
        <f t="shared" si="15"/>
        <v>les bananesoui</v>
      </c>
      <c r="J40" s="1" t="s">
        <v>223</v>
      </c>
    </row>
    <row r="41" spans="1:10" ht="45">
      <c r="A41" t="s">
        <v>206</v>
      </c>
      <c r="B41" t="s">
        <v>142</v>
      </c>
      <c r="C41" t="s">
        <v>72</v>
      </c>
      <c r="D41" t="str">
        <f t="shared" si="0"/>
        <v>les bananesQuestion 13</v>
      </c>
      <c r="E41" s="1" t="s">
        <v>217</v>
      </c>
      <c r="F41" t="s">
        <v>143</v>
      </c>
      <c r="G41" s="1" t="str">
        <f t="shared" ref="G41:G65" si="16">CONCATENATE(E41,F41)</f>
        <v>La productivité a-t-elle diminué au cours des dernières années (5 à 10 ans) ? non</v>
      </c>
      <c r="H41">
        <f>IF(F41='2. SAISIE DES DONNÉES'!$V$65,-1)+IF(F41='2. SAISIE DES DONNÉES'!$V$66,1)</f>
        <v>1</v>
      </c>
      <c r="I41" t="str">
        <f t="shared" ref="I41:I65" si="17">CONCATENATE(B41,F41)</f>
        <v>les bananesnon</v>
      </c>
      <c r="J41"/>
    </row>
    <row r="42" spans="1:10" ht="120">
      <c r="A42" t="s">
        <v>224</v>
      </c>
      <c r="B42" t="s">
        <v>144</v>
      </c>
      <c r="C42" t="s">
        <v>78</v>
      </c>
      <c r="D42" t="str">
        <f t="shared" si="0"/>
        <v>cacaoQuestion 14</v>
      </c>
      <c r="E42" s="3" t="s">
        <v>225</v>
      </c>
      <c r="F42" t="s">
        <v>166</v>
      </c>
      <c r="G42" s="1" t="str">
        <f t="shared" si="16"/>
        <v>Existe-t-il une carte (éventuellement un croquis) de l’exploitation qui identifie les zones de production, les aires de conservation, les écosystèmes aquatiques et les zones potentiellement vulnérables (zones inondables, exposées à l’érosion, etc.) ?Atténuation 1</v>
      </c>
      <c r="H42">
        <f>IF(F42='2. SAISIE DES DONNÉES'!$V$65,-1)+IF(F42='2. SAISIE DES DONNÉES'!$V$66,1)</f>
        <v>0</v>
      </c>
      <c r="I42" t="str">
        <f t="shared" si="17"/>
        <v>cacaoAtténuation 1</v>
      </c>
      <c r="J42" s="1" t="s">
        <v>226</v>
      </c>
    </row>
    <row r="43" spans="1:10" ht="120">
      <c r="A43" t="s">
        <v>224</v>
      </c>
      <c r="B43" t="s">
        <v>147</v>
      </c>
      <c r="C43" t="s">
        <v>78</v>
      </c>
      <c r="D43" t="str">
        <f t="shared" si="0"/>
        <v>caféQuestion 14</v>
      </c>
      <c r="E43" s="3" t="s">
        <v>225</v>
      </c>
      <c r="F43" t="s">
        <v>166</v>
      </c>
      <c r="G43" s="1" t="str">
        <f t="shared" si="16"/>
        <v>Existe-t-il une carte (éventuellement un croquis) de l’exploitation qui identifie les zones de production, les aires de conservation, les écosystèmes aquatiques et les zones potentiellement vulnérables (zones inondables, exposées à l’érosion, etc.) ?Atténuation 1</v>
      </c>
      <c r="H43">
        <f>IF(F43='2. SAISIE DES DONNÉES'!$V$65,-1)+IF(F43='2. SAISIE DES DONNÉES'!$V$66,1)</f>
        <v>0</v>
      </c>
      <c r="I43" t="str">
        <f t="shared" si="17"/>
        <v>caféAtténuation 1</v>
      </c>
      <c r="J43" s="1" t="s">
        <v>227</v>
      </c>
    </row>
    <row r="44" spans="1:10" ht="120">
      <c r="A44" t="s">
        <v>224</v>
      </c>
      <c r="B44" t="s">
        <v>148</v>
      </c>
      <c r="C44" t="s">
        <v>78</v>
      </c>
      <c r="D44" t="str">
        <f t="shared" si="0"/>
        <v>théQuestion 14</v>
      </c>
      <c r="E44" s="56" t="s">
        <v>225</v>
      </c>
      <c r="F44" t="s">
        <v>166</v>
      </c>
      <c r="G44" s="1" t="str">
        <f t="shared" si="16"/>
        <v>Existe-t-il une carte (éventuellement un croquis) de l’exploitation qui identifie les zones de production, les aires de conservation, les écosystèmes aquatiques et les zones potentiellement vulnérables (zones inondables, exposées à l’érosion, etc.) ?Atténuation 1</v>
      </c>
      <c r="H44">
        <f>IF(F44='2. SAISIE DES DONNÉES'!$V$65,-1)+IF(F44='2. SAISIE DES DONNÉES'!$V$66,1)</f>
        <v>0</v>
      </c>
      <c r="I44" t="str">
        <f t="shared" si="17"/>
        <v>théAtténuation 1</v>
      </c>
      <c r="J44" s="1" t="s">
        <v>227</v>
      </c>
    </row>
    <row r="45" spans="1:10" ht="120">
      <c r="A45" t="s">
        <v>224</v>
      </c>
      <c r="B45" t="s">
        <v>142</v>
      </c>
      <c r="C45" t="s">
        <v>78</v>
      </c>
      <c r="D45" t="str">
        <f t="shared" si="0"/>
        <v>les bananesQuestion 14</v>
      </c>
      <c r="E45" s="1" t="s">
        <v>225</v>
      </c>
      <c r="F45" t="s">
        <v>166</v>
      </c>
      <c r="G45" s="1" t="str">
        <f t="shared" si="16"/>
        <v>Existe-t-il une carte (éventuellement un croquis) de l’exploitation qui identifie les zones de production, les aires de conservation, les écosystèmes aquatiques et les zones potentiellement vulnérables (zones inondables, exposées à l’érosion, etc.) ?Atténuation 1</v>
      </c>
      <c r="H45">
        <f>IF(F45='2. SAISIE DES DONNÉES'!$V$65,-1)+IF(F45='2. SAISIE DES DONNÉES'!$V$66,1)</f>
        <v>0</v>
      </c>
      <c r="I45" t="str">
        <f t="shared" si="17"/>
        <v>les bananesAtténuation 1</v>
      </c>
      <c r="J45" s="1" t="s">
        <v>228</v>
      </c>
    </row>
    <row r="46" spans="1:10" ht="60">
      <c r="A46" t="s">
        <v>224</v>
      </c>
      <c r="B46" t="s">
        <v>144</v>
      </c>
      <c r="C46" t="s">
        <v>81</v>
      </c>
      <c r="D46" t="str">
        <f t="shared" si="0"/>
        <v>cacaoQuestion 15</v>
      </c>
      <c r="E46" s="3" t="s">
        <v>229</v>
      </c>
      <c r="F46" t="s">
        <v>170</v>
      </c>
      <c r="G46" s="1" t="str">
        <f t="shared" si="16"/>
        <v>Les risques climatiques futurs ont-ils été identifiés sur la base des niveaux de vulnérabilité ?Atténuation 2</v>
      </c>
      <c r="H46">
        <f>IF(F46='2. SAISIE DES DONNÉES'!$V$65,-1)+IF(F46='2. SAISIE DES DONNÉES'!$V$66,1)</f>
        <v>0</v>
      </c>
      <c r="I46" t="str">
        <f t="shared" si="17"/>
        <v>cacaoAtténuation 2</v>
      </c>
      <c r="J46" s="1" t="s">
        <v>211</v>
      </c>
    </row>
    <row r="47" spans="1:10" ht="60">
      <c r="A47" t="s">
        <v>224</v>
      </c>
      <c r="B47" t="s">
        <v>147</v>
      </c>
      <c r="C47" t="s">
        <v>81</v>
      </c>
      <c r="D47" t="str">
        <f t="shared" si="0"/>
        <v>caféQuestion 15</v>
      </c>
      <c r="E47" s="3" t="s">
        <v>229</v>
      </c>
      <c r="F47" t="s">
        <v>170</v>
      </c>
      <c r="G47" s="1" t="str">
        <f t="shared" si="16"/>
        <v>Les risques climatiques futurs ont-ils été identifiés sur la base des niveaux de vulnérabilité ?Atténuation 2</v>
      </c>
      <c r="H47">
        <f>IF(F47='2. SAISIE DES DONNÉES'!$V$65,-1)+IF(F47='2. SAISIE DES DONNÉES'!$V$66,1)</f>
        <v>0</v>
      </c>
      <c r="I47" t="str">
        <f t="shared" si="17"/>
        <v>caféAtténuation 2</v>
      </c>
      <c r="J47" s="1" t="s">
        <v>211</v>
      </c>
    </row>
    <row r="48" spans="1:10" ht="60">
      <c r="A48" t="s">
        <v>224</v>
      </c>
      <c r="B48" t="s">
        <v>148</v>
      </c>
      <c r="C48" t="s">
        <v>81</v>
      </c>
      <c r="D48" t="str">
        <f t="shared" si="0"/>
        <v>théQuestion 15</v>
      </c>
      <c r="E48" s="56" t="s">
        <v>229</v>
      </c>
      <c r="F48" t="s">
        <v>170</v>
      </c>
      <c r="G48" s="1" t="str">
        <f t="shared" si="16"/>
        <v>Les risques climatiques futurs ont-ils été identifiés sur la base des niveaux de vulnérabilité ?Atténuation 2</v>
      </c>
      <c r="H48">
        <f>IF(F48='2. SAISIE DES DONNÉES'!$V$65,-1)+IF(F48='2. SAISIE DES DONNÉES'!$V$66,1)</f>
        <v>0</v>
      </c>
      <c r="I48" t="str">
        <f t="shared" si="17"/>
        <v>théAtténuation 2</v>
      </c>
      <c r="J48" s="1" t="s">
        <v>211</v>
      </c>
    </row>
    <row r="49" spans="1:10" ht="60">
      <c r="A49" t="s">
        <v>224</v>
      </c>
      <c r="B49" t="s">
        <v>142</v>
      </c>
      <c r="C49" t="s">
        <v>81</v>
      </c>
      <c r="D49" t="str">
        <f t="shared" si="0"/>
        <v>les bananesQuestion 15</v>
      </c>
      <c r="E49" s="1" t="s">
        <v>229</v>
      </c>
      <c r="F49" t="s">
        <v>170</v>
      </c>
      <c r="G49" s="1" t="str">
        <f t="shared" si="16"/>
        <v>Les risques climatiques futurs ont-ils été identifiés sur la base des niveaux de vulnérabilité ?Atténuation 2</v>
      </c>
      <c r="H49">
        <f>IF(F49='2. SAISIE DES DONNÉES'!$V$65,-1)+IF(F49='2. SAISIE DES DONNÉES'!$V$66,1)</f>
        <v>0</v>
      </c>
      <c r="I49" t="str">
        <f t="shared" si="17"/>
        <v>les bananesAtténuation 2</v>
      </c>
      <c r="J49" s="1" t="s">
        <v>230</v>
      </c>
    </row>
    <row r="50" spans="1:10" ht="60">
      <c r="A50" t="s">
        <v>224</v>
      </c>
      <c r="B50" t="s">
        <v>144</v>
      </c>
      <c r="C50" t="s">
        <v>84</v>
      </c>
      <c r="D50" t="str">
        <f t="shared" si="0"/>
        <v>cacaoQuestion 16</v>
      </c>
      <c r="E50" s="3" t="s">
        <v>231</v>
      </c>
      <c r="F50" t="s">
        <v>175</v>
      </c>
      <c r="G50" s="1" t="str">
        <f t="shared" si="16"/>
        <v>Les pratiques agricoles ont-elles été associées en vue de compenser les vulnérabilités climatiques identifiées ?Atténuation 3</v>
      </c>
      <c r="H50">
        <f>IF(F50='2. SAISIE DES DONNÉES'!$V$65,-1)+IF(F50='2. SAISIE DES DONNÉES'!$V$66,1)</f>
        <v>0</v>
      </c>
      <c r="I50" t="str">
        <f t="shared" si="17"/>
        <v>cacaoAtténuation 3</v>
      </c>
      <c r="J50" s="1" t="s">
        <v>212</v>
      </c>
    </row>
    <row r="51" spans="1:10" ht="60">
      <c r="A51" t="s">
        <v>224</v>
      </c>
      <c r="B51" t="s">
        <v>147</v>
      </c>
      <c r="C51" t="s">
        <v>84</v>
      </c>
      <c r="D51" t="str">
        <f t="shared" si="0"/>
        <v>caféQuestion 16</v>
      </c>
      <c r="E51" s="3" t="s">
        <v>231</v>
      </c>
      <c r="F51" t="s">
        <v>175</v>
      </c>
      <c r="G51" s="1" t="str">
        <f t="shared" si="16"/>
        <v>Les pratiques agricoles ont-elles été associées en vue de compenser les vulnérabilités climatiques identifiées ?Atténuation 3</v>
      </c>
      <c r="H51">
        <f>IF(F51='2. SAISIE DES DONNÉES'!$V$65,-1)+IF(F51='2. SAISIE DES DONNÉES'!$V$66,1)</f>
        <v>0</v>
      </c>
      <c r="I51" t="str">
        <f t="shared" si="17"/>
        <v>caféAtténuation 3</v>
      </c>
      <c r="J51" s="1" t="s">
        <v>212</v>
      </c>
    </row>
    <row r="52" spans="1:10" ht="60.75" thickBot="1">
      <c r="A52" t="s">
        <v>224</v>
      </c>
      <c r="B52" t="s">
        <v>148</v>
      </c>
      <c r="C52" t="s">
        <v>84</v>
      </c>
      <c r="D52" t="str">
        <f t="shared" si="0"/>
        <v>théQuestion 16</v>
      </c>
      <c r="E52" s="3" t="s">
        <v>231</v>
      </c>
      <c r="F52" t="s">
        <v>175</v>
      </c>
      <c r="G52" s="1" t="str">
        <f t="shared" si="16"/>
        <v>Les pratiques agricoles ont-elles été associées en vue de compenser les vulnérabilités climatiques identifiées ?Atténuation 3</v>
      </c>
      <c r="H52">
        <f>IF(F52='2. SAISIE DES DONNÉES'!$V$65,-1)+IF(F52='2. SAISIE DES DONNÉES'!$V$66,1)</f>
        <v>0</v>
      </c>
      <c r="I52" t="str">
        <f t="shared" si="17"/>
        <v>théAtténuation 3</v>
      </c>
      <c r="J52" s="1" t="s">
        <v>212</v>
      </c>
    </row>
    <row r="53" spans="1:10" ht="60.75" thickBot="1">
      <c r="A53" t="s">
        <v>224</v>
      </c>
      <c r="B53" t="s">
        <v>142</v>
      </c>
      <c r="C53" t="s">
        <v>84</v>
      </c>
      <c r="D53" t="str">
        <f t="shared" si="0"/>
        <v>les bananesQuestion 16</v>
      </c>
      <c r="E53" s="106" t="s">
        <v>231</v>
      </c>
      <c r="F53" t="s">
        <v>175</v>
      </c>
      <c r="G53" s="1" t="str">
        <f t="shared" si="16"/>
        <v>Les pratiques agricoles ont-elles été associées en vue de compenser les vulnérabilités climatiques identifiées ?Atténuation 3</v>
      </c>
      <c r="H53">
        <f>IF(F53='2. SAISIE DES DONNÉES'!$V$65,-1)+IF(F53='2. SAISIE DES DONNÉES'!$V$66,1)</f>
        <v>0</v>
      </c>
      <c r="I53" t="str">
        <f t="shared" si="17"/>
        <v>les bananesAtténuation 3</v>
      </c>
      <c r="J53" s="1" t="s">
        <v>232</v>
      </c>
    </row>
    <row r="54" spans="1:10" ht="60">
      <c r="A54" t="s">
        <v>224</v>
      </c>
      <c r="B54" t="s">
        <v>144</v>
      </c>
      <c r="C54" t="s">
        <v>87</v>
      </c>
      <c r="D54" t="str">
        <f t="shared" si="0"/>
        <v>cacaoQuestion 17</v>
      </c>
      <c r="E54" s="5" t="s">
        <v>233</v>
      </c>
      <c r="F54" t="s">
        <v>179</v>
      </c>
      <c r="G54" s="1" t="str">
        <f t="shared" si="16"/>
        <v>Existe-t-il un plan de gestion des cultures ou de l’exploitation qui tient compte des vulnérabilités climatiques actuelles et futures ?Atténuation 4</v>
      </c>
      <c r="H54">
        <f>IF(F54='2. SAISIE DES DONNÉES'!$V$65,-1)+IF(F54='2. SAISIE DES DONNÉES'!$V$66,1)</f>
        <v>0</v>
      </c>
      <c r="I54" t="str">
        <f t="shared" si="17"/>
        <v>cacaoAtténuation 4</v>
      </c>
      <c r="J54" s="1" t="s">
        <v>213</v>
      </c>
    </row>
    <row r="55" spans="1:10" ht="60">
      <c r="A55" t="s">
        <v>224</v>
      </c>
      <c r="B55" t="s">
        <v>147</v>
      </c>
      <c r="C55" t="s">
        <v>87</v>
      </c>
      <c r="D55" t="str">
        <f t="shared" si="0"/>
        <v>caféQuestion 17</v>
      </c>
      <c r="E55" s="56" t="s">
        <v>233</v>
      </c>
      <c r="F55" t="s">
        <v>179</v>
      </c>
      <c r="G55" s="1" t="str">
        <f t="shared" si="16"/>
        <v>Existe-t-il un plan de gestion des cultures ou de l’exploitation qui tient compte des vulnérabilités climatiques actuelles et futures ?Atténuation 4</v>
      </c>
      <c r="H55">
        <f>IF(F55='2. SAISIE DES DONNÉES'!$V$65,-1)+IF(F55='2. SAISIE DES DONNÉES'!$V$66,1)</f>
        <v>0</v>
      </c>
      <c r="I55" t="str">
        <f t="shared" si="17"/>
        <v>caféAtténuation 4</v>
      </c>
      <c r="J55" s="1" t="s">
        <v>213</v>
      </c>
    </row>
    <row r="56" spans="1:10" ht="60">
      <c r="A56" t="s">
        <v>224</v>
      </c>
      <c r="B56" t="s">
        <v>148</v>
      </c>
      <c r="C56" t="s">
        <v>87</v>
      </c>
      <c r="D56" t="str">
        <f t="shared" si="0"/>
        <v>théQuestion 17</v>
      </c>
      <c r="E56" s="1" t="s">
        <v>233</v>
      </c>
      <c r="F56" t="s">
        <v>179</v>
      </c>
      <c r="G56" s="1" t="str">
        <f t="shared" si="16"/>
        <v>Existe-t-il un plan de gestion des cultures ou de l’exploitation qui tient compte des vulnérabilités climatiques actuelles et futures ?Atténuation 4</v>
      </c>
      <c r="H56">
        <f>IF(F56='2. SAISIE DES DONNÉES'!$V$65,-1)+IF(F56='2. SAISIE DES DONNÉES'!$V$66,1)</f>
        <v>0</v>
      </c>
      <c r="I56" t="str">
        <f t="shared" si="17"/>
        <v>théAtténuation 4</v>
      </c>
      <c r="J56" s="1" t="s">
        <v>213</v>
      </c>
    </row>
    <row r="57" spans="1:10" ht="60">
      <c r="A57" t="s">
        <v>224</v>
      </c>
      <c r="B57" t="s">
        <v>142</v>
      </c>
      <c r="C57" t="s">
        <v>87</v>
      </c>
      <c r="D57" t="str">
        <f t="shared" si="0"/>
        <v>les bananesQuestion 17</v>
      </c>
      <c r="E57" s="1" t="s">
        <v>233</v>
      </c>
      <c r="F57" t="s">
        <v>179</v>
      </c>
      <c r="G57" s="1" t="str">
        <f t="shared" si="16"/>
        <v>Existe-t-il un plan de gestion des cultures ou de l’exploitation qui tient compte des vulnérabilités climatiques actuelles et futures ?Atténuation 4</v>
      </c>
      <c r="H57">
        <f>IF(F57='2. SAISIE DES DONNÉES'!$V$65,-1)+IF(F57='2. SAISIE DES DONNÉES'!$V$66,1)</f>
        <v>0</v>
      </c>
      <c r="I57" t="str">
        <f t="shared" si="17"/>
        <v>les bananesAtténuation 4</v>
      </c>
      <c r="J57" s="1" t="s">
        <v>234</v>
      </c>
    </row>
    <row r="58" spans="1:10" ht="45">
      <c r="A58" t="s">
        <v>224</v>
      </c>
      <c r="B58" t="s">
        <v>144</v>
      </c>
      <c r="C58" t="s">
        <v>90</v>
      </c>
      <c r="D58" t="str">
        <f t="shared" si="0"/>
        <v>cacaoQuestion 18</v>
      </c>
      <c r="E58" s="3" t="s">
        <v>235</v>
      </c>
      <c r="F58" t="s">
        <v>182</v>
      </c>
      <c r="G58" s="1" t="str">
        <f t="shared" si="16"/>
        <v>Existe-t-il une stratégies de diversification des revenus ? (Horizontale / verticale)Atténuation 5</v>
      </c>
      <c r="H58">
        <f>IF(F58='2. SAISIE DES DONNÉES'!$V$65,-1)+IF(F58='2. SAISIE DES DONNÉES'!$V$66,1)</f>
        <v>0</v>
      </c>
      <c r="I58" t="str">
        <f t="shared" si="17"/>
        <v>cacaoAtténuation 5</v>
      </c>
      <c r="J58" s="1" t="s">
        <v>215</v>
      </c>
    </row>
    <row r="59" spans="1:10" ht="45">
      <c r="A59" t="s">
        <v>224</v>
      </c>
      <c r="B59" t="s">
        <v>147</v>
      </c>
      <c r="C59" t="s">
        <v>90</v>
      </c>
      <c r="D59" t="str">
        <f t="shared" si="0"/>
        <v>caféQuestion 18</v>
      </c>
      <c r="E59" s="56" t="s">
        <v>235</v>
      </c>
      <c r="F59" t="s">
        <v>182</v>
      </c>
      <c r="G59" s="1" t="str">
        <f t="shared" si="16"/>
        <v>Existe-t-il une stratégies de diversification des revenus ? (Horizontale / verticale)Atténuation 5</v>
      </c>
      <c r="H59">
        <f>IF(F59='2. SAISIE DES DONNÉES'!$V$65,-1)+IF(F59='2. SAISIE DES DONNÉES'!$V$66,1)</f>
        <v>0</v>
      </c>
      <c r="I59" t="str">
        <f t="shared" si="17"/>
        <v>caféAtténuation 5</v>
      </c>
      <c r="J59" s="1" t="s">
        <v>215</v>
      </c>
    </row>
    <row r="60" spans="1:10" ht="45">
      <c r="A60" t="s">
        <v>224</v>
      </c>
      <c r="B60" t="s">
        <v>148</v>
      </c>
      <c r="C60" t="s">
        <v>90</v>
      </c>
      <c r="D60" t="str">
        <f t="shared" si="0"/>
        <v>théQuestion 18</v>
      </c>
      <c r="E60" s="1" t="s">
        <v>235</v>
      </c>
      <c r="F60" t="s">
        <v>182</v>
      </c>
      <c r="G60" s="1" t="str">
        <f t="shared" si="16"/>
        <v>Existe-t-il une stratégies de diversification des revenus ? (Horizontale / verticale)Atténuation 5</v>
      </c>
      <c r="H60">
        <f>IF(F60='2. SAISIE DES DONNÉES'!$V$65,-1)+IF(F60='2. SAISIE DES DONNÉES'!$V$66,1)</f>
        <v>0</v>
      </c>
      <c r="I60" t="str">
        <f t="shared" si="17"/>
        <v>théAtténuation 5</v>
      </c>
      <c r="J60" s="1" t="s">
        <v>215</v>
      </c>
    </row>
    <row r="61" spans="1:10" ht="45">
      <c r="A61" t="s">
        <v>224</v>
      </c>
      <c r="B61" t="s">
        <v>142</v>
      </c>
      <c r="C61" t="s">
        <v>90</v>
      </c>
      <c r="D61" t="str">
        <f t="shared" si="0"/>
        <v>les bananesQuestion 18</v>
      </c>
      <c r="E61" s="1" t="s">
        <v>235</v>
      </c>
      <c r="F61" t="s">
        <v>182</v>
      </c>
      <c r="G61" s="1" t="str">
        <f t="shared" si="16"/>
        <v>Existe-t-il une stratégies de diversification des revenus ? (Horizontale / verticale)Atténuation 5</v>
      </c>
      <c r="H61">
        <f>IF(F61='2. SAISIE DES DONNÉES'!$V$65,-1)+IF(F61='2. SAISIE DES DONNÉES'!$V$66,1)</f>
        <v>0</v>
      </c>
      <c r="I61" t="str">
        <f t="shared" si="17"/>
        <v>les bananesAtténuation 5</v>
      </c>
      <c r="J61" s="1" t="s">
        <v>236</v>
      </c>
    </row>
    <row r="62" spans="1:10" ht="60">
      <c r="A62" t="s">
        <v>224</v>
      </c>
      <c r="B62" t="s">
        <v>144</v>
      </c>
      <c r="C62" t="s">
        <v>93</v>
      </c>
      <c r="D62" t="str">
        <f t="shared" si="0"/>
        <v>cacaoQuestion 19</v>
      </c>
      <c r="E62" s="3" t="s">
        <v>237</v>
      </c>
      <c r="F62" t="s">
        <v>185</v>
      </c>
      <c r="G62" s="1" t="str">
        <f t="shared" si="16"/>
        <v>Existe-t-il un plan de gestion des enregistrements de la production, des intrants agricoles, des données météorologiques, etc. ?Atténuation 6</v>
      </c>
      <c r="H62">
        <f>IF(F62='2. SAISIE DES DONNÉES'!$V$65,-1)+IF(F62='2. SAISIE DES DONNÉES'!$V$66,1)</f>
        <v>0</v>
      </c>
      <c r="I62" t="str">
        <f t="shared" si="17"/>
        <v>cacaoAtténuation 6</v>
      </c>
      <c r="J62" s="1" t="s">
        <v>216</v>
      </c>
    </row>
    <row r="63" spans="1:10" ht="60">
      <c r="A63" t="s">
        <v>224</v>
      </c>
      <c r="B63" t="s">
        <v>147</v>
      </c>
      <c r="C63" t="s">
        <v>93</v>
      </c>
      <c r="D63" t="str">
        <f t="shared" si="0"/>
        <v>caféQuestion 19</v>
      </c>
      <c r="E63" s="3" t="s">
        <v>237</v>
      </c>
      <c r="F63" t="s">
        <v>185</v>
      </c>
      <c r="G63" s="1" t="str">
        <f t="shared" si="16"/>
        <v>Existe-t-il un plan de gestion des enregistrements de la production, des intrants agricoles, des données météorologiques, etc. ?Atténuation 6</v>
      </c>
      <c r="H63">
        <f>IF(F63='2. SAISIE DES DONNÉES'!$V$65,-1)+IF(F63='2. SAISIE DES DONNÉES'!$V$66,1)</f>
        <v>0</v>
      </c>
      <c r="I63" t="str">
        <f t="shared" si="17"/>
        <v>caféAtténuation 6</v>
      </c>
      <c r="J63" s="1" t="s">
        <v>238</v>
      </c>
    </row>
    <row r="64" spans="1:10" ht="60">
      <c r="A64" t="s">
        <v>224</v>
      </c>
      <c r="B64" t="s">
        <v>148</v>
      </c>
      <c r="C64" t="s">
        <v>93</v>
      </c>
      <c r="D64" t="str">
        <f t="shared" si="0"/>
        <v>théQuestion 19</v>
      </c>
      <c r="E64" s="56" t="s">
        <v>237</v>
      </c>
      <c r="F64" t="s">
        <v>185</v>
      </c>
      <c r="G64" s="1" t="str">
        <f t="shared" si="16"/>
        <v>Existe-t-il un plan de gestion des enregistrements de la production, des intrants agricoles, des données météorologiques, etc. ?Atténuation 6</v>
      </c>
      <c r="H64">
        <f>IF(F64='2. SAISIE DES DONNÉES'!$V$65,-1)+IF(F64='2. SAISIE DES DONNÉES'!$V$66,1)</f>
        <v>0</v>
      </c>
      <c r="I64" t="str">
        <f t="shared" si="17"/>
        <v>théAtténuation 6</v>
      </c>
      <c r="J64" s="1" t="s">
        <v>239</v>
      </c>
    </row>
    <row r="65" spans="1:10" ht="60">
      <c r="A65" t="s">
        <v>224</v>
      </c>
      <c r="B65" t="s">
        <v>142</v>
      </c>
      <c r="C65" t="s">
        <v>93</v>
      </c>
      <c r="D65" t="str">
        <f t="shared" si="0"/>
        <v>les bananesQuestion 19</v>
      </c>
      <c r="E65" s="1" t="s">
        <v>237</v>
      </c>
      <c r="F65" t="s">
        <v>185</v>
      </c>
      <c r="G65" s="1" t="str">
        <f t="shared" si="16"/>
        <v>Existe-t-il un plan de gestion des enregistrements de la production, des intrants agricoles, des données météorologiques, etc. ?Atténuation 6</v>
      </c>
      <c r="H65">
        <f>IF(F65='2. SAISIE DES DONNÉES'!$V$65,-1)+IF(F65='2. SAISIE DES DONNÉES'!$V$66,1)</f>
        <v>0</v>
      </c>
      <c r="I65" t="str">
        <f t="shared" si="17"/>
        <v>les bananesAtténuation 6</v>
      </c>
      <c r="J65" s="1" t="s">
        <v>240</v>
      </c>
    </row>
    <row r="66" spans="1:10" ht="45">
      <c r="A66" t="s">
        <v>204</v>
      </c>
      <c r="B66" t="s">
        <v>144</v>
      </c>
      <c r="C66" t="s">
        <v>57</v>
      </c>
      <c r="D66" t="str">
        <f t="shared" si="0"/>
        <v>cacaoQuestion 2</v>
      </c>
      <c r="E66" s="3" t="s">
        <v>241</v>
      </c>
      <c r="F66" t="s">
        <v>141</v>
      </c>
      <c r="G66" s="1" t="str">
        <f t="shared" ref="G66:G67" si="18">CONCATENATE(E66,F66)</f>
        <v>Les pluies ont-elles été irrégulières au cours des dernières années (5 à 10 ans) ? oui</v>
      </c>
      <c r="H66">
        <f>IF(F66='2. SAISIE DES DONNÉES'!$V$65,-1)+IF(F66='2. SAISIE DES DONNÉES'!$V$66,1)</f>
        <v>-1</v>
      </c>
      <c r="I66" t="str">
        <f t="shared" ref="I66:I67" si="19">CONCATENATE(B66,F66)</f>
        <v>cacaooui</v>
      </c>
      <c r="J66"/>
    </row>
    <row r="67" spans="1:10" ht="45">
      <c r="A67" t="s">
        <v>204</v>
      </c>
      <c r="B67" t="s">
        <v>144</v>
      </c>
      <c r="C67" t="s">
        <v>57</v>
      </c>
      <c r="D67" t="str">
        <f t="shared" ref="D67:D130" si="20">CONCATENATE(B67,C67)</f>
        <v>cacaoQuestion 2</v>
      </c>
      <c r="E67" s="3" t="s">
        <v>241</v>
      </c>
      <c r="F67" t="s">
        <v>143</v>
      </c>
      <c r="G67" s="1" t="str">
        <f t="shared" si="18"/>
        <v>Les pluies ont-elles été irrégulières au cours des dernières années (5 à 10 ans) ? non</v>
      </c>
      <c r="H67">
        <f>IF(F67='2. SAISIE DES DONNÉES'!$V$65,-1)+IF(F67='2. SAISIE DES DONNÉES'!$V$66,1)</f>
        <v>1</v>
      </c>
      <c r="I67" t="str">
        <f t="shared" si="19"/>
        <v>cacaonon</v>
      </c>
      <c r="J67" s="1" t="s">
        <v>210</v>
      </c>
    </row>
    <row r="68" spans="1:10" ht="60">
      <c r="A68" t="s">
        <v>204</v>
      </c>
      <c r="B68" t="s">
        <v>147</v>
      </c>
      <c r="C68" t="s">
        <v>57</v>
      </c>
      <c r="D68" t="str">
        <f t="shared" si="20"/>
        <v>caféQuestion 2</v>
      </c>
      <c r="E68" s="3" t="s">
        <v>241</v>
      </c>
      <c r="F68" t="s">
        <v>141</v>
      </c>
      <c r="G68" s="1" t="str">
        <f t="shared" ref="G68:G79" si="21">CONCATENATE(E68,F68)</f>
        <v>Les pluies ont-elles été irrégulières au cours des dernières années (5 à 10 ans) ? oui</v>
      </c>
      <c r="H68">
        <f>IF(F68='2. SAISIE DES DONNÉES'!$V$65,-1)+IF(F68='2. SAISIE DES DONNÉES'!$V$66,1)</f>
        <v>-1</v>
      </c>
      <c r="I68" t="str">
        <f t="shared" ref="I68:I79" si="22">CONCATENATE(B68,F68)</f>
        <v>caféoui</v>
      </c>
      <c r="J68" s="1" t="s">
        <v>211</v>
      </c>
    </row>
    <row r="69" spans="1:10" ht="45">
      <c r="A69" t="s">
        <v>204</v>
      </c>
      <c r="B69" t="s">
        <v>147</v>
      </c>
      <c r="C69" t="s">
        <v>57</v>
      </c>
      <c r="D69" t="str">
        <f t="shared" si="20"/>
        <v>caféQuestion 2</v>
      </c>
      <c r="E69" s="3" t="s">
        <v>241</v>
      </c>
      <c r="F69" t="s">
        <v>143</v>
      </c>
      <c r="G69" s="1" t="str">
        <f t="shared" si="21"/>
        <v>Les pluies ont-elles été irrégulières au cours des dernières années (5 à 10 ans) ? non</v>
      </c>
      <c r="H69">
        <f>IF(F69='2. SAISIE DES DONNÉES'!$V$65,-1)+IF(F69='2. SAISIE DES DONNÉES'!$V$66,1)</f>
        <v>1</v>
      </c>
      <c r="I69" t="str">
        <f t="shared" si="22"/>
        <v>cafénon</v>
      </c>
      <c r="J69" s="1" t="s">
        <v>212</v>
      </c>
    </row>
    <row r="70" spans="1:10" ht="60">
      <c r="A70" t="s">
        <v>204</v>
      </c>
      <c r="B70" t="s">
        <v>148</v>
      </c>
      <c r="C70" t="s">
        <v>57</v>
      </c>
      <c r="D70" t="str">
        <f t="shared" si="20"/>
        <v>théQuestion 2</v>
      </c>
      <c r="E70" s="3" t="s">
        <v>241</v>
      </c>
      <c r="F70" t="s">
        <v>141</v>
      </c>
      <c r="G70" s="1" t="str">
        <f t="shared" si="21"/>
        <v>Les pluies ont-elles été irrégulières au cours des dernières années (5 à 10 ans) ? oui</v>
      </c>
      <c r="H70">
        <f>IF(F70='2. SAISIE DES DONNÉES'!$V$65,-1)+IF(F70='2. SAISIE DES DONNÉES'!$V$66,1)</f>
        <v>-1</v>
      </c>
      <c r="I70" t="str">
        <f t="shared" si="22"/>
        <v>théoui</v>
      </c>
      <c r="J70" s="1" t="s">
        <v>213</v>
      </c>
    </row>
    <row r="71" spans="1:10" ht="45">
      <c r="A71" t="s">
        <v>204</v>
      </c>
      <c r="B71" t="s">
        <v>148</v>
      </c>
      <c r="C71" t="s">
        <v>57</v>
      </c>
      <c r="D71" t="str">
        <f t="shared" si="20"/>
        <v>théQuestion 2</v>
      </c>
      <c r="E71" s="3" t="s">
        <v>241</v>
      </c>
      <c r="F71" t="s">
        <v>143</v>
      </c>
      <c r="G71" s="1" t="str">
        <f t="shared" si="21"/>
        <v>Les pluies ont-elles été irrégulières au cours des dernières années (5 à 10 ans) ? non</v>
      </c>
      <c r="H71">
        <f>IF(F71='2. SAISIE DES DONNÉES'!$V$65,-1)+IF(F71='2. SAISIE DES DONNÉES'!$V$66,1)</f>
        <v>1</v>
      </c>
      <c r="I71" t="str">
        <f t="shared" si="22"/>
        <v>thénon</v>
      </c>
      <c r="J71" s="1" t="s">
        <v>215</v>
      </c>
    </row>
    <row r="72" spans="1:10" ht="45">
      <c r="A72" t="s">
        <v>204</v>
      </c>
      <c r="B72" t="s">
        <v>142</v>
      </c>
      <c r="C72" t="s">
        <v>57</v>
      </c>
      <c r="D72" t="str">
        <f t="shared" si="20"/>
        <v>les bananesQuestion 2</v>
      </c>
      <c r="E72" s="1" t="s">
        <v>241</v>
      </c>
      <c r="F72" t="s">
        <v>141</v>
      </c>
      <c r="G72" s="1" t="str">
        <f t="shared" si="21"/>
        <v>Les pluies ont-elles été irrégulières au cours des dernières années (5 à 10 ans) ? oui</v>
      </c>
      <c r="H72">
        <f>IF(F72='2. SAISIE DES DONNÉES'!$V$65,-1)+IF(F72='2. SAISIE DES DONNÉES'!$V$66,1)</f>
        <v>-1</v>
      </c>
      <c r="I72" t="str">
        <f t="shared" si="22"/>
        <v>les bananesoui</v>
      </c>
      <c r="J72" s="1" t="s">
        <v>238</v>
      </c>
    </row>
    <row r="73" spans="1:10" ht="45">
      <c r="A73" t="s">
        <v>204</v>
      </c>
      <c r="B73" t="s">
        <v>142</v>
      </c>
      <c r="C73" t="s">
        <v>57</v>
      </c>
      <c r="D73" t="str">
        <f t="shared" si="20"/>
        <v>les bananesQuestion 2</v>
      </c>
      <c r="E73" s="1" t="s">
        <v>241</v>
      </c>
      <c r="F73" t="s">
        <v>143</v>
      </c>
      <c r="G73" s="1" t="str">
        <f t="shared" si="21"/>
        <v>Les pluies ont-elles été irrégulières au cours des dernières années (5 à 10 ans) ? non</v>
      </c>
      <c r="H73">
        <f>IF(F73='2. SAISIE DES DONNÉES'!$V$65,-1)+IF(F73='2. SAISIE DES DONNÉES'!$V$66,1)</f>
        <v>1</v>
      </c>
      <c r="I73" t="str">
        <f t="shared" si="22"/>
        <v>les bananesnon</v>
      </c>
      <c r="J73" s="1" t="s">
        <v>218</v>
      </c>
    </row>
    <row r="74" spans="1:10" ht="60">
      <c r="A74" t="s">
        <v>224</v>
      </c>
      <c r="B74" t="s">
        <v>144</v>
      </c>
      <c r="C74" t="s">
        <v>99</v>
      </c>
      <c r="D74" t="str">
        <f t="shared" si="20"/>
        <v>cacaoQuestion 20</v>
      </c>
      <c r="E74" s="3" t="s">
        <v>242</v>
      </c>
      <c r="F74" t="s">
        <v>188</v>
      </c>
      <c r="G74" s="1" t="str">
        <f t="shared" si="21"/>
        <v>L’exploitation installe-t-elle une infrastructure de collecte de l’eau de pluie pour l’irrigation et à d’autres fins ?Atténuation 7</v>
      </c>
      <c r="H74">
        <f>IF(F74='2. SAISIE DES DONNÉES'!$V$65,-1)+IF(F74='2. SAISIE DES DONNÉES'!$V$66,1)</f>
        <v>0</v>
      </c>
      <c r="I74" t="str">
        <f t="shared" si="22"/>
        <v>cacaoAtténuation 7</v>
      </c>
      <c r="J74" s="1" t="s">
        <v>218</v>
      </c>
    </row>
    <row r="75" spans="1:10" ht="60">
      <c r="A75" t="s">
        <v>224</v>
      </c>
      <c r="B75" t="s">
        <v>147</v>
      </c>
      <c r="C75" t="s">
        <v>99</v>
      </c>
      <c r="D75" t="str">
        <f t="shared" si="20"/>
        <v>caféQuestion 20</v>
      </c>
      <c r="E75" s="3" t="s">
        <v>242</v>
      </c>
      <c r="F75" t="s">
        <v>188</v>
      </c>
      <c r="G75" s="1" t="str">
        <f t="shared" si="21"/>
        <v>L’exploitation installe-t-elle une infrastructure de collecte de l’eau de pluie pour l’irrigation et à d’autres fins ?Atténuation 7</v>
      </c>
      <c r="H75">
        <f>IF(F75='2. SAISIE DES DONNÉES'!$V$65,-1)+IF(F75='2. SAISIE DES DONNÉES'!$V$66,1)</f>
        <v>0</v>
      </c>
      <c r="I75" t="str">
        <f t="shared" si="22"/>
        <v>caféAtténuation 7</v>
      </c>
      <c r="J75" s="1" t="s">
        <v>218</v>
      </c>
    </row>
    <row r="76" spans="1:10" ht="60">
      <c r="A76" t="s">
        <v>224</v>
      </c>
      <c r="B76" t="s">
        <v>148</v>
      </c>
      <c r="C76" t="s">
        <v>99</v>
      </c>
      <c r="D76" t="str">
        <f t="shared" si="20"/>
        <v>théQuestion 20</v>
      </c>
      <c r="E76" s="3" t="s">
        <v>242</v>
      </c>
      <c r="F76" t="s">
        <v>188</v>
      </c>
      <c r="G76" s="1" t="str">
        <f t="shared" si="21"/>
        <v>L’exploitation installe-t-elle une infrastructure de collecte de l’eau de pluie pour l’irrigation et à d’autres fins ?Atténuation 7</v>
      </c>
      <c r="H76">
        <f>IF(F76='2. SAISIE DES DONNÉES'!$V$65,-1)+IF(F76='2. SAISIE DES DONNÉES'!$V$66,1)</f>
        <v>0</v>
      </c>
      <c r="I76" t="str">
        <f t="shared" si="22"/>
        <v>théAtténuation 7</v>
      </c>
      <c r="J76" s="1" t="s">
        <v>218</v>
      </c>
    </row>
    <row r="77" spans="1:10" ht="60">
      <c r="A77" t="s">
        <v>224</v>
      </c>
      <c r="B77" t="s">
        <v>142</v>
      </c>
      <c r="C77" t="s">
        <v>99</v>
      </c>
      <c r="D77" t="str">
        <f t="shared" si="20"/>
        <v>les bananesQuestion 20</v>
      </c>
      <c r="E77" s="1" t="s">
        <v>242</v>
      </c>
      <c r="F77" t="s">
        <v>188</v>
      </c>
      <c r="G77" s="1" t="str">
        <f t="shared" si="21"/>
        <v>L’exploitation installe-t-elle une infrastructure de collecte de l’eau de pluie pour l’irrigation et à d’autres fins ?Atténuation 7</v>
      </c>
      <c r="H77">
        <f>IF(F77='2. SAISIE DES DONNÉES'!$V$65,-1)+IF(F77='2. SAISIE DES DONNÉES'!$V$66,1)</f>
        <v>0</v>
      </c>
      <c r="I77" t="str">
        <f t="shared" si="22"/>
        <v>les bananesAtténuation 7</v>
      </c>
      <c r="J77" s="1" t="s">
        <v>243</v>
      </c>
    </row>
    <row r="78" spans="1:10" ht="60">
      <c r="A78" t="s">
        <v>224</v>
      </c>
      <c r="B78" t="s">
        <v>144</v>
      </c>
      <c r="C78" t="s">
        <v>101</v>
      </c>
      <c r="D78" t="str">
        <f t="shared" si="20"/>
        <v>cacaoQuestion 21</v>
      </c>
      <c r="E78" s="3" t="s">
        <v>244</v>
      </c>
      <c r="F78" t="s">
        <v>190</v>
      </c>
      <c r="G78" s="1" t="str">
        <f t="shared" si="21"/>
        <v>Votre exploitation comprend-elle un système d’irrigation ? Si non-applicable, passez aux deux questions suivantes.Atténuation 8</v>
      </c>
      <c r="H78">
        <f>IF(F78='2. SAISIE DES DONNÉES'!$V$65,-1)+IF(F78='2. SAISIE DES DONNÉES'!$V$66,1)</f>
        <v>0</v>
      </c>
      <c r="I78" t="str">
        <f t="shared" si="22"/>
        <v>cacaoAtténuation 8</v>
      </c>
      <c r="J78" s="1" t="s">
        <v>219</v>
      </c>
    </row>
    <row r="79" spans="1:10" ht="60">
      <c r="A79" t="s">
        <v>224</v>
      </c>
      <c r="B79" t="s">
        <v>147</v>
      </c>
      <c r="C79" t="s">
        <v>101</v>
      </c>
      <c r="D79" t="str">
        <f t="shared" si="20"/>
        <v>caféQuestion 21</v>
      </c>
      <c r="E79" s="3" t="s">
        <v>244</v>
      </c>
      <c r="F79" t="s">
        <v>190</v>
      </c>
      <c r="G79" s="1" t="str">
        <f t="shared" si="21"/>
        <v>Votre exploitation comprend-elle un système d’irrigation ? Si non-applicable, passez aux deux questions suivantes.Atténuation 8</v>
      </c>
      <c r="H79">
        <f>IF(F79='2. SAISIE DES DONNÉES'!$V$65,-1)+IF(F79='2. SAISIE DES DONNÉES'!$V$66,1)</f>
        <v>0</v>
      </c>
      <c r="I79" t="str">
        <f t="shared" si="22"/>
        <v>caféAtténuation 8</v>
      </c>
      <c r="J79" s="1" t="s">
        <v>219</v>
      </c>
    </row>
    <row r="80" spans="1:10" ht="60">
      <c r="A80" t="s">
        <v>224</v>
      </c>
      <c r="B80" t="s">
        <v>148</v>
      </c>
      <c r="C80" t="s">
        <v>101</v>
      </c>
      <c r="D80" t="str">
        <f t="shared" si="20"/>
        <v>théQuestion 21</v>
      </c>
      <c r="E80" t="s">
        <v>244</v>
      </c>
      <c r="F80" t="s">
        <v>190</v>
      </c>
      <c r="G80" s="1" t="str">
        <f t="shared" ref="G80:G106" si="23">CONCATENATE(E80,F80)</f>
        <v>Votre exploitation comprend-elle un système d’irrigation ? Si non-applicable, passez aux deux questions suivantes.Atténuation 8</v>
      </c>
      <c r="H80">
        <f>IF(F80='2. SAISIE DES DONNÉES'!$V$65,-1)+IF(F80='2. SAISIE DES DONNÉES'!$V$66,1)</f>
        <v>0</v>
      </c>
      <c r="I80" t="str">
        <f t="shared" ref="I80:I106" si="24">CONCATENATE(B80,F80)</f>
        <v>théAtténuation 8</v>
      </c>
      <c r="J80" s="1" t="s">
        <v>219</v>
      </c>
    </row>
    <row r="81" spans="1:10" ht="60">
      <c r="A81" t="s">
        <v>224</v>
      </c>
      <c r="B81" t="s">
        <v>142</v>
      </c>
      <c r="C81" t="s">
        <v>101</v>
      </c>
      <c r="D81" t="str">
        <f t="shared" si="20"/>
        <v>les bananesQuestion 21</v>
      </c>
      <c r="E81" s="1" t="s">
        <v>244</v>
      </c>
      <c r="F81" t="s">
        <v>190</v>
      </c>
      <c r="G81" s="1" t="str">
        <f t="shared" si="23"/>
        <v>Votre exploitation comprend-elle un système d’irrigation ? Si non-applicable, passez aux deux questions suivantes.Atténuation 8</v>
      </c>
      <c r="H81">
        <f>IF(F81='2. SAISIE DES DONNÉES'!$V$65,-1)+IF(F81='2. SAISIE DES DONNÉES'!$V$66,1)</f>
        <v>0</v>
      </c>
      <c r="I81" t="str">
        <f t="shared" si="24"/>
        <v>les bananesAtténuation 8</v>
      </c>
      <c r="J81" s="1" t="s">
        <v>220</v>
      </c>
    </row>
    <row r="82" spans="1:10" ht="60">
      <c r="A82" t="s">
        <v>224</v>
      </c>
      <c r="B82" t="s">
        <v>144</v>
      </c>
      <c r="C82" t="s">
        <v>103</v>
      </c>
      <c r="D82" t="str">
        <f t="shared" si="20"/>
        <v>cacaoQuestion 22</v>
      </c>
      <c r="E82" s="3" t="s">
        <v>245</v>
      </c>
      <c r="F82" t="s">
        <v>191</v>
      </c>
      <c r="G82" s="1" t="str">
        <f t="shared" si="23"/>
        <v>Les réseaux d’irrigation sont-ils régulièrement inspectés et entretenus, par exemple pour éviter les fuites ?Atténuation 9</v>
      </c>
      <c r="H82">
        <f>IF(F82='2. SAISIE DES DONNÉES'!$V$65,-1)+IF(F82='2. SAISIE DES DONNÉES'!$V$66,1)</f>
        <v>0</v>
      </c>
      <c r="I82" t="str">
        <f t="shared" si="24"/>
        <v>cacaoAtténuation 9</v>
      </c>
      <c r="J82" s="1" t="s">
        <v>220</v>
      </c>
    </row>
    <row r="83" spans="1:10" ht="60">
      <c r="A83" t="s">
        <v>224</v>
      </c>
      <c r="B83" t="s">
        <v>147</v>
      </c>
      <c r="C83" t="s">
        <v>103</v>
      </c>
      <c r="D83" t="str">
        <f t="shared" si="20"/>
        <v>caféQuestion 22</v>
      </c>
      <c r="E83" s="3" t="s">
        <v>245</v>
      </c>
      <c r="F83" t="s">
        <v>191</v>
      </c>
      <c r="G83" s="1" t="str">
        <f t="shared" si="23"/>
        <v>Les réseaux d’irrigation sont-ils régulièrement inspectés et entretenus, par exemple pour éviter les fuites ?Atténuation 9</v>
      </c>
      <c r="H83">
        <f>IF(F83='2. SAISIE DES DONNÉES'!$V$65,-1)+IF(F83='2. SAISIE DES DONNÉES'!$V$66,1)</f>
        <v>0</v>
      </c>
      <c r="I83" t="str">
        <f t="shared" si="24"/>
        <v>caféAtténuation 9</v>
      </c>
      <c r="J83" s="1" t="s">
        <v>220</v>
      </c>
    </row>
    <row r="84" spans="1:10" ht="60">
      <c r="A84" t="s">
        <v>224</v>
      </c>
      <c r="B84" t="s">
        <v>148</v>
      </c>
      <c r="C84" t="s">
        <v>103</v>
      </c>
      <c r="D84" t="str">
        <f t="shared" si="20"/>
        <v>théQuestion 22</v>
      </c>
      <c r="E84" s="102" t="s">
        <v>245</v>
      </c>
      <c r="F84" t="s">
        <v>191</v>
      </c>
      <c r="G84" s="1" t="str">
        <f t="shared" si="23"/>
        <v>Les réseaux d’irrigation sont-ils régulièrement inspectés et entretenus, par exemple pour éviter les fuites ?Atténuation 9</v>
      </c>
      <c r="H84">
        <f>IF(F84='2. SAISIE DES DONNÉES'!$V$65,-1)+IF(F84='2. SAISIE DES DONNÉES'!$V$66,1)</f>
        <v>0</v>
      </c>
      <c r="I84" t="str">
        <f t="shared" si="24"/>
        <v>théAtténuation 9</v>
      </c>
      <c r="J84" s="1" t="s">
        <v>220</v>
      </c>
    </row>
    <row r="85" spans="1:10" ht="60">
      <c r="A85" t="s">
        <v>224</v>
      </c>
      <c r="B85" t="s">
        <v>142</v>
      </c>
      <c r="C85" t="s">
        <v>103</v>
      </c>
      <c r="D85" t="str">
        <f t="shared" si="20"/>
        <v>les bananesQuestion 22</v>
      </c>
      <c r="E85" s="1" t="s">
        <v>245</v>
      </c>
      <c r="F85" t="s">
        <v>191</v>
      </c>
      <c r="G85" s="1" t="str">
        <f t="shared" si="23"/>
        <v>Les réseaux d’irrigation sont-ils régulièrement inspectés et entretenus, par exemple pour éviter les fuites ?Atténuation 9</v>
      </c>
      <c r="H85">
        <f>IF(F85='2. SAISIE DES DONNÉES'!$V$65,-1)+IF(F85='2. SAISIE DES DONNÉES'!$V$66,1)</f>
        <v>0</v>
      </c>
      <c r="I85" t="str">
        <f t="shared" si="24"/>
        <v>les bananesAtténuation 9</v>
      </c>
      <c r="J85" s="1" t="s">
        <v>221</v>
      </c>
    </row>
    <row r="86" spans="1:10" ht="90">
      <c r="A86" t="s">
        <v>224</v>
      </c>
      <c r="B86" t="s">
        <v>144</v>
      </c>
      <c r="C86" t="s">
        <v>105</v>
      </c>
      <c r="D86" t="str">
        <f t="shared" si="20"/>
        <v>cacaoQuestion 23</v>
      </c>
      <c r="E86" s="3" t="s">
        <v>246</v>
      </c>
      <c r="F86" t="s">
        <v>192</v>
      </c>
      <c r="G86" s="1" t="str">
        <f t="shared" si="23"/>
        <v>Les réseaux d’irrigation sont-ils conçus et entretenus en vue d'optimiser le rendement agricole ? (Conditions climatiques, évapotranspiration des cultures à différents stades de leur croissance, type de sol)Atténuation 10</v>
      </c>
      <c r="H86">
        <f>IF(F86='2. SAISIE DES DONNÉES'!$V$65,-1)+IF(F86='2. SAISIE DES DONNÉES'!$V$66,1)</f>
        <v>0</v>
      </c>
      <c r="I86" t="str">
        <f t="shared" si="24"/>
        <v>cacaoAtténuation 10</v>
      </c>
      <c r="J86" s="1" t="s">
        <v>221</v>
      </c>
    </row>
    <row r="87" spans="1:10" ht="90">
      <c r="A87" t="s">
        <v>224</v>
      </c>
      <c r="B87" t="s">
        <v>147</v>
      </c>
      <c r="C87" t="s">
        <v>105</v>
      </c>
      <c r="D87" t="str">
        <f t="shared" si="20"/>
        <v>caféQuestion 23</v>
      </c>
      <c r="E87" s="3" t="s">
        <v>246</v>
      </c>
      <c r="F87" t="s">
        <v>192</v>
      </c>
      <c r="G87" s="1" t="str">
        <f t="shared" si="23"/>
        <v>Les réseaux d’irrigation sont-ils conçus et entretenus en vue d'optimiser le rendement agricole ? (Conditions climatiques, évapotranspiration des cultures à différents stades de leur croissance, type de sol)Atténuation 10</v>
      </c>
      <c r="H87">
        <f>IF(F87='2. SAISIE DES DONNÉES'!$V$65,-1)+IF(F87='2. SAISIE DES DONNÉES'!$V$66,1)</f>
        <v>0</v>
      </c>
      <c r="I87" t="str">
        <f t="shared" si="24"/>
        <v>caféAtténuation 10</v>
      </c>
      <c r="J87" s="1" t="s">
        <v>221</v>
      </c>
    </row>
    <row r="88" spans="1:10" ht="90">
      <c r="A88" t="s">
        <v>224</v>
      </c>
      <c r="B88" t="s">
        <v>148</v>
      </c>
      <c r="C88" t="s">
        <v>105</v>
      </c>
      <c r="D88" t="str">
        <f t="shared" si="20"/>
        <v>théQuestion 23</v>
      </c>
      <c r="E88" s="102" t="s">
        <v>246</v>
      </c>
      <c r="F88" t="s">
        <v>192</v>
      </c>
      <c r="G88" s="1" t="str">
        <f t="shared" si="23"/>
        <v>Les réseaux d’irrigation sont-ils conçus et entretenus en vue d'optimiser le rendement agricole ? (Conditions climatiques, évapotranspiration des cultures à différents stades de leur croissance, type de sol)Atténuation 10</v>
      </c>
      <c r="H88">
        <f>IF(F88='2. SAISIE DES DONNÉES'!$V$65,-1)+IF(F88='2. SAISIE DES DONNÉES'!$V$66,1)</f>
        <v>0</v>
      </c>
      <c r="I88" t="str">
        <f t="shared" si="24"/>
        <v>théAtténuation 10</v>
      </c>
      <c r="J88" s="1" t="s">
        <v>221</v>
      </c>
    </row>
    <row r="89" spans="1:10" ht="90">
      <c r="A89" t="s">
        <v>224</v>
      </c>
      <c r="B89" t="s">
        <v>142</v>
      </c>
      <c r="C89" t="s">
        <v>105</v>
      </c>
      <c r="D89" t="str">
        <f t="shared" si="20"/>
        <v>les bananesQuestion 23</v>
      </c>
      <c r="E89" s="1" t="s">
        <v>246</v>
      </c>
      <c r="F89" t="s">
        <v>192</v>
      </c>
      <c r="G89" s="1" t="str">
        <f t="shared" si="23"/>
        <v>Les réseaux d’irrigation sont-ils conçus et entretenus en vue d'optimiser le rendement agricole ? (Conditions climatiques, évapotranspiration des cultures à différents stades de leur croissance, type de sol)Atténuation 10</v>
      </c>
      <c r="H89">
        <f>IF(F89='2. SAISIE DES DONNÉES'!$V$65,-1)+IF(F89='2. SAISIE DES DONNÉES'!$V$66,1)</f>
        <v>0</v>
      </c>
      <c r="I89" t="str">
        <f t="shared" si="24"/>
        <v>les bananesAtténuation 10</v>
      </c>
      <c r="J89" s="1" t="s">
        <v>247</v>
      </c>
    </row>
    <row r="90" spans="1:10" ht="45">
      <c r="A90" t="s">
        <v>224</v>
      </c>
      <c r="B90" t="s">
        <v>144</v>
      </c>
      <c r="C90" t="s">
        <v>107</v>
      </c>
      <c r="D90" t="str">
        <f t="shared" si="20"/>
        <v>cacaoQuestion 24a</v>
      </c>
      <c r="E90" s="3" t="s">
        <v>248</v>
      </c>
      <c r="F90" t="s">
        <v>193</v>
      </c>
      <c r="G90" s="1" t="str">
        <f t="shared" si="23"/>
        <v>Existe-t-il des écosystèmes aquatiques à proximité de l’exploitation ?Atténuation 11</v>
      </c>
      <c r="H90">
        <f>IF(F90='2. SAISIE DES DONNÉES'!$V$65,-1)+IF(F90='2. SAISIE DES DONNÉES'!$V$66,1)</f>
        <v>0</v>
      </c>
      <c r="I90" t="str">
        <f t="shared" si="24"/>
        <v>cacaoAtténuation 11</v>
      </c>
      <c r="J90" s="1" t="s">
        <v>247</v>
      </c>
    </row>
    <row r="91" spans="1:10" ht="45">
      <c r="A91" t="s">
        <v>224</v>
      </c>
      <c r="B91" t="s">
        <v>147</v>
      </c>
      <c r="C91" t="s">
        <v>107</v>
      </c>
      <c r="D91" t="str">
        <f t="shared" si="20"/>
        <v>caféQuestion 24a</v>
      </c>
      <c r="E91" s="3" t="s">
        <v>248</v>
      </c>
      <c r="F91" t="s">
        <v>193</v>
      </c>
      <c r="G91" s="1" t="str">
        <f t="shared" si="23"/>
        <v>Existe-t-il des écosystèmes aquatiques à proximité de l’exploitation ?Atténuation 11</v>
      </c>
      <c r="H91">
        <f>IF(F91='2. SAISIE DES DONNÉES'!$V$65,-1)+IF(F91='2. SAISIE DES DONNÉES'!$V$66,1)</f>
        <v>0</v>
      </c>
      <c r="I91" t="str">
        <f t="shared" si="24"/>
        <v>caféAtténuation 11</v>
      </c>
      <c r="J91" s="1" t="s">
        <v>222</v>
      </c>
    </row>
    <row r="92" spans="1:10" ht="45">
      <c r="A92" t="s">
        <v>224</v>
      </c>
      <c r="B92" t="s">
        <v>148</v>
      </c>
      <c r="C92" t="s">
        <v>107</v>
      </c>
      <c r="D92" t="str">
        <f t="shared" si="20"/>
        <v>théQuestion 24a</v>
      </c>
      <c r="E92" t="s">
        <v>248</v>
      </c>
      <c r="F92" t="s">
        <v>193</v>
      </c>
      <c r="G92" s="1" t="str">
        <f t="shared" si="23"/>
        <v>Existe-t-il des écosystèmes aquatiques à proximité de l’exploitation ?Atténuation 11</v>
      </c>
      <c r="H92">
        <f>IF(F92='2. SAISIE DES DONNÉES'!$V$65,-1)+IF(F92='2. SAISIE DES DONNÉES'!$V$66,1)</f>
        <v>0</v>
      </c>
      <c r="I92" t="str">
        <f t="shared" si="24"/>
        <v>théAtténuation 11</v>
      </c>
      <c r="J92" s="1" t="s">
        <v>247</v>
      </c>
    </row>
    <row r="93" spans="1:10" ht="45">
      <c r="A93" t="s">
        <v>224</v>
      </c>
      <c r="B93" t="s">
        <v>142</v>
      </c>
      <c r="C93" t="s">
        <v>107</v>
      </c>
      <c r="D93" t="str">
        <f t="shared" si="20"/>
        <v>les bananesQuestion 24a</v>
      </c>
      <c r="E93" s="1" t="s">
        <v>248</v>
      </c>
      <c r="F93" t="s">
        <v>193</v>
      </c>
      <c r="G93" s="1" t="str">
        <f t="shared" si="23"/>
        <v>Existe-t-il des écosystèmes aquatiques à proximité de l’exploitation ?Atténuation 11</v>
      </c>
      <c r="H93">
        <f>IF(F93='2. SAISIE DES DONNÉES'!$V$65,-1)+IF(F93='2. SAISIE DES DONNÉES'!$V$66,1)</f>
        <v>0</v>
      </c>
      <c r="I93" t="str">
        <f t="shared" si="24"/>
        <v>les bananesAtténuation 11</v>
      </c>
      <c r="J93" s="1" t="s">
        <v>223</v>
      </c>
    </row>
    <row r="94" spans="1:10" ht="60">
      <c r="A94" t="s">
        <v>224</v>
      </c>
      <c r="B94" t="s">
        <v>144</v>
      </c>
      <c r="C94" t="s">
        <v>109</v>
      </c>
      <c r="D94" t="str">
        <f t="shared" si="20"/>
        <v>cacaoQuestion 24b</v>
      </c>
      <c r="E94" s="3" t="s">
        <v>249</v>
      </c>
      <c r="F94" t="s">
        <v>194</v>
      </c>
      <c r="G94" s="1" t="str">
        <f t="shared" si="23"/>
        <v>Ces écosystèmes aquatiques sont-ils protégés par la présence de zone sans applications de produits phytosanitaires ?Atténuation 12</v>
      </c>
      <c r="H94">
        <f>IF(F94='2. SAISIE DES DONNÉES'!$V$65,-1)+IF(F94='2. SAISIE DES DONNÉES'!$V$66,1)</f>
        <v>0</v>
      </c>
      <c r="I94" t="str">
        <f t="shared" si="24"/>
        <v>cacaoAtténuation 12</v>
      </c>
      <c r="J94" s="1" t="s">
        <v>223</v>
      </c>
    </row>
    <row r="95" spans="1:10" ht="60">
      <c r="A95" t="s">
        <v>224</v>
      </c>
      <c r="B95" t="s">
        <v>147</v>
      </c>
      <c r="C95" t="s">
        <v>109</v>
      </c>
      <c r="D95" t="str">
        <f t="shared" si="20"/>
        <v>caféQuestion 24b</v>
      </c>
      <c r="E95" s="3" t="s">
        <v>249</v>
      </c>
      <c r="F95" t="s">
        <v>194</v>
      </c>
      <c r="G95" s="1" t="str">
        <f t="shared" si="23"/>
        <v>Ces écosystèmes aquatiques sont-ils protégés par la présence de zone sans applications de produits phytosanitaires ?Atténuation 12</v>
      </c>
      <c r="H95">
        <f>IF(F95='2. SAISIE DES DONNÉES'!$V$65,-1)+IF(F95='2. SAISIE DES DONNÉES'!$V$66,1)</f>
        <v>0</v>
      </c>
      <c r="I95" t="str">
        <f t="shared" si="24"/>
        <v>caféAtténuation 12</v>
      </c>
      <c r="J95" s="1" t="s">
        <v>223</v>
      </c>
    </row>
    <row r="96" spans="1:10" ht="60">
      <c r="A96" t="s">
        <v>224</v>
      </c>
      <c r="B96" t="s">
        <v>148</v>
      </c>
      <c r="C96" t="s">
        <v>109</v>
      </c>
      <c r="D96" t="str">
        <f t="shared" si="20"/>
        <v>théQuestion 24b</v>
      </c>
      <c r="E96" s="3" t="s">
        <v>249</v>
      </c>
      <c r="F96" t="s">
        <v>194</v>
      </c>
      <c r="G96" s="1" t="str">
        <f t="shared" si="23"/>
        <v>Ces écosystèmes aquatiques sont-ils protégés par la présence de zone sans applications de produits phytosanitaires ?Atténuation 12</v>
      </c>
      <c r="H96">
        <f>IF(F96='2. SAISIE DES DONNÉES'!$V$65,-1)+IF(F96='2. SAISIE DES DONNÉES'!$V$66,1)</f>
        <v>0</v>
      </c>
      <c r="I96" t="str">
        <f t="shared" si="24"/>
        <v>théAtténuation 12</v>
      </c>
      <c r="J96" s="1" t="s">
        <v>223</v>
      </c>
    </row>
    <row r="97" spans="1:10" ht="60">
      <c r="A97" t="s">
        <v>224</v>
      </c>
      <c r="B97" t="s">
        <v>142</v>
      </c>
      <c r="C97" t="s">
        <v>109</v>
      </c>
      <c r="D97" t="str">
        <f t="shared" si="20"/>
        <v>les bananesQuestion 24b</v>
      </c>
      <c r="E97" s="1" t="s">
        <v>249</v>
      </c>
      <c r="F97" t="s">
        <v>194</v>
      </c>
      <c r="G97" s="1" t="str">
        <f t="shared" si="23"/>
        <v>Ces écosystèmes aquatiques sont-ils protégés par la présence de zone sans applications de produits phytosanitaires ?Atténuation 12</v>
      </c>
      <c r="H97">
        <f>IF(F97='2. SAISIE DES DONNÉES'!$V$65,-1)+IF(F97='2. SAISIE DES DONNÉES'!$V$66,1)</f>
        <v>0</v>
      </c>
      <c r="I97" t="str">
        <f t="shared" si="24"/>
        <v>les bananesAtténuation 12</v>
      </c>
      <c r="J97" s="1" t="s">
        <v>17</v>
      </c>
    </row>
    <row r="98" spans="1:10" ht="60">
      <c r="A98" t="s">
        <v>224</v>
      </c>
      <c r="B98" t="s">
        <v>144</v>
      </c>
      <c r="C98" t="s">
        <v>112</v>
      </c>
      <c r="D98" t="str">
        <f t="shared" si="20"/>
        <v>cacaoQuestion 25</v>
      </c>
      <c r="E98" s="3" t="s">
        <v>250</v>
      </c>
      <c r="G98" s="1" t="str">
        <f t="shared" si="23"/>
        <v>La production d‘engrais biologique provient-elle de la décomposition des déchets organiques (traités) de l’exploitation ?</v>
      </c>
      <c r="H98">
        <f>IF(F98='2. SAISIE DES DONNÉES'!$V$65,-1)+IF(F98='2. SAISIE DES DONNÉES'!$V$66,1)</f>
        <v>0</v>
      </c>
      <c r="I98" t="str">
        <f t="shared" si="24"/>
        <v>cacao</v>
      </c>
    </row>
    <row r="99" spans="1:10" ht="60">
      <c r="A99" t="s">
        <v>224</v>
      </c>
      <c r="B99" t="s">
        <v>147</v>
      </c>
      <c r="C99" t="s">
        <v>112</v>
      </c>
      <c r="D99" t="str">
        <f t="shared" si="20"/>
        <v>caféQuestion 25</v>
      </c>
      <c r="E99" s="3" t="s">
        <v>250</v>
      </c>
      <c r="G99" s="1" t="str">
        <f t="shared" si="23"/>
        <v>La production d‘engrais biologique provient-elle de la décomposition des déchets organiques (traités) de l’exploitation ?</v>
      </c>
      <c r="H99">
        <f>IF(F99='2. SAISIE DES DONNÉES'!$V$65,-1)+IF(F99='2. SAISIE DES DONNÉES'!$V$66,1)</f>
        <v>0</v>
      </c>
      <c r="I99" t="str">
        <f t="shared" si="24"/>
        <v>café</v>
      </c>
    </row>
    <row r="100" spans="1:10" ht="60">
      <c r="A100" t="s">
        <v>224</v>
      </c>
      <c r="B100" t="s">
        <v>148</v>
      </c>
      <c r="C100" t="s">
        <v>112</v>
      </c>
      <c r="D100" t="str">
        <f t="shared" si="20"/>
        <v>théQuestion 25</v>
      </c>
      <c r="E100" s="3" t="s">
        <v>250</v>
      </c>
      <c r="G100" s="1" t="str">
        <f t="shared" si="23"/>
        <v>La production d‘engrais biologique provient-elle de la décomposition des déchets organiques (traités) de l’exploitation ?</v>
      </c>
      <c r="H100">
        <f>IF(F100='2. SAISIE DES DONNÉES'!$V$65,-1)+IF(F100='2. SAISIE DES DONNÉES'!$V$66,1)</f>
        <v>0</v>
      </c>
      <c r="I100" t="str">
        <f t="shared" si="24"/>
        <v>thé</v>
      </c>
    </row>
    <row r="101" spans="1:10" ht="60">
      <c r="A101" t="s">
        <v>224</v>
      </c>
      <c r="B101" t="s">
        <v>142</v>
      </c>
      <c r="C101" t="s">
        <v>112</v>
      </c>
      <c r="D101" t="str">
        <f t="shared" si="20"/>
        <v>les bananesQuestion 25</v>
      </c>
      <c r="E101" s="1" t="s">
        <v>250</v>
      </c>
      <c r="G101" s="1" t="str">
        <f t="shared" si="23"/>
        <v>La production d‘engrais biologique provient-elle de la décomposition des déchets organiques (traités) de l’exploitation ?</v>
      </c>
      <c r="H101">
        <f>IF(F101='2. SAISIE DES DONNÉES'!$V$65,-1)+IF(F101='2. SAISIE DES DONNÉES'!$V$66,1)</f>
        <v>0</v>
      </c>
      <c r="I101" t="str">
        <f t="shared" si="24"/>
        <v>les bananes</v>
      </c>
    </row>
    <row r="102" spans="1:10" ht="30">
      <c r="A102" t="s">
        <v>224</v>
      </c>
      <c r="B102" t="s">
        <v>144</v>
      </c>
      <c r="C102" t="s">
        <v>114</v>
      </c>
      <c r="D102" t="str">
        <f t="shared" si="20"/>
        <v>cacaoQuestion 26</v>
      </c>
      <c r="E102" s="56" t="s">
        <v>251</v>
      </c>
      <c r="G102" s="1" t="str">
        <f t="shared" si="23"/>
        <v>L'exploitation comprend-elle des cultures de couverture ?</v>
      </c>
      <c r="H102">
        <f>IF(F102='2. SAISIE DES DONNÉES'!$V$65,-1)+IF(F102='2. SAISIE DES DONNÉES'!$V$66,1)</f>
        <v>0</v>
      </c>
      <c r="I102" t="str">
        <f t="shared" si="24"/>
        <v>cacao</v>
      </c>
      <c r="J102"/>
    </row>
    <row r="103" spans="1:10" ht="30">
      <c r="A103" t="s">
        <v>224</v>
      </c>
      <c r="B103" t="s">
        <v>147</v>
      </c>
      <c r="C103" t="s">
        <v>114</v>
      </c>
      <c r="D103" t="str">
        <f t="shared" si="20"/>
        <v>caféQuestion 26</v>
      </c>
      <c r="E103" s="56" t="s">
        <v>251</v>
      </c>
      <c r="G103" s="1" t="str">
        <f t="shared" si="23"/>
        <v>L'exploitation comprend-elle des cultures de couverture ?</v>
      </c>
      <c r="H103">
        <f>IF(F103='2. SAISIE DES DONNÉES'!$V$65,-1)+IF(F103='2. SAISIE DES DONNÉES'!$V$66,1)</f>
        <v>0</v>
      </c>
      <c r="I103" t="str">
        <f t="shared" si="24"/>
        <v>café</v>
      </c>
      <c r="J103"/>
    </row>
    <row r="104" spans="1:10" ht="30">
      <c r="A104" t="s">
        <v>224</v>
      </c>
      <c r="B104" t="s">
        <v>148</v>
      </c>
      <c r="C104" t="s">
        <v>114</v>
      </c>
      <c r="D104" t="str">
        <f t="shared" si="20"/>
        <v>théQuestion 26</v>
      </c>
      <c r="E104" s="56" t="s">
        <v>251</v>
      </c>
      <c r="G104" s="1" t="str">
        <f t="shared" si="23"/>
        <v>L'exploitation comprend-elle des cultures de couverture ?</v>
      </c>
      <c r="H104">
        <f>IF(F104='2. SAISIE DES DONNÉES'!$V$65,-1)+IF(F104='2. SAISIE DES DONNÉES'!$V$66,1)</f>
        <v>0</v>
      </c>
      <c r="I104" t="str">
        <f t="shared" si="24"/>
        <v>thé</v>
      </c>
      <c r="J104"/>
    </row>
    <row r="105" spans="1:10" ht="30">
      <c r="A105" t="s">
        <v>224</v>
      </c>
      <c r="B105" t="s">
        <v>142</v>
      </c>
      <c r="C105" t="s">
        <v>114</v>
      </c>
      <c r="D105" t="str">
        <f t="shared" si="20"/>
        <v>les bananesQuestion 26</v>
      </c>
      <c r="E105" s="56" t="s">
        <v>251</v>
      </c>
      <c r="G105" s="1" t="str">
        <f t="shared" si="23"/>
        <v>L'exploitation comprend-elle des cultures de couverture ?</v>
      </c>
      <c r="H105">
        <f>IF(F105='2. SAISIE DES DONNÉES'!$V$65,-1)+IF(F105='2. SAISIE DES DONNÉES'!$V$66,1)</f>
        <v>0</v>
      </c>
      <c r="I105" t="str">
        <f t="shared" si="24"/>
        <v>les bananes</v>
      </c>
      <c r="J105"/>
    </row>
    <row r="106" spans="1:10" ht="45">
      <c r="A106" t="s">
        <v>224</v>
      </c>
      <c r="B106" t="s">
        <v>144</v>
      </c>
      <c r="C106" t="s">
        <v>116</v>
      </c>
      <c r="D106" t="str">
        <f t="shared" si="20"/>
        <v>cacaoQuestion 27</v>
      </c>
      <c r="E106" s="56" t="s">
        <v>252</v>
      </c>
      <c r="G106" s="1" t="str">
        <f t="shared" si="23"/>
        <v>La parcelle comprend-elle des surfaces de couverture morte (couche holorganique) ?</v>
      </c>
      <c r="H106">
        <f>IF(F106='2. SAISIE DES DONNÉES'!$V$65,-1)+IF(F106='2. SAISIE DES DONNÉES'!$V$66,1)</f>
        <v>0</v>
      </c>
      <c r="I106" t="str">
        <f t="shared" si="24"/>
        <v>cacao</v>
      </c>
      <c r="J106" s="1" t="s">
        <v>210</v>
      </c>
    </row>
    <row r="107" spans="1:10" ht="60">
      <c r="A107" t="s">
        <v>224</v>
      </c>
      <c r="B107" t="s">
        <v>147</v>
      </c>
      <c r="C107" t="s">
        <v>116</v>
      </c>
      <c r="D107" t="str">
        <f t="shared" si="20"/>
        <v>caféQuestion 27</v>
      </c>
      <c r="E107" s="56" t="s">
        <v>252</v>
      </c>
      <c r="G107" s="1" t="str">
        <f t="shared" ref="G107:G119" si="25">CONCATENATE(E107,F107)</f>
        <v>La parcelle comprend-elle des surfaces de couverture morte (couche holorganique) ?</v>
      </c>
      <c r="H107">
        <f>IF(F107='2. SAISIE DES DONNÉES'!$V$65,-1)+IF(F107='2. SAISIE DES DONNÉES'!$V$66,1)</f>
        <v>0</v>
      </c>
      <c r="I107" t="str">
        <f t="shared" ref="I107:I119" si="26">CONCATENATE(B107,F107)</f>
        <v>café</v>
      </c>
      <c r="J107" s="1" t="s">
        <v>211</v>
      </c>
    </row>
    <row r="108" spans="1:10" ht="45">
      <c r="A108" t="s">
        <v>224</v>
      </c>
      <c r="B108" t="s">
        <v>148</v>
      </c>
      <c r="C108" t="s">
        <v>116</v>
      </c>
      <c r="D108" t="str">
        <f t="shared" si="20"/>
        <v>théQuestion 27</v>
      </c>
      <c r="E108" s="56" t="s">
        <v>252</v>
      </c>
      <c r="G108" s="1" t="str">
        <f t="shared" si="25"/>
        <v>La parcelle comprend-elle des surfaces de couverture morte (couche holorganique) ?</v>
      </c>
      <c r="H108">
        <f>IF(F108='2. SAISIE DES DONNÉES'!$V$65,-1)+IF(F108='2. SAISIE DES DONNÉES'!$V$66,1)</f>
        <v>0</v>
      </c>
      <c r="I108" t="str">
        <f t="shared" si="26"/>
        <v>thé</v>
      </c>
      <c r="J108" s="1" t="s">
        <v>212</v>
      </c>
    </row>
    <row r="109" spans="1:10" ht="60">
      <c r="A109" t="s">
        <v>224</v>
      </c>
      <c r="B109" t="s">
        <v>142</v>
      </c>
      <c r="C109" t="s">
        <v>116</v>
      </c>
      <c r="D109" t="str">
        <f t="shared" si="20"/>
        <v>les bananesQuestion 27</v>
      </c>
      <c r="E109" s="56" t="s">
        <v>252</v>
      </c>
      <c r="G109" s="1" t="str">
        <f t="shared" si="25"/>
        <v>La parcelle comprend-elle des surfaces de couverture morte (couche holorganique) ?</v>
      </c>
      <c r="H109">
        <f>IF(F109='2. SAISIE DES DONNÉES'!$V$65,-1)+IF(F109='2. SAISIE DES DONNÉES'!$V$66,1)</f>
        <v>0</v>
      </c>
      <c r="I109" t="str">
        <f t="shared" si="26"/>
        <v>les bananes</v>
      </c>
      <c r="J109" s="1" t="s">
        <v>213</v>
      </c>
    </row>
    <row r="110" spans="1:10" ht="45">
      <c r="A110" t="s">
        <v>224</v>
      </c>
      <c r="B110" t="s">
        <v>144</v>
      </c>
      <c r="C110" t="s">
        <v>118</v>
      </c>
      <c r="D110" t="str">
        <f t="shared" si="20"/>
        <v>cacaoQuestion 28</v>
      </c>
      <c r="E110" s="56" t="s">
        <v>253</v>
      </c>
      <c r="G110" s="1" t="str">
        <f t="shared" si="25"/>
        <v>Existe-t-il des canaux de drainage ?</v>
      </c>
      <c r="H110">
        <f>IF(F110='2. SAISIE DES DONNÉES'!$V$65,-1)+IF(F110='2. SAISIE DES DONNÉES'!$V$66,1)</f>
        <v>0</v>
      </c>
      <c r="I110" t="str">
        <f t="shared" si="26"/>
        <v>cacao</v>
      </c>
      <c r="J110" s="1" t="s">
        <v>215</v>
      </c>
    </row>
    <row r="111" spans="1:10" ht="30">
      <c r="A111" t="s">
        <v>224</v>
      </c>
      <c r="B111" t="s">
        <v>147</v>
      </c>
      <c r="C111" t="s">
        <v>118</v>
      </c>
      <c r="D111" t="str">
        <f t="shared" si="20"/>
        <v>caféQuestion 28</v>
      </c>
      <c r="E111" s="56" t="s">
        <v>253</v>
      </c>
      <c r="G111" s="1" t="str">
        <f t="shared" si="25"/>
        <v>Existe-t-il des canaux de drainage ?</v>
      </c>
      <c r="H111">
        <f>IF(F111='2. SAISIE DES DONNÉES'!$V$65,-1)+IF(F111='2. SAISIE DES DONNÉES'!$V$66,1)</f>
        <v>0</v>
      </c>
      <c r="I111" t="str">
        <f t="shared" si="26"/>
        <v>café</v>
      </c>
      <c r="J111" s="1" t="s">
        <v>239</v>
      </c>
    </row>
    <row r="112" spans="1:10">
      <c r="A112" t="s">
        <v>224</v>
      </c>
      <c r="B112" t="s">
        <v>148</v>
      </c>
      <c r="C112" t="s">
        <v>118</v>
      </c>
      <c r="D112" t="str">
        <f t="shared" si="20"/>
        <v>théQuestion 28</v>
      </c>
      <c r="E112" s="56" t="s">
        <v>253</v>
      </c>
      <c r="G112" s="1" t="str">
        <f t="shared" si="25"/>
        <v>Existe-t-il des canaux de drainage ?</v>
      </c>
      <c r="H112">
        <f>IF(F112='2. SAISIE DES DONNÉES'!$V$65,-1)+IF(F112='2. SAISIE DES DONNÉES'!$V$66,1)</f>
        <v>0</v>
      </c>
      <c r="I112" t="str">
        <f t="shared" si="26"/>
        <v>thé</v>
      </c>
      <c r="J112" s="1" t="s">
        <v>218</v>
      </c>
    </row>
    <row r="113" spans="1:10">
      <c r="A113" t="s">
        <v>224</v>
      </c>
      <c r="B113" t="s">
        <v>142</v>
      </c>
      <c r="C113" t="s">
        <v>118</v>
      </c>
      <c r="D113" t="str">
        <f t="shared" si="20"/>
        <v>les bananesQuestion 28</v>
      </c>
      <c r="E113" s="56" t="s">
        <v>253</v>
      </c>
      <c r="G113" s="1" t="str">
        <f t="shared" si="25"/>
        <v>Existe-t-il des canaux de drainage ?</v>
      </c>
      <c r="H113">
        <f>IF(F113='2. SAISIE DES DONNÉES'!$V$65,-1)+IF(F113='2. SAISIE DES DONNÉES'!$V$66,1)</f>
        <v>0</v>
      </c>
      <c r="I113" t="str">
        <f t="shared" si="26"/>
        <v>les bananes</v>
      </c>
      <c r="J113" s="1" t="s">
        <v>219</v>
      </c>
    </row>
    <row r="114" spans="1:10" ht="75">
      <c r="A114" t="s">
        <v>224</v>
      </c>
      <c r="B114" t="s">
        <v>144</v>
      </c>
      <c r="C114" t="s">
        <v>120</v>
      </c>
      <c r="D114" t="str">
        <f t="shared" si="20"/>
        <v>cacaoQuestion 29</v>
      </c>
      <c r="E114" s="56" t="s">
        <v>254</v>
      </c>
      <c r="G114" s="1" t="str">
        <f t="shared" si="25"/>
        <v>Existe-t-il des stratégies de conservation des sols ? (terrasses, terrasses individuelles, plantation des bordures, barrières végétales vivantes, barrières mortes)</v>
      </c>
      <c r="H114">
        <f>IF(F114='2. SAISIE DES DONNÉES'!$V$65,-1)+IF(F114='2. SAISIE DES DONNÉES'!$V$66,1)</f>
        <v>0</v>
      </c>
      <c r="I114" t="str">
        <f t="shared" si="26"/>
        <v>cacao</v>
      </c>
      <c r="J114" s="1" t="s">
        <v>220</v>
      </c>
    </row>
    <row r="115" spans="1:10" ht="75">
      <c r="A115" t="s">
        <v>224</v>
      </c>
      <c r="B115" t="s">
        <v>147</v>
      </c>
      <c r="C115" t="s">
        <v>120</v>
      </c>
      <c r="D115" t="str">
        <f t="shared" si="20"/>
        <v>caféQuestion 29</v>
      </c>
      <c r="E115" s="56" t="s">
        <v>254</v>
      </c>
      <c r="G115" s="1" t="str">
        <f t="shared" si="25"/>
        <v>Existe-t-il des stratégies de conservation des sols ? (terrasses, terrasses individuelles, plantation des bordures, barrières végétales vivantes, barrières mortes)</v>
      </c>
      <c r="H115">
        <f>IF(F115='2. SAISIE DES DONNÉES'!$V$65,-1)+IF(F115='2. SAISIE DES DONNÉES'!$V$66,1)</f>
        <v>0</v>
      </c>
      <c r="I115" t="str">
        <f t="shared" si="26"/>
        <v>café</v>
      </c>
      <c r="J115" s="1" t="s">
        <v>220</v>
      </c>
    </row>
    <row r="116" spans="1:10" ht="75">
      <c r="A116" t="s">
        <v>224</v>
      </c>
      <c r="B116" t="s">
        <v>148</v>
      </c>
      <c r="C116" t="s">
        <v>120</v>
      </c>
      <c r="D116" t="str">
        <f t="shared" si="20"/>
        <v>théQuestion 29</v>
      </c>
      <c r="E116" s="56" t="s">
        <v>254</v>
      </c>
      <c r="G116" s="1" t="str">
        <f t="shared" si="25"/>
        <v>Existe-t-il des stratégies de conservation des sols ? (terrasses, terrasses individuelles, plantation des bordures, barrières végétales vivantes, barrières mortes)</v>
      </c>
      <c r="H116">
        <f>IF(F116='2. SAISIE DES DONNÉES'!$V$65,-1)+IF(F116='2. SAISIE DES DONNÉES'!$V$66,1)</f>
        <v>0</v>
      </c>
      <c r="I116" t="str">
        <f t="shared" si="26"/>
        <v>thé</v>
      </c>
      <c r="J116" s="1" t="s">
        <v>221</v>
      </c>
    </row>
    <row r="117" spans="1:10" ht="75">
      <c r="A117" t="s">
        <v>224</v>
      </c>
      <c r="B117" t="s">
        <v>142</v>
      </c>
      <c r="C117" t="s">
        <v>120</v>
      </c>
      <c r="D117" t="str">
        <f t="shared" si="20"/>
        <v>les bananesQuestion 29</v>
      </c>
      <c r="E117" s="56" t="s">
        <v>254</v>
      </c>
      <c r="G117" s="1" t="str">
        <f t="shared" si="25"/>
        <v>Existe-t-il des stratégies de conservation des sols ? (terrasses, terrasses individuelles, plantation des bordures, barrières végétales vivantes, barrières mortes)</v>
      </c>
      <c r="H117">
        <f>IF(F117='2. SAISIE DES DONNÉES'!$V$65,-1)+IF(F117='2. SAISIE DES DONNÉES'!$V$66,1)</f>
        <v>0</v>
      </c>
      <c r="I117" t="str">
        <f t="shared" si="26"/>
        <v>les bananes</v>
      </c>
      <c r="J117" s="1" t="s">
        <v>222</v>
      </c>
    </row>
    <row r="118" spans="1:10" ht="60">
      <c r="A118" t="s">
        <v>204</v>
      </c>
      <c r="B118" t="s">
        <v>144</v>
      </c>
      <c r="C118" t="s">
        <v>255</v>
      </c>
      <c r="D118" t="str">
        <f t="shared" si="20"/>
        <v>cacaoQuestion 3</v>
      </c>
      <c r="E118" s="3" t="s">
        <v>256</v>
      </c>
      <c r="F118" t="s">
        <v>141</v>
      </c>
      <c r="G118" s="1" t="str">
        <f t="shared" si="25"/>
        <v>Les précipitations accompagnées d’inondations et de glissements de terrain ont-elles augmenté au cours des 5 à 10 dernières années ? oui</v>
      </c>
      <c r="H118">
        <f>IF(F118='2. SAISIE DES DONNÉES'!$V$65,-1)+IF(F118='2. SAISIE DES DONNÉES'!$V$66,1)</f>
        <v>-1</v>
      </c>
      <c r="I118" t="str">
        <f t="shared" si="26"/>
        <v>cacaooui</v>
      </c>
      <c r="J118" s="1" t="s">
        <v>223</v>
      </c>
    </row>
    <row r="119" spans="1:10" ht="60">
      <c r="A119" t="s">
        <v>204</v>
      </c>
      <c r="B119" t="s">
        <v>144</v>
      </c>
      <c r="C119" t="s">
        <v>255</v>
      </c>
      <c r="D119" t="str">
        <f t="shared" si="20"/>
        <v>cacaoQuestion 3</v>
      </c>
      <c r="E119" s="3" t="s">
        <v>256</v>
      </c>
      <c r="F119" t="s">
        <v>143</v>
      </c>
      <c r="G119" s="1" t="str">
        <f t="shared" si="25"/>
        <v>Les précipitations accompagnées d’inondations et de glissements de terrain ont-elles augmenté au cours des 5 à 10 dernières années ? non</v>
      </c>
      <c r="H119">
        <f>IF(F119='2. SAISIE DES DONNÉES'!$V$65,-1)+IF(F119='2. SAISIE DES DONNÉES'!$V$66,1)</f>
        <v>1</v>
      </c>
      <c r="I119" t="str">
        <f t="shared" si="26"/>
        <v>cacaonon</v>
      </c>
      <c r="J119"/>
    </row>
    <row r="120" spans="1:10" ht="60">
      <c r="A120" t="s">
        <v>204</v>
      </c>
      <c r="B120" t="s">
        <v>147</v>
      </c>
      <c r="C120" t="s">
        <v>255</v>
      </c>
      <c r="D120" t="str">
        <f t="shared" si="20"/>
        <v>caféQuestion 3</v>
      </c>
      <c r="E120" s="3" t="s">
        <v>256</v>
      </c>
      <c r="F120" t="s">
        <v>141</v>
      </c>
      <c r="G120" s="1" t="str">
        <f t="shared" ref="G120:G125" si="27">CONCATENATE(E120,F120)</f>
        <v>Les précipitations accompagnées d’inondations et de glissements de terrain ont-elles augmenté au cours des 5 à 10 dernières années ? oui</v>
      </c>
      <c r="H120">
        <f>IF(F120='2. SAISIE DES DONNÉES'!$V$65,-1)+IF(F120='2. SAISIE DES DONNÉES'!$V$66,1)</f>
        <v>-1</v>
      </c>
      <c r="I120" t="str">
        <f t="shared" ref="I120:I125" si="28">CONCATENATE(B120,F120)</f>
        <v>caféoui</v>
      </c>
      <c r="J120"/>
    </row>
    <row r="121" spans="1:10" ht="60">
      <c r="A121" t="s">
        <v>204</v>
      </c>
      <c r="B121" t="s">
        <v>147</v>
      </c>
      <c r="C121" t="s">
        <v>255</v>
      </c>
      <c r="D121" t="str">
        <f t="shared" si="20"/>
        <v>caféQuestion 3</v>
      </c>
      <c r="E121" s="3" t="s">
        <v>256</v>
      </c>
      <c r="F121" t="s">
        <v>143</v>
      </c>
      <c r="G121" s="1" t="str">
        <f t="shared" si="27"/>
        <v>Les précipitations accompagnées d’inondations et de glissements de terrain ont-elles augmenté au cours des 5 à 10 dernières années ? non</v>
      </c>
      <c r="H121">
        <f>IF(F121='2. SAISIE DES DONNÉES'!$V$65,-1)+IF(F121='2. SAISIE DES DONNÉES'!$V$66,1)</f>
        <v>1</v>
      </c>
      <c r="I121" t="str">
        <f t="shared" si="28"/>
        <v>cafénon</v>
      </c>
      <c r="J121"/>
    </row>
    <row r="122" spans="1:10" ht="60">
      <c r="A122" t="s">
        <v>204</v>
      </c>
      <c r="B122" t="s">
        <v>148</v>
      </c>
      <c r="C122" t="s">
        <v>255</v>
      </c>
      <c r="D122" t="str">
        <f t="shared" si="20"/>
        <v>théQuestion 3</v>
      </c>
      <c r="E122" s="3" t="s">
        <v>256</v>
      </c>
      <c r="F122" t="s">
        <v>141</v>
      </c>
      <c r="G122" s="1" t="str">
        <f t="shared" si="27"/>
        <v>Les précipitations accompagnées d’inondations et de glissements de terrain ont-elles augmenté au cours des 5 à 10 dernières années ? oui</v>
      </c>
      <c r="H122">
        <f>IF(F122='2. SAISIE DES DONNÉES'!$V$65,-1)+IF(F122='2. SAISIE DES DONNÉES'!$V$66,1)</f>
        <v>-1</v>
      </c>
      <c r="I122" t="str">
        <f t="shared" si="28"/>
        <v>théoui</v>
      </c>
      <c r="J122"/>
    </row>
    <row r="123" spans="1:10" ht="60">
      <c r="A123" t="s">
        <v>204</v>
      </c>
      <c r="B123" t="s">
        <v>148</v>
      </c>
      <c r="C123" t="s">
        <v>255</v>
      </c>
      <c r="D123" t="str">
        <f t="shared" si="20"/>
        <v>théQuestion 3</v>
      </c>
      <c r="E123" s="3" t="s">
        <v>256</v>
      </c>
      <c r="F123" t="s">
        <v>143</v>
      </c>
      <c r="G123" s="1" t="str">
        <f t="shared" si="27"/>
        <v>Les précipitations accompagnées d’inondations et de glissements de terrain ont-elles augmenté au cours des 5 à 10 dernières années ? non</v>
      </c>
      <c r="H123">
        <f>IF(F123='2. SAISIE DES DONNÉES'!$V$65,-1)+IF(F123='2. SAISIE DES DONNÉES'!$V$66,1)</f>
        <v>1</v>
      </c>
      <c r="I123" t="str">
        <f t="shared" si="28"/>
        <v>thénon</v>
      </c>
      <c r="J123"/>
    </row>
    <row r="124" spans="1:10" ht="60">
      <c r="A124" t="s">
        <v>204</v>
      </c>
      <c r="B124" t="s">
        <v>142</v>
      </c>
      <c r="C124" t="s">
        <v>255</v>
      </c>
      <c r="D124" t="str">
        <f t="shared" si="20"/>
        <v>les bananesQuestion 3</v>
      </c>
      <c r="E124" s="1" t="s">
        <v>256</v>
      </c>
      <c r="F124" t="s">
        <v>141</v>
      </c>
      <c r="G124" s="1" t="str">
        <f t="shared" si="27"/>
        <v>Les précipitations accompagnées d’inondations et de glissements de terrain ont-elles augmenté au cours des 5 à 10 dernières années ? oui</v>
      </c>
      <c r="H124">
        <f>IF(F124='2. SAISIE DES DONNÉES'!$V$65,-1)+IF(F124='2. SAISIE DES DONNÉES'!$V$66,1)</f>
        <v>-1</v>
      </c>
      <c r="I124" t="str">
        <f t="shared" si="28"/>
        <v>les bananesoui</v>
      </c>
      <c r="J124"/>
    </row>
    <row r="125" spans="1:10" ht="60">
      <c r="A125" t="s">
        <v>204</v>
      </c>
      <c r="B125" t="s">
        <v>142</v>
      </c>
      <c r="C125" t="s">
        <v>255</v>
      </c>
      <c r="D125" t="str">
        <f t="shared" si="20"/>
        <v>les bananesQuestion 3</v>
      </c>
      <c r="E125" s="1" t="s">
        <v>256</v>
      </c>
      <c r="F125" t="s">
        <v>143</v>
      </c>
      <c r="G125" s="1" t="str">
        <f t="shared" si="27"/>
        <v>Les précipitations accompagnées d’inondations et de glissements de terrain ont-elles augmenté au cours des 5 à 10 dernières années ? non</v>
      </c>
      <c r="H125">
        <f>IF(F125='2. SAISIE DES DONNÉES'!$V$65,-1)+IF(F125='2. SAISIE DES DONNÉES'!$V$66,1)</f>
        <v>1</v>
      </c>
      <c r="I125" t="str">
        <f t="shared" si="28"/>
        <v>les bananesnon</v>
      </c>
      <c r="J125"/>
    </row>
    <row r="126" spans="1:10" ht="75">
      <c r="A126" t="s">
        <v>224</v>
      </c>
      <c r="B126" t="s">
        <v>144</v>
      </c>
      <c r="C126" t="s">
        <v>123</v>
      </c>
      <c r="D126" t="str">
        <f t="shared" si="20"/>
        <v>cacaoQuestion 30</v>
      </c>
      <c r="E126" s="56" t="s">
        <v>257</v>
      </c>
      <c r="G126" s="1" t="str">
        <f t="shared" ref="G126:G145" si="29">CONCATENATE(E126,F126)</f>
        <v>Au minimum 10 % de la végétation naturelle ? (formes diverses telles que systèmes d’agroforesterie, terres en friche, plantation de haies, zones ripariennes tampons)</v>
      </c>
      <c r="H126">
        <f>IF(F126='2. SAISIE DES DONNÉES'!$V$65,-1)+IF(F126='2. SAISIE DES DONNÉES'!$V$66,1)</f>
        <v>0</v>
      </c>
      <c r="I126" t="str">
        <f t="shared" ref="I126:I145" si="30">CONCATENATE(B126,F126)</f>
        <v>cacao</v>
      </c>
      <c r="J126"/>
    </row>
    <row r="127" spans="1:10" ht="75">
      <c r="A127" t="s">
        <v>224</v>
      </c>
      <c r="B127" t="s">
        <v>147</v>
      </c>
      <c r="C127" t="s">
        <v>123</v>
      </c>
      <c r="D127" t="str">
        <f t="shared" si="20"/>
        <v>caféQuestion 30</v>
      </c>
      <c r="E127" s="56" t="s">
        <v>257</v>
      </c>
      <c r="G127" s="1" t="str">
        <f t="shared" si="29"/>
        <v>Au minimum 10 % de la végétation naturelle ? (formes diverses telles que systèmes d’agroforesterie, terres en friche, plantation de haies, zones ripariennes tampons)</v>
      </c>
      <c r="H127">
        <f>IF(F127='2. SAISIE DES DONNÉES'!$V$65,-1)+IF(F127='2. SAISIE DES DONNÉES'!$V$66,1)</f>
        <v>0</v>
      </c>
      <c r="I127" t="str">
        <f t="shared" si="30"/>
        <v>café</v>
      </c>
      <c r="J127"/>
    </row>
    <row r="128" spans="1:10" ht="75">
      <c r="A128" t="s">
        <v>224</v>
      </c>
      <c r="B128" t="s">
        <v>148</v>
      </c>
      <c r="C128" t="s">
        <v>123</v>
      </c>
      <c r="D128" t="str">
        <f t="shared" si="20"/>
        <v>théQuestion 30</v>
      </c>
      <c r="E128" s="56" t="s">
        <v>257</v>
      </c>
      <c r="G128" s="1" t="str">
        <f t="shared" si="29"/>
        <v>Au minimum 10 % de la végétation naturelle ? (formes diverses telles que systèmes d’agroforesterie, terres en friche, plantation de haies, zones ripariennes tampons)</v>
      </c>
      <c r="H128">
        <f>IF(F128='2. SAISIE DES DONNÉES'!$V$65,-1)+IF(F128='2. SAISIE DES DONNÉES'!$V$66,1)</f>
        <v>0</v>
      </c>
      <c r="I128" t="str">
        <f t="shared" si="30"/>
        <v>thé</v>
      </c>
      <c r="J128"/>
    </row>
    <row r="129" spans="1:10" ht="75">
      <c r="A129" t="s">
        <v>224</v>
      </c>
      <c r="B129" t="s">
        <v>142</v>
      </c>
      <c r="C129" t="s">
        <v>123</v>
      </c>
      <c r="D129" t="str">
        <f t="shared" si="20"/>
        <v>les bananesQuestion 30</v>
      </c>
      <c r="E129" s="56" t="s">
        <v>257</v>
      </c>
      <c r="G129" s="1" t="str">
        <f t="shared" si="29"/>
        <v>Au minimum 10 % de la végétation naturelle ? (formes diverses telles que systèmes d’agroforesterie, terres en friche, plantation de haies, zones ripariennes tampons)</v>
      </c>
      <c r="H129">
        <f>IF(F129='2. SAISIE DES DONNÉES'!$V$65,-1)+IF(F129='2. SAISIE DES DONNÉES'!$V$66,1)</f>
        <v>0</v>
      </c>
      <c r="I129" t="str">
        <f t="shared" si="30"/>
        <v>les bananes</v>
      </c>
      <c r="J129"/>
    </row>
    <row r="130" spans="1:10" ht="30">
      <c r="A130" t="s">
        <v>224</v>
      </c>
      <c r="B130" t="s">
        <v>144</v>
      </c>
      <c r="C130" t="s">
        <v>125</v>
      </c>
      <c r="D130" t="str">
        <f t="shared" si="20"/>
        <v>cacaoQuestion 31</v>
      </c>
      <c r="E130" s="56" t="s">
        <v>258</v>
      </c>
      <c r="G130" s="1" t="str">
        <f t="shared" si="29"/>
        <v>Les principales cultures sont-elles produites en agroforesterie ?</v>
      </c>
      <c r="H130">
        <f>IF(F130='2. SAISIE DES DONNÉES'!$V$65,-1)+IF(F130='2. SAISIE DES DONNÉES'!$V$66,1)</f>
        <v>0</v>
      </c>
      <c r="I130" t="str">
        <f t="shared" si="30"/>
        <v>cacao</v>
      </c>
      <c r="J130"/>
    </row>
    <row r="131" spans="1:10" ht="30">
      <c r="A131" t="s">
        <v>224</v>
      </c>
      <c r="B131" t="s">
        <v>147</v>
      </c>
      <c r="C131" t="s">
        <v>125</v>
      </c>
      <c r="D131" t="str">
        <f t="shared" ref="D131:D194" si="31">CONCATENATE(B131,C131)</f>
        <v>caféQuestion 31</v>
      </c>
      <c r="E131" s="56" t="s">
        <v>258</v>
      </c>
      <c r="G131" s="1" t="str">
        <f t="shared" si="29"/>
        <v>Les principales cultures sont-elles produites en agroforesterie ?</v>
      </c>
      <c r="H131">
        <f>IF(F131='2. SAISIE DES DONNÉES'!$V$65,-1)+IF(F131='2. SAISIE DES DONNÉES'!$V$66,1)</f>
        <v>0</v>
      </c>
      <c r="I131" t="str">
        <f t="shared" si="30"/>
        <v>café</v>
      </c>
      <c r="J131"/>
    </row>
    <row r="132" spans="1:10" ht="30">
      <c r="A132" t="s">
        <v>224</v>
      </c>
      <c r="B132" t="s">
        <v>148</v>
      </c>
      <c r="C132" t="s">
        <v>125</v>
      </c>
      <c r="D132" t="str">
        <f t="shared" si="31"/>
        <v>théQuestion 31</v>
      </c>
      <c r="E132" s="56" t="s">
        <v>258</v>
      </c>
      <c r="G132" s="1" t="str">
        <f t="shared" si="29"/>
        <v>Les principales cultures sont-elles produites en agroforesterie ?</v>
      </c>
      <c r="H132">
        <f>IF(F132='2. SAISIE DES DONNÉES'!$V$65,-1)+IF(F132='2. SAISIE DES DONNÉES'!$V$66,1)</f>
        <v>0</v>
      </c>
      <c r="I132" t="str">
        <f t="shared" si="30"/>
        <v>thé</v>
      </c>
      <c r="J132"/>
    </row>
    <row r="133" spans="1:10" ht="30">
      <c r="A133" t="s">
        <v>224</v>
      </c>
      <c r="B133" t="s">
        <v>142</v>
      </c>
      <c r="C133" t="s">
        <v>125</v>
      </c>
      <c r="D133" t="str">
        <f t="shared" si="31"/>
        <v>les bananesQuestion 31</v>
      </c>
      <c r="E133" s="56" t="s">
        <v>258</v>
      </c>
      <c r="G133" s="1" t="str">
        <f t="shared" si="29"/>
        <v>Les principales cultures sont-elles produites en agroforesterie ?</v>
      </c>
      <c r="H133">
        <f>IF(F133='2. SAISIE DES DONNÉES'!$V$65,-1)+IF(F133='2. SAISIE DES DONNÉES'!$V$66,1)</f>
        <v>0</v>
      </c>
      <c r="I133" t="str">
        <f t="shared" si="30"/>
        <v>les bananes</v>
      </c>
      <c r="J133"/>
    </row>
    <row r="134" spans="1:10" ht="75">
      <c r="A134" t="s">
        <v>224</v>
      </c>
      <c r="B134" t="s">
        <v>144</v>
      </c>
      <c r="C134" t="s">
        <v>127</v>
      </c>
      <c r="D134" t="str">
        <f t="shared" si="31"/>
        <v>cacaoQuestion 32</v>
      </c>
      <c r="E134" s="56" t="s">
        <v>259</v>
      </c>
      <c r="G134" s="1" t="str">
        <f t="shared" si="29"/>
        <v>Le couvert arboré des systèmes d’agroforesterie est-il géré conformément aux paramètres d’ombrage et de diversité des essences de feuillus optimaux ou recommandés ?</v>
      </c>
      <c r="H134">
        <f>IF(F134='2. SAISIE DES DONNÉES'!$V$65,-1)+IF(F134='2. SAISIE DES DONNÉES'!$V$66,1)</f>
        <v>0</v>
      </c>
      <c r="I134" t="str">
        <f t="shared" si="30"/>
        <v>cacao</v>
      </c>
      <c r="J134"/>
    </row>
    <row r="135" spans="1:10" ht="75">
      <c r="A135" t="s">
        <v>224</v>
      </c>
      <c r="B135" t="s">
        <v>147</v>
      </c>
      <c r="C135" t="s">
        <v>127</v>
      </c>
      <c r="D135" t="str">
        <f t="shared" si="31"/>
        <v>caféQuestion 32</v>
      </c>
      <c r="E135" s="56" t="s">
        <v>259</v>
      </c>
      <c r="G135" s="1" t="str">
        <f t="shared" si="29"/>
        <v>Le couvert arboré des systèmes d’agroforesterie est-il géré conformément aux paramètres d’ombrage et de diversité des essences de feuillus optimaux ou recommandés ?</v>
      </c>
      <c r="H135">
        <f>IF(F135='2. SAISIE DES DONNÉES'!$V$65,-1)+IF(F135='2. SAISIE DES DONNÉES'!$V$66,1)</f>
        <v>0</v>
      </c>
      <c r="I135" t="str">
        <f t="shared" si="30"/>
        <v>café</v>
      </c>
      <c r="J135"/>
    </row>
    <row r="136" spans="1:10" ht="75">
      <c r="A136" t="s">
        <v>224</v>
      </c>
      <c r="B136" t="s">
        <v>148</v>
      </c>
      <c r="C136" t="s">
        <v>127</v>
      </c>
      <c r="D136" t="str">
        <f t="shared" si="31"/>
        <v>théQuestion 32</v>
      </c>
      <c r="E136" s="56" t="s">
        <v>259</v>
      </c>
      <c r="G136" s="1" t="str">
        <f t="shared" si="29"/>
        <v>Le couvert arboré des systèmes d’agroforesterie est-il géré conformément aux paramètres d’ombrage et de diversité des essences de feuillus optimaux ou recommandés ?</v>
      </c>
      <c r="H136">
        <f>IF(F136='2. SAISIE DES DONNÉES'!$V$65,-1)+IF(F136='2. SAISIE DES DONNÉES'!$V$66,1)</f>
        <v>0</v>
      </c>
      <c r="I136" t="str">
        <f t="shared" si="30"/>
        <v>thé</v>
      </c>
      <c r="J136"/>
    </row>
    <row r="137" spans="1:10" ht="75">
      <c r="A137" t="s">
        <v>224</v>
      </c>
      <c r="B137" t="s">
        <v>142</v>
      </c>
      <c r="C137" t="s">
        <v>127</v>
      </c>
      <c r="D137" t="str">
        <f t="shared" si="31"/>
        <v>les bananesQuestion 32</v>
      </c>
      <c r="E137" s="56" t="s">
        <v>259</v>
      </c>
      <c r="G137" s="1" t="str">
        <f t="shared" si="29"/>
        <v>Le couvert arboré des systèmes d’agroforesterie est-il géré conformément aux paramètres d’ombrage et de diversité des essences de feuillus optimaux ou recommandés ?</v>
      </c>
      <c r="H137">
        <f>IF(F137='2. SAISIE DES DONNÉES'!$V$65,-1)+IF(F137='2. SAISIE DES DONNÉES'!$V$66,1)</f>
        <v>0</v>
      </c>
      <c r="I137" t="str">
        <f t="shared" si="30"/>
        <v>les bananes</v>
      </c>
      <c r="J137"/>
    </row>
    <row r="138" spans="1:10" ht="45">
      <c r="A138" t="s">
        <v>224</v>
      </c>
      <c r="B138" t="s">
        <v>144</v>
      </c>
      <c r="C138" t="s">
        <v>129</v>
      </c>
      <c r="D138" t="str">
        <f t="shared" si="31"/>
        <v>cacaoQuestion 33</v>
      </c>
      <c r="E138" s="1" t="s">
        <v>260</v>
      </c>
      <c r="G138" s="1" t="str">
        <f t="shared" si="29"/>
        <v>Les canaux de drainage (primaires ou secondaires) sont-il recouverts de végétation naturelle ?</v>
      </c>
      <c r="H138">
        <f>IF(F138='2. SAISIE DES DONNÉES'!$V$65,-1)+IF(F138='2. SAISIE DES DONNÉES'!$V$66,1)</f>
        <v>0</v>
      </c>
      <c r="I138" t="str">
        <f t="shared" si="30"/>
        <v>cacao</v>
      </c>
      <c r="J138"/>
    </row>
    <row r="139" spans="1:10" ht="45">
      <c r="A139" t="s">
        <v>224</v>
      </c>
      <c r="B139" t="s">
        <v>147</v>
      </c>
      <c r="C139" t="s">
        <v>129</v>
      </c>
      <c r="D139" t="str">
        <f t="shared" si="31"/>
        <v>caféQuestion 33</v>
      </c>
      <c r="E139" s="1" t="s">
        <v>260</v>
      </c>
      <c r="G139" s="1" t="str">
        <f t="shared" si="29"/>
        <v>Les canaux de drainage (primaires ou secondaires) sont-il recouverts de végétation naturelle ?</v>
      </c>
      <c r="H139">
        <f>IF(F139='2. SAISIE DES DONNÉES'!$V$65,-1)+IF(F139='2. SAISIE DES DONNÉES'!$V$66,1)</f>
        <v>0</v>
      </c>
      <c r="I139" t="str">
        <f t="shared" si="30"/>
        <v>café</v>
      </c>
      <c r="J139"/>
    </row>
    <row r="140" spans="1:10" ht="45">
      <c r="A140" t="s">
        <v>224</v>
      </c>
      <c r="B140" t="s">
        <v>148</v>
      </c>
      <c r="C140" t="s">
        <v>129</v>
      </c>
      <c r="D140" t="str">
        <f t="shared" si="31"/>
        <v>théQuestion 33</v>
      </c>
      <c r="E140" s="1" t="s">
        <v>260</v>
      </c>
      <c r="G140" s="1" t="str">
        <f t="shared" si="29"/>
        <v>Les canaux de drainage (primaires ou secondaires) sont-il recouverts de végétation naturelle ?</v>
      </c>
      <c r="H140">
        <f>IF(F140='2. SAISIE DES DONNÉES'!$V$65,-1)+IF(F140='2. SAISIE DES DONNÉES'!$V$66,1)</f>
        <v>0</v>
      </c>
      <c r="I140" t="str">
        <f t="shared" si="30"/>
        <v>thé</v>
      </c>
      <c r="J140"/>
    </row>
    <row r="141" spans="1:10" ht="45">
      <c r="A141" t="s">
        <v>224</v>
      </c>
      <c r="B141" t="s">
        <v>142</v>
      </c>
      <c r="C141" t="s">
        <v>129</v>
      </c>
      <c r="D141" t="str">
        <f t="shared" si="31"/>
        <v>les bananesQuestion 33</v>
      </c>
      <c r="E141" s="1" t="s">
        <v>260</v>
      </c>
      <c r="G141" s="1" t="str">
        <f t="shared" si="29"/>
        <v>Les canaux de drainage (primaires ou secondaires) sont-il recouverts de végétation naturelle ?</v>
      </c>
      <c r="H141">
        <f>IF(F141='2. SAISIE DES DONNÉES'!$V$65,-1)+IF(F141='2. SAISIE DES DONNÉES'!$V$66,1)</f>
        <v>0</v>
      </c>
      <c r="I141" t="str">
        <f t="shared" si="30"/>
        <v>les bananes</v>
      </c>
      <c r="J141"/>
    </row>
    <row r="142" spans="1:10" ht="60">
      <c r="A142" t="s">
        <v>224</v>
      </c>
      <c r="B142" t="s">
        <v>144</v>
      </c>
      <c r="C142" t="s">
        <v>132</v>
      </c>
      <c r="D142" t="str">
        <f t="shared" si="31"/>
        <v>cacaoQuestion 34</v>
      </c>
      <c r="E142" s="1" t="s">
        <v>261</v>
      </c>
      <c r="G142" s="1" t="str">
        <f t="shared" si="29"/>
        <v>Les variétés ont-elles été sélectionnées en fonction de leur potentiel d’adaptation aux futures changements climatiques ?</v>
      </c>
      <c r="H142">
        <f>IF(F142='2. SAISIE DES DONNÉES'!$V$65,-1)+IF(F142='2. SAISIE DES DONNÉES'!$V$66,1)</f>
        <v>0</v>
      </c>
      <c r="I142" t="str">
        <f t="shared" si="30"/>
        <v>cacao</v>
      </c>
      <c r="J142"/>
    </row>
    <row r="143" spans="1:10" ht="60">
      <c r="A143" t="s">
        <v>224</v>
      </c>
      <c r="B143" t="s">
        <v>147</v>
      </c>
      <c r="C143" t="s">
        <v>132</v>
      </c>
      <c r="D143" t="str">
        <f t="shared" si="31"/>
        <v>caféQuestion 34</v>
      </c>
      <c r="E143" s="1" t="s">
        <v>261</v>
      </c>
      <c r="G143" s="1" t="str">
        <f t="shared" si="29"/>
        <v>Les variétés ont-elles été sélectionnées en fonction de leur potentiel d’adaptation aux futures changements climatiques ?</v>
      </c>
      <c r="H143">
        <f>IF(F143='2. SAISIE DES DONNÉES'!$V$65,-1)+IF(F143='2. SAISIE DES DONNÉES'!$V$66,1)</f>
        <v>0</v>
      </c>
      <c r="I143" t="str">
        <f t="shared" si="30"/>
        <v>café</v>
      </c>
      <c r="J143"/>
    </row>
    <row r="144" spans="1:10" ht="60">
      <c r="A144" t="s">
        <v>224</v>
      </c>
      <c r="B144" t="s">
        <v>148</v>
      </c>
      <c r="C144" t="s">
        <v>132</v>
      </c>
      <c r="D144" t="str">
        <f t="shared" si="31"/>
        <v>théQuestion 34</v>
      </c>
      <c r="E144" s="1" t="s">
        <v>261</v>
      </c>
      <c r="G144" s="1" t="str">
        <f t="shared" si="29"/>
        <v>Les variétés ont-elles été sélectionnées en fonction de leur potentiel d’adaptation aux futures changements climatiques ?</v>
      </c>
      <c r="H144">
        <f>IF(F144='2. SAISIE DES DONNÉES'!$V$65,-1)+IF(F144='2. SAISIE DES DONNÉES'!$V$66,1)</f>
        <v>0</v>
      </c>
      <c r="I144" t="str">
        <f t="shared" si="30"/>
        <v>thé</v>
      </c>
      <c r="J144"/>
    </row>
    <row r="145" spans="1:10" ht="60">
      <c r="A145" t="s">
        <v>224</v>
      </c>
      <c r="B145" t="s">
        <v>142</v>
      </c>
      <c r="C145" t="s">
        <v>132</v>
      </c>
      <c r="D145" t="str">
        <f t="shared" si="31"/>
        <v>les bananesQuestion 34</v>
      </c>
      <c r="E145" s="1" t="s">
        <v>261</v>
      </c>
      <c r="G145" s="1" t="str">
        <f t="shared" si="29"/>
        <v>Les variétés ont-elles été sélectionnées en fonction de leur potentiel d’adaptation aux futures changements climatiques ?</v>
      </c>
      <c r="H145">
        <f>IF(F145='2. SAISIE DES DONNÉES'!$V$65,-1)+IF(F145='2. SAISIE DES DONNÉES'!$V$66,1)</f>
        <v>0</v>
      </c>
      <c r="I145" t="str">
        <f t="shared" si="30"/>
        <v>les bananes</v>
      </c>
      <c r="J145" s="1" t="s">
        <v>262</v>
      </c>
    </row>
    <row r="146" spans="1:10" ht="60">
      <c r="A146" t="s">
        <v>224</v>
      </c>
      <c r="B146" t="s">
        <v>144</v>
      </c>
      <c r="C146" t="s">
        <v>134</v>
      </c>
      <c r="D146" t="str">
        <f t="shared" si="31"/>
        <v>cacaoQuestion 35</v>
      </c>
      <c r="E146" s="1" t="s">
        <v>263</v>
      </c>
      <c r="G146" s="1" t="str">
        <f t="shared" ref="G146:G157" si="32">CONCATENATE(E146,F146)</f>
        <v>Les cultures sont-elles correctement taillées ou élaguées ?</v>
      </c>
      <c r="H146">
        <f>IF(F146='2. SAISIE DES DONNÉES'!$V$65,-1)+IF(F146='2. SAISIE DES DONNÉES'!$V$66,1)</f>
        <v>0</v>
      </c>
      <c r="I146" t="str">
        <f t="shared" ref="I146:I157" si="33">CONCATENATE(B146,F146)</f>
        <v>cacao</v>
      </c>
      <c r="J146" s="1" t="s">
        <v>230</v>
      </c>
    </row>
    <row r="147" spans="1:10" ht="30">
      <c r="A147" t="s">
        <v>224</v>
      </c>
      <c r="B147" t="s">
        <v>147</v>
      </c>
      <c r="C147" t="s">
        <v>134</v>
      </c>
      <c r="D147" t="str">
        <f t="shared" si="31"/>
        <v>caféQuestion 35</v>
      </c>
      <c r="E147" s="1" t="s">
        <v>263</v>
      </c>
      <c r="G147" s="1" t="str">
        <f t="shared" si="32"/>
        <v>Les cultures sont-elles correctement taillées ou élaguées ?</v>
      </c>
      <c r="H147">
        <f>IF(F147='2. SAISIE DES DONNÉES'!$V$65,-1)+IF(F147='2. SAISIE DES DONNÉES'!$V$66,1)</f>
        <v>0</v>
      </c>
      <c r="I147" t="str">
        <f t="shared" si="33"/>
        <v>café</v>
      </c>
      <c r="J147" s="1" t="s">
        <v>232</v>
      </c>
    </row>
    <row r="148" spans="1:10" ht="30">
      <c r="A148" t="s">
        <v>224</v>
      </c>
      <c r="B148" t="s">
        <v>148</v>
      </c>
      <c r="C148" t="s">
        <v>134</v>
      </c>
      <c r="D148" t="str">
        <f t="shared" si="31"/>
        <v>théQuestion 35</v>
      </c>
      <c r="E148" s="1" t="s">
        <v>263</v>
      </c>
      <c r="G148" s="1" t="str">
        <f t="shared" si="32"/>
        <v>Les cultures sont-elles correctement taillées ou élaguées ?</v>
      </c>
      <c r="H148">
        <f>IF(F148='2. SAISIE DES DONNÉES'!$V$65,-1)+IF(F148='2. SAISIE DES DONNÉES'!$V$66,1)</f>
        <v>0</v>
      </c>
      <c r="I148" t="str">
        <f t="shared" si="33"/>
        <v>thé</v>
      </c>
      <c r="J148" s="1" t="s">
        <v>234</v>
      </c>
    </row>
    <row r="149" spans="1:10" ht="30">
      <c r="A149" t="s">
        <v>224</v>
      </c>
      <c r="B149" t="s">
        <v>142</v>
      </c>
      <c r="C149" t="s">
        <v>134</v>
      </c>
      <c r="D149" t="str">
        <f t="shared" si="31"/>
        <v>les bananesQuestion 35</v>
      </c>
      <c r="E149" s="1" t="s">
        <v>263</v>
      </c>
      <c r="G149" s="1" t="str">
        <f t="shared" si="32"/>
        <v>Les cultures sont-elles correctement taillées ou élaguées ?</v>
      </c>
      <c r="H149">
        <f>IF(F149='2. SAISIE DES DONNÉES'!$V$65,-1)+IF(F149='2. SAISIE DES DONNÉES'!$V$66,1)</f>
        <v>0</v>
      </c>
      <c r="I149" t="str">
        <f t="shared" si="33"/>
        <v>les bananes</v>
      </c>
      <c r="J149" s="1" t="s">
        <v>236</v>
      </c>
    </row>
    <row r="150" spans="1:10" ht="45">
      <c r="A150" t="s">
        <v>224</v>
      </c>
      <c r="B150" t="s">
        <v>144</v>
      </c>
      <c r="C150" t="s">
        <v>136</v>
      </c>
      <c r="D150" t="str">
        <f t="shared" si="31"/>
        <v>cacaoQuestion 36</v>
      </c>
      <c r="E150" s="1" t="s">
        <v>264</v>
      </c>
      <c r="G150" s="1" t="str">
        <f t="shared" si="32"/>
        <v>L’exploitation suit-elle un plan intégré de lutte contre les ravageurs et les maladies ?</v>
      </c>
      <c r="H150">
        <f>IF(F150='2. SAISIE DES DONNÉES'!$V$65,-1)+IF(F150='2. SAISIE DES DONNÉES'!$V$66,1)</f>
        <v>0</v>
      </c>
      <c r="I150" t="str">
        <f t="shared" si="33"/>
        <v>cacao</v>
      </c>
      <c r="J150" s="1" t="s">
        <v>240</v>
      </c>
    </row>
    <row r="151" spans="1:10" ht="45">
      <c r="A151" t="s">
        <v>224</v>
      </c>
      <c r="B151" t="s">
        <v>147</v>
      </c>
      <c r="C151" t="s">
        <v>136</v>
      </c>
      <c r="D151" t="str">
        <f t="shared" si="31"/>
        <v>caféQuestion 36</v>
      </c>
      <c r="E151" s="1" t="s">
        <v>264</v>
      </c>
      <c r="G151" s="1" t="str">
        <f t="shared" si="32"/>
        <v>L’exploitation suit-elle un plan intégré de lutte contre les ravageurs et les maladies ?</v>
      </c>
      <c r="H151">
        <f>IF(F151='2. SAISIE DES DONNÉES'!$V$65,-1)+IF(F151='2. SAISIE DES DONNÉES'!$V$66,1)</f>
        <v>0</v>
      </c>
      <c r="I151" t="str">
        <f t="shared" si="33"/>
        <v>café</v>
      </c>
      <c r="J151" s="1" t="s">
        <v>243</v>
      </c>
    </row>
    <row r="152" spans="1:10" ht="45">
      <c r="A152" t="s">
        <v>224</v>
      </c>
      <c r="B152" t="s">
        <v>148</v>
      </c>
      <c r="C152" t="s">
        <v>136</v>
      </c>
      <c r="D152" t="str">
        <f t="shared" si="31"/>
        <v>théQuestion 36</v>
      </c>
      <c r="E152" s="1" t="s">
        <v>264</v>
      </c>
      <c r="G152" s="1" t="str">
        <f t="shared" si="32"/>
        <v>L’exploitation suit-elle un plan intégré de lutte contre les ravageurs et les maladies ?</v>
      </c>
      <c r="H152">
        <f>IF(F152='2. SAISIE DES DONNÉES'!$V$65,-1)+IF(F152='2. SAISIE DES DONNÉES'!$V$66,1)</f>
        <v>0</v>
      </c>
      <c r="I152" t="str">
        <f t="shared" si="33"/>
        <v>thé</v>
      </c>
      <c r="J152" s="1" t="s">
        <v>243</v>
      </c>
    </row>
    <row r="153" spans="1:10" ht="45">
      <c r="A153" t="s">
        <v>224</v>
      </c>
      <c r="B153" t="s">
        <v>142</v>
      </c>
      <c r="C153" t="s">
        <v>136</v>
      </c>
      <c r="D153" t="str">
        <f t="shared" si="31"/>
        <v>les bananesQuestion 36</v>
      </c>
      <c r="E153" s="1" t="s">
        <v>264</v>
      </c>
      <c r="G153" s="1" t="str">
        <f t="shared" si="32"/>
        <v>L’exploitation suit-elle un plan intégré de lutte contre les ravageurs et les maladies ?</v>
      </c>
      <c r="H153">
        <f>IF(F153='2. SAISIE DES DONNÉES'!$V$65,-1)+IF(F153='2. SAISIE DES DONNÉES'!$V$66,1)</f>
        <v>0</v>
      </c>
      <c r="I153" t="str">
        <f t="shared" si="33"/>
        <v>les bananes</v>
      </c>
      <c r="J153" s="1" t="s">
        <v>220</v>
      </c>
    </row>
    <row r="154" spans="1:10" ht="60">
      <c r="A154" t="s">
        <v>224</v>
      </c>
      <c r="B154" t="s">
        <v>144</v>
      </c>
      <c r="C154" t="s">
        <v>138</v>
      </c>
      <c r="D154" t="str">
        <f t="shared" si="31"/>
        <v>cacaoQuestion 37</v>
      </c>
      <c r="E154" s="1" t="s">
        <v>265</v>
      </c>
      <c r="G154" s="1" t="str">
        <f t="shared" si="32"/>
        <v>L’application des engrais est-elle efficace (conformément à l’analyse du sol et des plantes et des besoins des cultures en nutriments) ?</v>
      </c>
      <c r="H154">
        <f>IF(F154='2. SAISIE DES DONNÉES'!$V$65,-1)+IF(F154='2. SAISIE DES DONNÉES'!$V$66,1)</f>
        <v>0</v>
      </c>
      <c r="I154" t="str">
        <f t="shared" si="33"/>
        <v>cacao</v>
      </c>
      <c r="J154" s="1" t="s">
        <v>220</v>
      </c>
    </row>
    <row r="155" spans="1:10" ht="60">
      <c r="A155" t="s">
        <v>224</v>
      </c>
      <c r="B155" t="s">
        <v>147</v>
      </c>
      <c r="C155" t="s">
        <v>138</v>
      </c>
      <c r="D155" t="str">
        <f t="shared" si="31"/>
        <v>caféQuestion 37</v>
      </c>
      <c r="E155" s="1" t="s">
        <v>265</v>
      </c>
      <c r="G155" s="1" t="str">
        <f t="shared" si="32"/>
        <v>L’application des engrais est-elle efficace (conformément à l’analyse du sol et des plantes et des besoins des cultures en nutriments) ?</v>
      </c>
      <c r="H155">
        <f>IF(F155='2. SAISIE DES DONNÉES'!$V$65,-1)+IF(F155='2. SAISIE DES DONNÉES'!$V$66,1)</f>
        <v>0</v>
      </c>
      <c r="I155" t="str">
        <f t="shared" si="33"/>
        <v>café</v>
      </c>
      <c r="J155" s="1" t="s">
        <v>221</v>
      </c>
    </row>
    <row r="156" spans="1:10" ht="60">
      <c r="A156" t="s">
        <v>224</v>
      </c>
      <c r="B156" t="s">
        <v>148</v>
      </c>
      <c r="C156" t="s">
        <v>138</v>
      </c>
      <c r="D156" t="str">
        <f t="shared" si="31"/>
        <v>théQuestion 37</v>
      </c>
      <c r="E156" s="1" t="s">
        <v>265</v>
      </c>
      <c r="G156" s="1" t="str">
        <f t="shared" si="32"/>
        <v>L’application des engrais est-elle efficace (conformément à l’analyse du sol et des plantes et des besoins des cultures en nutriments) ?</v>
      </c>
      <c r="H156">
        <f>IF(F156='2. SAISIE DES DONNÉES'!$V$65,-1)+IF(F156='2. SAISIE DES DONNÉES'!$V$66,1)</f>
        <v>0</v>
      </c>
      <c r="I156" t="str">
        <f t="shared" si="33"/>
        <v>thé</v>
      </c>
      <c r="J156" s="1" t="s">
        <v>222</v>
      </c>
    </row>
    <row r="157" spans="1:10" ht="60">
      <c r="A157" t="s">
        <v>224</v>
      </c>
      <c r="B157" t="s">
        <v>142</v>
      </c>
      <c r="C157" t="s">
        <v>138</v>
      </c>
      <c r="D157" t="str">
        <f t="shared" si="31"/>
        <v>les bananesQuestion 37</v>
      </c>
      <c r="E157" s="1" t="s">
        <v>265</v>
      </c>
      <c r="G157" s="1" t="str">
        <f t="shared" si="32"/>
        <v>L’application des engrais est-elle efficace (conformément à l’analyse du sol et des plantes et des besoins des cultures en nutriments) ?</v>
      </c>
      <c r="H157">
        <f>IF(F157='2. SAISIE DES DONNÉES'!$V$65,-1)+IF(F157='2. SAISIE DES DONNÉES'!$V$66,1)</f>
        <v>0</v>
      </c>
      <c r="I157" t="str">
        <f t="shared" si="33"/>
        <v>les bananes</v>
      </c>
      <c r="J157" s="1" t="s">
        <v>223</v>
      </c>
    </row>
    <row r="158" spans="1:10" ht="45">
      <c r="A158" t="s">
        <v>204</v>
      </c>
      <c r="B158" t="s">
        <v>144</v>
      </c>
      <c r="C158" t="s">
        <v>59</v>
      </c>
      <c r="D158" t="str">
        <f t="shared" si="31"/>
        <v>cacaoQuestion 3a</v>
      </c>
      <c r="E158" s="1" t="s">
        <v>266</v>
      </c>
      <c r="F158" t="s">
        <v>141</v>
      </c>
      <c r="G158" s="1" t="str">
        <f t="shared" ref="G158:G169" si="34">CONCATENATE(E158,F158)</f>
        <v>Les précipitations ont-elles augmenté (au cours des 5 à 10 dernières années) ?oui</v>
      </c>
      <c r="H158">
        <f>IF(F158='2. SAISIE DES DONNÉES'!$V$65,-1)+IF(F158='2. SAISIE DES DONNÉES'!$V$66,1)</f>
        <v>-1</v>
      </c>
      <c r="I158" t="str">
        <f t="shared" ref="I158:I169" si="35">CONCATENATE(B158,F158)</f>
        <v>cacaooui</v>
      </c>
    </row>
    <row r="159" spans="1:10" ht="45">
      <c r="A159" t="s">
        <v>204</v>
      </c>
      <c r="B159" t="s">
        <v>142</v>
      </c>
      <c r="C159" t="s">
        <v>59</v>
      </c>
      <c r="D159" t="str">
        <f t="shared" si="31"/>
        <v>les bananesQuestion 3a</v>
      </c>
      <c r="E159" s="1" t="s">
        <v>266</v>
      </c>
      <c r="F159" t="s">
        <v>141</v>
      </c>
      <c r="G159" s="1" t="str">
        <f t="shared" si="34"/>
        <v>Les précipitations ont-elles augmenté (au cours des 5 à 10 dernières années) ?oui</v>
      </c>
      <c r="H159">
        <f>IF(F159='2. SAISIE DES DONNÉES'!$V$65,-1)+IF(F159='2. SAISIE DES DONNÉES'!$V$66,1)</f>
        <v>-1</v>
      </c>
      <c r="I159" t="str">
        <f t="shared" si="35"/>
        <v>les bananesoui</v>
      </c>
    </row>
    <row r="160" spans="1:10" ht="45">
      <c r="A160" t="s">
        <v>204</v>
      </c>
      <c r="B160" t="s">
        <v>148</v>
      </c>
      <c r="C160" t="s">
        <v>59</v>
      </c>
      <c r="D160" t="str">
        <f t="shared" si="31"/>
        <v>théQuestion 3a</v>
      </c>
      <c r="E160" s="1" t="s">
        <v>266</v>
      </c>
      <c r="F160" t="s">
        <v>141</v>
      </c>
      <c r="G160" s="1" t="str">
        <f t="shared" si="34"/>
        <v>Les précipitations ont-elles augmenté (au cours des 5 à 10 dernières années) ?oui</v>
      </c>
      <c r="H160">
        <f>IF(F160='2. SAISIE DES DONNÉES'!$V$65,-1)+IF(F160='2. SAISIE DES DONNÉES'!$V$66,1)</f>
        <v>-1</v>
      </c>
      <c r="I160" t="str">
        <f t="shared" si="35"/>
        <v>théoui</v>
      </c>
    </row>
    <row r="161" spans="1:9" ht="45">
      <c r="A161" t="s">
        <v>204</v>
      </c>
      <c r="B161" t="s">
        <v>147</v>
      </c>
      <c r="C161" t="s">
        <v>59</v>
      </c>
      <c r="D161" t="str">
        <f t="shared" si="31"/>
        <v>caféQuestion 3a</v>
      </c>
      <c r="E161" s="1" t="s">
        <v>266</v>
      </c>
      <c r="F161" t="s">
        <v>141</v>
      </c>
      <c r="G161" s="1" t="str">
        <f t="shared" si="34"/>
        <v>Les précipitations ont-elles augmenté (au cours des 5 à 10 dernières années) ?oui</v>
      </c>
      <c r="H161">
        <f>IF(F161='2. SAISIE DES DONNÉES'!$V$65,-1)+IF(F161='2. SAISIE DES DONNÉES'!$V$66,1)</f>
        <v>-1</v>
      </c>
      <c r="I161" t="str">
        <f t="shared" si="35"/>
        <v>caféoui</v>
      </c>
    </row>
    <row r="162" spans="1:9" ht="45">
      <c r="A162" t="s">
        <v>204</v>
      </c>
      <c r="B162" t="s">
        <v>144</v>
      </c>
      <c r="C162" t="s">
        <v>59</v>
      </c>
      <c r="D162" t="str">
        <f t="shared" si="31"/>
        <v>cacaoQuestion 3a</v>
      </c>
      <c r="E162" s="1" t="s">
        <v>266</v>
      </c>
      <c r="F162" t="s">
        <v>143</v>
      </c>
      <c r="G162" s="1" t="str">
        <f t="shared" si="34"/>
        <v>Les précipitations ont-elles augmenté (au cours des 5 à 10 dernières années) ?non</v>
      </c>
      <c r="H162">
        <f>IF(F162='2. SAISIE DES DONNÉES'!$V$65,-1)+IF(F162='2. SAISIE DES DONNÉES'!$V$66,1)</f>
        <v>1</v>
      </c>
      <c r="I162" t="str">
        <f t="shared" si="35"/>
        <v>cacaonon</v>
      </c>
    </row>
    <row r="163" spans="1:9" ht="45">
      <c r="A163" t="s">
        <v>204</v>
      </c>
      <c r="B163" t="s">
        <v>142</v>
      </c>
      <c r="C163" t="s">
        <v>59</v>
      </c>
      <c r="D163" t="str">
        <f t="shared" si="31"/>
        <v>les bananesQuestion 3a</v>
      </c>
      <c r="E163" s="1" t="s">
        <v>266</v>
      </c>
      <c r="F163" t="s">
        <v>143</v>
      </c>
      <c r="G163" s="1" t="str">
        <f t="shared" si="34"/>
        <v>Les précipitations ont-elles augmenté (au cours des 5 à 10 dernières années) ?non</v>
      </c>
      <c r="H163">
        <f>IF(F163='2. SAISIE DES DONNÉES'!$V$65,-1)+IF(F163='2. SAISIE DES DONNÉES'!$V$66,1)</f>
        <v>1</v>
      </c>
      <c r="I163" t="str">
        <f t="shared" si="35"/>
        <v>les bananesnon</v>
      </c>
    </row>
    <row r="164" spans="1:9" ht="45">
      <c r="A164" t="s">
        <v>204</v>
      </c>
      <c r="B164" t="s">
        <v>148</v>
      </c>
      <c r="C164" t="s">
        <v>59</v>
      </c>
      <c r="D164" t="str">
        <f t="shared" si="31"/>
        <v>théQuestion 3a</v>
      </c>
      <c r="E164" s="1" t="s">
        <v>266</v>
      </c>
      <c r="F164" t="s">
        <v>143</v>
      </c>
      <c r="G164" s="1" t="str">
        <f t="shared" si="34"/>
        <v>Les précipitations ont-elles augmenté (au cours des 5 à 10 dernières années) ?non</v>
      </c>
      <c r="H164">
        <f>IF(F164='2. SAISIE DES DONNÉES'!$V$65,-1)+IF(F164='2. SAISIE DES DONNÉES'!$V$66,1)</f>
        <v>1</v>
      </c>
      <c r="I164" t="str">
        <f t="shared" si="35"/>
        <v>thénon</v>
      </c>
    </row>
    <row r="165" spans="1:9" ht="45">
      <c r="A165" t="s">
        <v>204</v>
      </c>
      <c r="B165" t="s">
        <v>147</v>
      </c>
      <c r="C165" t="s">
        <v>59</v>
      </c>
      <c r="D165" t="str">
        <f t="shared" si="31"/>
        <v>caféQuestion 3a</v>
      </c>
      <c r="E165" s="1" t="s">
        <v>266</v>
      </c>
      <c r="F165" t="s">
        <v>143</v>
      </c>
      <c r="G165" s="1" t="str">
        <f t="shared" si="34"/>
        <v>Les précipitations ont-elles augmenté (au cours des 5 à 10 dernières années) ?non</v>
      </c>
      <c r="H165">
        <f>IF(F165='2. SAISIE DES DONNÉES'!$V$65,-1)+IF(F165='2. SAISIE DES DONNÉES'!$V$66,1)</f>
        <v>1</v>
      </c>
      <c r="I165" t="str">
        <f t="shared" si="35"/>
        <v>cafénon</v>
      </c>
    </row>
    <row r="166" spans="1:9" ht="45">
      <c r="A166" t="s">
        <v>204</v>
      </c>
      <c r="B166" t="s">
        <v>144</v>
      </c>
      <c r="C166" t="s">
        <v>60</v>
      </c>
      <c r="D166" t="str">
        <f t="shared" si="31"/>
        <v>cacaoQuestion 3b</v>
      </c>
      <c r="E166" s="1" t="s">
        <v>267</v>
      </c>
      <c r="F166" t="s">
        <v>141</v>
      </c>
      <c r="G166" s="1" t="str">
        <f t="shared" si="34"/>
        <v>Les inondations et  les glissements de terrain ont-ils augmenté (au cours des 5 à 10 dernières années) ?oui</v>
      </c>
      <c r="H166">
        <f>IF(F166='2. SAISIE DES DONNÉES'!$V$65,-1)+IF(F166='2. SAISIE DES DONNÉES'!$V$66,1)</f>
        <v>-1</v>
      </c>
      <c r="I166" t="str">
        <f t="shared" si="35"/>
        <v>cacaooui</v>
      </c>
    </row>
    <row r="167" spans="1:9" ht="45">
      <c r="A167" t="s">
        <v>204</v>
      </c>
      <c r="B167" t="s">
        <v>142</v>
      </c>
      <c r="C167" t="s">
        <v>60</v>
      </c>
      <c r="D167" t="str">
        <f t="shared" si="31"/>
        <v>les bananesQuestion 3b</v>
      </c>
      <c r="E167" s="1" t="s">
        <v>267</v>
      </c>
      <c r="F167" t="s">
        <v>141</v>
      </c>
      <c r="G167" s="1" t="str">
        <f t="shared" si="34"/>
        <v>Les inondations et  les glissements de terrain ont-ils augmenté (au cours des 5 à 10 dernières années) ?oui</v>
      </c>
      <c r="H167">
        <f>IF(F167='2. SAISIE DES DONNÉES'!$V$65,-1)+IF(F167='2. SAISIE DES DONNÉES'!$V$66,1)</f>
        <v>-1</v>
      </c>
      <c r="I167" t="str">
        <f t="shared" si="35"/>
        <v>les bananesoui</v>
      </c>
    </row>
    <row r="168" spans="1:9" ht="45">
      <c r="A168" t="s">
        <v>204</v>
      </c>
      <c r="B168" t="s">
        <v>148</v>
      </c>
      <c r="C168" t="s">
        <v>60</v>
      </c>
      <c r="D168" t="str">
        <f t="shared" si="31"/>
        <v>théQuestion 3b</v>
      </c>
      <c r="E168" s="1" t="s">
        <v>267</v>
      </c>
      <c r="F168" t="s">
        <v>141</v>
      </c>
      <c r="G168" s="1" t="str">
        <f t="shared" si="34"/>
        <v>Les inondations et  les glissements de terrain ont-ils augmenté (au cours des 5 à 10 dernières années) ?oui</v>
      </c>
      <c r="H168">
        <f>IF(F168='2. SAISIE DES DONNÉES'!$V$65,-1)+IF(F168='2. SAISIE DES DONNÉES'!$V$66,1)</f>
        <v>-1</v>
      </c>
      <c r="I168" t="str">
        <f t="shared" si="35"/>
        <v>théoui</v>
      </c>
    </row>
    <row r="169" spans="1:9" ht="45">
      <c r="A169" t="s">
        <v>204</v>
      </c>
      <c r="B169" t="s">
        <v>147</v>
      </c>
      <c r="C169" t="s">
        <v>60</v>
      </c>
      <c r="D169" t="str">
        <f t="shared" si="31"/>
        <v>caféQuestion 3b</v>
      </c>
      <c r="E169" s="1" t="s">
        <v>267</v>
      </c>
      <c r="F169" t="s">
        <v>141</v>
      </c>
      <c r="G169" s="1" t="str">
        <f t="shared" si="34"/>
        <v>Les inondations et  les glissements de terrain ont-ils augmenté (au cours des 5 à 10 dernières années) ?oui</v>
      </c>
      <c r="H169">
        <f>IF(F169='2. SAISIE DES DONNÉES'!$V$65,-1)+IF(F169='2. SAISIE DES DONNÉES'!$V$66,1)</f>
        <v>-1</v>
      </c>
      <c r="I169" t="str">
        <f t="shared" si="35"/>
        <v>caféoui</v>
      </c>
    </row>
    <row r="170" spans="1:9" ht="30">
      <c r="A170" t="s">
        <v>204</v>
      </c>
      <c r="B170" t="s">
        <v>144</v>
      </c>
      <c r="C170" t="s">
        <v>61</v>
      </c>
      <c r="D170" t="str">
        <f t="shared" si="31"/>
        <v>cacaoQuestion 4</v>
      </c>
      <c r="E170" s="4" t="s">
        <v>268</v>
      </c>
      <c r="F170" t="s">
        <v>141</v>
      </c>
      <c r="G170" s="1"/>
      <c r="H170">
        <f>IF(F170='2. SAISIE DES DONNÉES'!$V$65,-1)+IF(F170='2. SAISIE DES DONNÉES'!$V$66,1)</f>
        <v>-1</v>
      </c>
      <c r="I170" t="str">
        <f t="shared" ref="I170:I171" si="36">CONCATENATE(B170,F170)</f>
        <v>cacaooui</v>
      </c>
    </row>
    <row r="171" spans="1:9" ht="30">
      <c r="A171" t="s">
        <v>204</v>
      </c>
      <c r="B171" t="s">
        <v>144</v>
      </c>
      <c r="C171" t="s">
        <v>61</v>
      </c>
      <c r="D171" t="str">
        <f t="shared" si="31"/>
        <v>cacaoQuestion 4</v>
      </c>
      <c r="E171" s="4" t="s">
        <v>268</v>
      </c>
      <c r="F171" t="s">
        <v>143</v>
      </c>
      <c r="G171" s="1"/>
      <c r="H171">
        <f>IF(F171='2. SAISIE DES DONNÉES'!$V$65,-1)+IF(F171='2. SAISIE DES DONNÉES'!$V$66,1)</f>
        <v>1</v>
      </c>
      <c r="I171" t="str">
        <f t="shared" si="36"/>
        <v>cacaonon</v>
      </c>
    </row>
    <row r="172" spans="1:9" ht="30">
      <c r="A172" t="s">
        <v>204</v>
      </c>
      <c r="B172" t="s">
        <v>147</v>
      </c>
      <c r="C172" t="s">
        <v>61</v>
      </c>
      <c r="D172" t="str">
        <f t="shared" si="31"/>
        <v>caféQuestion 4</v>
      </c>
      <c r="E172" s="4" t="s">
        <v>268</v>
      </c>
      <c r="F172" t="s">
        <v>141</v>
      </c>
      <c r="G172" s="1"/>
      <c r="H172">
        <f>IF(F172='2. SAISIE DES DONNÉES'!$V$65,-1)+IF(F172='2. SAISIE DES DONNÉES'!$V$66,1)</f>
        <v>-1</v>
      </c>
      <c r="I172" t="str">
        <f t="shared" ref="I172:I177" si="37">CONCATENATE(B172,F172)</f>
        <v>caféoui</v>
      </c>
    </row>
    <row r="173" spans="1:9" ht="30">
      <c r="A173" t="s">
        <v>204</v>
      </c>
      <c r="B173" t="s">
        <v>147</v>
      </c>
      <c r="C173" t="s">
        <v>61</v>
      </c>
      <c r="D173" t="str">
        <f t="shared" si="31"/>
        <v>caféQuestion 4</v>
      </c>
      <c r="E173" s="4" t="s">
        <v>268</v>
      </c>
      <c r="F173" t="s">
        <v>143</v>
      </c>
      <c r="G173" s="1"/>
      <c r="H173">
        <f>IF(F173='2. SAISIE DES DONNÉES'!$V$65,-1)+IF(F173='2. SAISIE DES DONNÉES'!$V$66,1)</f>
        <v>1</v>
      </c>
      <c r="I173" t="str">
        <f t="shared" si="37"/>
        <v>cafénon</v>
      </c>
    </row>
    <row r="174" spans="1:9" ht="30">
      <c r="A174" t="s">
        <v>204</v>
      </c>
      <c r="B174" t="s">
        <v>148</v>
      </c>
      <c r="C174" t="s">
        <v>61</v>
      </c>
      <c r="D174" t="str">
        <f t="shared" si="31"/>
        <v>théQuestion 4</v>
      </c>
      <c r="E174" s="4" t="s">
        <v>268</v>
      </c>
      <c r="F174" t="s">
        <v>141</v>
      </c>
      <c r="H174">
        <f>IF(F174='2. SAISIE DES DONNÉES'!$V$65,-1)+IF(F174='2. SAISIE DES DONNÉES'!$V$66,1)</f>
        <v>-1</v>
      </c>
      <c r="I174" t="str">
        <f t="shared" si="37"/>
        <v>théoui</v>
      </c>
    </row>
    <row r="175" spans="1:9" ht="30">
      <c r="A175" t="s">
        <v>204</v>
      </c>
      <c r="B175" t="s">
        <v>148</v>
      </c>
      <c r="C175" t="s">
        <v>61</v>
      </c>
      <c r="D175" t="str">
        <f t="shared" si="31"/>
        <v>théQuestion 4</v>
      </c>
      <c r="E175" s="4" t="s">
        <v>268</v>
      </c>
      <c r="F175" t="s">
        <v>143</v>
      </c>
      <c r="H175">
        <f>IF(F175='2. SAISIE DES DONNÉES'!$V$65,-1)+IF(F175='2. SAISIE DES DONNÉES'!$V$66,1)</f>
        <v>1</v>
      </c>
      <c r="I175" t="str">
        <f t="shared" si="37"/>
        <v>thénon</v>
      </c>
    </row>
    <row r="176" spans="1:9" ht="30">
      <c r="A176" t="s">
        <v>204</v>
      </c>
      <c r="B176" t="s">
        <v>142</v>
      </c>
      <c r="C176" t="s">
        <v>61</v>
      </c>
      <c r="D176" t="str">
        <f t="shared" si="31"/>
        <v>les bananesQuestion 4</v>
      </c>
      <c r="E176" s="1" t="s">
        <v>269</v>
      </c>
      <c r="F176" t="s">
        <v>141</v>
      </c>
      <c r="H176">
        <f>IF(F176='2. SAISIE DES DONNÉES'!$V$65,-1)+IF(F176='2. SAISIE DES DONNÉES'!$V$66,1)</f>
        <v>-1</v>
      </c>
      <c r="I176" t="str">
        <f t="shared" si="37"/>
        <v>les bananesoui</v>
      </c>
    </row>
    <row r="177" spans="1:9" ht="30">
      <c r="A177" t="s">
        <v>204</v>
      </c>
      <c r="B177" t="s">
        <v>142</v>
      </c>
      <c r="C177" t="s">
        <v>61</v>
      </c>
      <c r="D177" t="str">
        <f t="shared" si="31"/>
        <v>les bananesQuestion 4</v>
      </c>
      <c r="E177" s="1" t="s">
        <v>269</v>
      </c>
      <c r="F177" t="s">
        <v>143</v>
      </c>
      <c r="H177">
        <f>IF(F177='2. SAISIE DES DONNÉES'!$V$65,-1)+IF(F177='2. SAISIE DES DONNÉES'!$V$66,1)</f>
        <v>1</v>
      </c>
      <c r="I177" t="str">
        <f t="shared" si="37"/>
        <v>les bananesnon</v>
      </c>
    </row>
    <row r="178" spans="1:9" ht="45">
      <c r="A178" t="s">
        <v>204</v>
      </c>
      <c r="B178" t="s">
        <v>144</v>
      </c>
      <c r="C178" t="s">
        <v>62</v>
      </c>
      <c r="D178" t="str">
        <f t="shared" si="31"/>
        <v>cacaoQuestion 5</v>
      </c>
      <c r="E178" s="4" t="s">
        <v>270</v>
      </c>
      <c r="F178" t="s">
        <v>141</v>
      </c>
      <c r="H178">
        <f>IF(F178='2. SAISIE DES DONNÉES'!$V$65,-1)+IF(F178='2. SAISIE DES DONNÉES'!$V$66,1)</f>
        <v>-1</v>
      </c>
      <c r="I178" t="str">
        <f t="shared" ref="I178:I179" si="38">CONCATENATE(B178,F178)</f>
        <v>cacaooui</v>
      </c>
    </row>
    <row r="179" spans="1:9" ht="45">
      <c r="A179" t="s">
        <v>204</v>
      </c>
      <c r="B179" t="s">
        <v>144</v>
      </c>
      <c r="C179" t="s">
        <v>62</v>
      </c>
      <c r="D179" t="str">
        <f t="shared" si="31"/>
        <v>cacaoQuestion 5</v>
      </c>
      <c r="E179" s="4" t="s">
        <v>270</v>
      </c>
      <c r="F179" t="s">
        <v>143</v>
      </c>
      <c r="H179">
        <f>IF(F179='2. SAISIE DES DONNÉES'!$V$65,-1)+IF(F179='2. SAISIE DES DONNÉES'!$V$66,1)</f>
        <v>1</v>
      </c>
      <c r="I179" t="str">
        <f t="shared" si="38"/>
        <v>cacaonon</v>
      </c>
    </row>
    <row r="180" spans="1:9" ht="45">
      <c r="A180" t="s">
        <v>204</v>
      </c>
      <c r="B180" t="s">
        <v>147</v>
      </c>
      <c r="C180" t="s">
        <v>62</v>
      </c>
      <c r="D180" t="str">
        <f t="shared" si="31"/>
        <v>caféQuestion 5</v>
      </c>
      <c r="E180" s="4" t="s">
        <v>270</v>
      </c>
      <c r="F180" t="s">
        <v>141</v>
      </c>
      <c r="H180">
        <f>IF(F180='2. SAISIE DES DONNÉES'!$V$65,-1)+IF(F180='2. SAISIE DES DONNÉES'!$V$66,1)</f>
        <v>-1</v>
      </c>
      <c r="I180" t="str">
        <f t="shared" ref="I180:I185" si="39">CONCATENATE(B180,F180)</f>
        <v>caféoui</v>
      </c>
    </row>
    <row r="181" spans="1:9" ht="45">
      <c r="A181" t="s">
        <v>204</v>
      </c>
      <c r="B181" t="s">
        <v>147</v>
      </c>
      <c r="C181" t="s">
        <v>62</v>
      </c>
      <c r="D181" t="str">
        <f t="shared" si="31"/>
        <v>caféQuestion 5</v>
      </c>
      <c r="E181" s="4" t="s">
        <v>270</v>
      </c>
      <c r="F181" t="s">
        <v>143</v>
      </c>
      <c r="H181">
        <f>IF(F181='2. SAISIE DES DONNÉES'!$V$65,-1)+IF(F181='2. SAISIE DES DONNÉES'!$V$66,1)</f>
        <v>1</v>
      </c>
      <c r="I181" t="str">
        <f t="shared" si="39"/>
        <v>cafénon</v>
      </c>
    </row>
    <row r="182" spans="1:9" ht="45">
      <c r="A182" t="s">
        <v>204</v>
      </c>
      <c r="B182" t="s">
        <v>148</v>
      </c>
      <c r="C182" t="s">
        <v>62</v>
      </c>
      <c r="D182" t="str">
        <f t="shared" si="31"/>
        <v>théQuestion 5</v>
      </c>
      <c r="E182" s="4" t="s">
        <v>270</v>
      </c>
      <c r="F182" t="s">
        <v>141</v>
      </c>
      <c r="H182">
        <f>IF(F182='2. SAISIE DES DONNÉES'!$V$65,-1)+IF(F182='2. SAISIE DES DONNÉES'!$V$66,1)</f>
        <v>-1</v>
      </c>
      <c r="I182" t="str">
        <f t="shared" si="39"/>
        <v>théoui</v>
      </c>
    </row>
    <row r="183" spans="1:9" ht="45">
      <c r="A183" t="s">
        <v>204</v>
      </c>
      <c r="B183" t="s">
        <v>148</v>
      </c>
      <c r="C183" t="s">
        <v>62</v>
      </c>
      <c r="D183" t="str">
        <f t="shared" si="31"/>
        <v>théQuestion 5</v>
      </c>
      <c r="E183" s="4" t="s">
        <v>270</v>
      </c>
      <c r="F183" t="s">
        <v>143</v>
      </c>
      <c r="H183">
        <f>IF(F183='2. SAISIE DES DONNÉES'!$V$65,-1)+IF(F183='2. SAISIE DES DONNÉES'!$V$66,1)</f>
        <v>1</v>
      </c>
      <c r="I183" t="str">
        <f t="shared" si="39"/>
        <v>thénon</v>
      </c>
    </row>
    <row r="184" spans="1:9" ht="45">
      <c r="A184" t="s">
        <v>204</v>
      </c>
      <c r="B184" t="s">
        <v>142</v>
      </c>
      <c r="C184" t="s">
        <v>62</v>
      </c>
      <c r="D184" t="str">
        <f t="shared" si="31"/>
        <v>les bananesQuestion 5</v>
      </c>
      <c r="E184" s="1" t="s">
        <v>271</v>
      </c>
      <c r="F184" t="s">
        <v>141</v>
      </c>
      <c r="H184">
        <f>IF(F184='2. SAISIE DES DONNÉES'!$V$65,-1)+IF(F184='2. SAISIE DES DONNÉES'!$V$66,1)</f>
        <v>-1</v>
      </c>
      <c r="I184" t="str">
        <f t="shared" si="39"/>
        <v>les bananesoui</v>
      </c>
    </row>
    <row r="185" spans="1:9" ht="45">
      <c r="A185" t="s">
        <v>204</v>
      </c>
      <c r="B185" t="s">
        <v>142</v>
      </c>
      <c r="C185" t="s">
        <v>62</v>
      </c>
      <c r="D185" t="str">
        <f t="shared" si="31"/>
        <v>les bananesQuestion 5</v>
      </c>
      <c r="E185" s="1" t="s">
        <v>271</v>
      </c>
      <c r="F185" t="s">
        <v>143</v>
      </c>
      <c r="H185">
        <f>IF(F185='2. SAISIE DES DONNÉES'!$V$65,-1)+IF(F185='2. SAISIE DES DONNÉES'!$V$66,1)</f>
        <v>1</v>
      </c>
      <c r="I185" t="str">
        <f t="shared" si="39"/>
        <v>les bananesnon</v>
      </c>
    </row>
    <row r="186" spans="1:9" ht="45">
      <c r="A186" t="s">
        <v>204</v>
      </c>
      <c r="B186" t="s">
        <v>144</v>
      </c>
      <c r="C186" t="s">
        <v>63</v>
      </c>
      <c r="D186" t="str">
        <f t="shared" si="31"/>
        <v>cacaoQuestion 6</v>
      </c>
      <c r="E186" s="3" t="s">
        <v>272</v>
      </c>
      <c r="F186" t="s">
        <v>141</v>
      </c>
      <c r="H186">
        <f>IF(F186='2. SAISIE DES DONNÉES'!$V$65,-1)+IF(F186='2. SAISIE DES DONNÉES'!$V$66,1)</f>
        <v>-1</v>
      </c>
      <c r="I186" t="str">
        <f t="shared" ref="I186:I187" si="40">CONCATENATE(B186,F186)</f>
        <v>cacaooui</v>
      </c>
    </row>
    <row r="187" spans="1:9" ht="45">
      <c r="A187" t="s">
        <v>204</v>
      </c>
      <c r="B187" t="s">
        <v>144</v>
      </c>
      <c r="C187" t="s">
        <v>63</v>
      </c>
      <c r="D187" t="str">
        <f t="shared" si="31"/>
        <v>cacaoQuestion 6</v>
      </c>
      <c r="E187" s="3" t="s">
        <v>273</v>
      </c>
      <c r="F187" t="s">
        <v>143</v>
      </c>
      <c r="H187">
        <f>IF(F187='2. SAISIE DES DONNÉES'!$V$65,-1)+IF(F187='2. SAISIE DES DONNÉES'!$V$66,1)</f>
        <v>1</v>
      </c>
      <c r="I187" t="str">
        <f t="shared" si="40"/>
        <v>cacaonon</v>
      </c>
    </row>
    <row r="188" spans="1:9" ht="45">
      <c r="A188" t="s">
        <v>204</v>
      </c>
      <c r="B188" t="s">
        <v>147</v>
      </c>
      <c r="C188" t="s">
        <v>63</v>
      </c>
      <c r="D188" t="str">
        <f t="shared" si="31"/>
        <v>caféQuestion 6</v>
      </c>
      <c r="E188" s="3" t="s">
        <v>272</v>
      </c>
      <c r="F188" t="s">
        <v>141</v>
      </c>
      <c r="H188">
        <f>IF(F188='2. SAISIE DES DONNÉES'!$V$65,-1)+IF(F188='2. SAISIE DES DONNÉES'!$V$66,1)</f>
        <v>-1</v>
      </c>
      <c r="I188" t="str">
        <f t="shared" ref="I188:I193" si="41">CONCATENATE(B188,F188)</f>
        <v>caféoui</v>
      </c>
    </row>
    <row r="189" spans="1:9" ht="45">
      <c r="A189" t="s">
        <v>204</v>
      </c>
      <c r="B189" t="s">
        <v>147</v>
      </c>
      <c r="C189" t="s">
        <v>63</v>
      </c>
      <c r="D189" t="str">
        <f t="shared" si="31"/>
        <v>caféQuestion 6</v>
      </c>
      <c r="E189" s="3" t="s">
        <v>273</v>
      </c>
      <c r="F189" t="s">
        <v>143</v>
      </c>
      <c r="H189">
        <f>IF(F189='2. SAISIE DES DONNÉES'!$V$65,-1)+IF(F189='2. SAISIE DES DONNÉES'!$V$66,1)</f>
        <v>1</v>
      </c>
      <c r="I189" t="str">
        <f t="shared" si="41"/>
        <v>cafénon</v>
      </c>
    </row>
    <row r="190" spans="1:9" ht="45">
      <c r="A190" t="s">
        <v>204</v>
      </c>
      <c r="B190" t="s">
        <v>148</v>
      </c>
      <c r="C190" t="s">
        <v>63</v>
      </c>
      <c r="D190" t="str">
        <f t="shared" si="31"/>
        <v>théQuestion 6</v>
      </c>
      <c r="E190" s="3" t="s">
        <v>272</v>
      </c>
      <c r="F190" t="s">
        <v>141</v>
      </c>
      <c r="H190">
        <f>IF(F190='2. SAISIE DES DONNÉES'!$V$65,-1)+IF(F190='2. SAISIE DES DONNÉES'!$V$66,1)</f>
        <v>-1</v>
      </c>
      <c r="I190" t="str">
        <f t="shared" si="41"/>
        <v>théoui</v>
      </c>
    </row>
    <row r="191" spans="1:9" ht="45">
      <c r="A191" t="s">
        <v>204</v>
      </c>
      <c r="B191" t="s">
        <v>148</v>
      </c>
      <c r="C191" t="s">
        <v>63</v>
      </c>
      <c r="D191" t="str">
        <f t="shared" si="31"/>
        <v>théQuestion 6</v>
      </c>
      <c r="E191" s="3" t="s">
        <v>273</v>
      </c>
      <c r="F191" t="s">
        <v>143</v>
      </c>
      <c r="H191">
        <f>IF(F191='2. SAISIE DES DONNÉES'!$V$65,-1)+IF(F191='2. SAISIE DES DONNÉES'!$V$66,1)</f>
        <v>1</v>
      </c>
      <c r="I191" t="str">
        <f t="shared" si="41"/>
        <v>thénon</v>
      </c>
    </row>
    <row r="192" spans="1:9" ht="45">
      <c r="A192" t="s">
        <v>204</v>
      </c>
      <c r="B192" t="s">
        <v>142</v>
      </c>
      <c r="C192" t="s">
        <v>63</v>
      </c>
      <c r="D192" t="str">
        <f t="shared" si="31"/>
        <v>les bananesQuestion 6</v>
      </c>
      <c r="E192" s="3" t="s">
        <v>272</v>
      </c>
      <c r="F192" t="s">
        <v>141</v>
      </c>
      <c r="H192">
        <f>IF(F192='2. SAISIE DES DONNÉES'!$V$65,-1)+IF(F192='2. SAISIE DES DONNÉES'!$V$66,1)</f>
        <v>-1</v>
      </c>
      <c r="I192" t="str">
        <f t="shared" si="41"/>
        <v>les bananesoui</v>
      </c>
    </row>
    <row r="193" spans="1:9" ht="45">
      <c r="A193" t="s">
        <v>204</v>
      </c>
      <c r="B193" t="s">
        <v>142</v>
      </c>
      <c r="C193" t="s">
        <v>63</v>
      </c>
      <c r="D193" t="str">
        <f t="shared" si="31"/>
        <v>les bananesQuestion 6</v>
      </c>
      <c r="E193" s="1" t="s">
        <v>273</v>
      </c>
      <c r="F193" t="s">
        <v>143</v>
      </c>
      <c r="H193">
        <f>IF(F193='2. SAISIE DES DONNÉES'!$V$65,-1)+IF(F193='2. SAISIE DES DONNÉES'!$V$66,1)</f>
        <v>1</v>
      </c>
      <c r="I193" t="str">
        <f t="shared" si="41"/>
        <v>les bananesnon</v>
      </c>
    </row>
    <row r="194" spans="1:9" ht="45">
      <c r="A194" t="s">
        <v>206</v>
      </c>
      <c r="B194" t="s">
        <v>144</v>
      </c>
      <c r="C194" t="s">
        <v>65</v>
      </c>
      <c r="D194" t="str">
        <f t="shared" si="31"/>
        <v>cacaoQuestion 7</v>
      </c>
      <c r="E194" s="3" t="s">
        <v>274</v>
      </c>
      <c r="F194" t="s">
        <v>141</v>
      </c>
      <c r="H194">
        <f>IF(F194='2. SAISIE DES DONNÉES'!$V$65,-1)+IF(F194='2. SAISIE DES DONNÉES'!$V$66,1)</f>
        <v>-1</v>
      </c>
      <c r="I194" t="str">
        <f t="shared" ref="I194:I195" si="42">CONCATENATE(B194,F194)</f>
        <v>cacaooui</v>
      </c>
    </row>
    <row r="195" spans="1:9" ht="45">
      <c r="A195" t="s">
        <v>206</v>
      </c>
      <c r="B195" t="s">
        <v>144</v>
      </c>
      <c r="C195" t="s">
        <v>65</v>
      </c>
      <c r="D195" t="str">
        <f t="shared" ref="D195:D217" si="43">CONCATENATE(B195,C195)</f>
        <v>cacaoQuestion 7</v>
      </c>
      <c r="E195" s="3" t="s">
        <v>274</v>
      </c>
      <c r="F195" t="s">
        <v>143</v>
      </c>
      <c r="H195">
        <f>IF(F195='2. SAISIE DES DONNÉES'!$V$65,-1)+IF(F195='2. SAISIE DES DONNÉES'!$V$66,1)</f>
        <v>1</v>
      </c>
      <c r="I195" t="str">
        <f t="shared" si="42"/>
        <v>cacaonon</v>
      </c>
    </row>
    <row r="196" spans="1:9" ht="45">
      <c r="A196" t="s">
        <v>206</v>
      </c>
      <c r="B196" t="s">
        <v>147</v>
      </c>
      <c r="C196" t="s">
        <v>65</v>
      </c>
      <c r="D196" t="str">
        <f t="shared" si="43"/>
        <v>caféQuestion 7</v>
      </c>
      <c r="E196" s="3" t="s">
        <v>274</v>
      </c>
      <c r="F196" t="s">
        <v>141</v>
      </c>
      <c r="H196">
        <f>IF(F196='2. SAISIE DES DONNÉES'!$V$65,-1)+IF(F196='2. SAISIE DES DONNÉES'!$V$66,1)</f>
        <v>-1</v>
      </c>
      <c r="I196" t="str">
        <f t="shared" ref="I196:I201" si="44">CONCATENATE(B196,F196)</f>
        <v>caféoui</v>
      </c>
    </row>
    <row r="197" spans="1:9" ht="45">
      <c r="A197" t="s">
        <v>206</v>
      </c>
      <c r="B197" t="s">
        <v>147</v>
      </c>
      <c r="C197" t="s">
        <v>65</v>
      </c>
      <c r="D197" t="str">
        <f t="shared" si="43"/>
        <v>caféQuestion 7</v>
      </c>
      <c r="E197" s="3" t="s">
        <v>274</v>
      </c>
      <c r="F197" t="s">
        <v>143</v>
      </c>
      <c r="H197">
        <f>IF(F197='2. SAISIE DES DONNÉES'!$V$65,-1)+IF(F197='2. SAISIE DES DONNÉES'!$V$66,1)</f>
        <v>1</v>
      </c>
      <c r="I197" t="str">
        <f t="shared" si="44"/>
        <v>cafénon</v>
      </c>
    </row>
    <row r="198" spans="1:9" ht="45">
      <c r="A198" t="s">
        <v>206</v>
      </c>
      <c r="B198" t="s">
        <v>148</v>
      </c>
      <c r="C198" t="s">
        <v>65</v>
      </c>
      <c r="D198" t="str">
        <f t="shared" si="43"/>
        <v>théQuestion 7</v>
      </c>
      <c r="E198" s="3" t="s">
        <v>274</v>
      </c>
      <c r="F198" t="s">
        <v>141</v>
      </c>
      <c r="H198">
        <f>IF(F198='2. SAISIE DES DONNÉES'!$V$65,-1)+IF(F198='2. SAISIE DES DONNÉES'!$V$66,1)</f>
        <v>-1</v>
      </c>
      <c r="I198" t="str">
        <f t="shared" si="44"/>
        <v>théoui</v>
      </c>
    </row>
    <row r="199" spans="1:9" ht="45">
      <c r="A199" t="s">
        <v>206</v>
      </c>
      <c r="B199" t="s">
        <v>148</v>
      </c>
      <c r="C199" t="s">
        <v>65</v>
      </c>
      <c r="D199" t="str">
        <f t="shared" si="43"/>
        <v>théQuestion 7</v>
      </c>
      <c r="E199" s="3" t="s">
        <v>274</v>
      </c>
      <c r="F199" t="s">
        <v>143</v>
      </c>
      <c r="H199">
        <f>IF(F199='2. SAISIE DES DONNÉES'!$V$65,-1)+IF(F199='2. SAISIE DES DONNÉES'!$V$66,1)</f>
        <v>1</v>
      </c>
      <c r="I199" t="str">
        <f t="shared" si="44"/>
        <v>thénon</v>
      </c>
    </row>
    <row r="200" spans="1:9" ht="45">
      <c r="A200" t="s">
        <v>206</v>
      </c>
      <c r="B200" t="s">
        <v>142</v>
      </c>
      <c r="C200" t="s">
        <v>65</v>
      </c>
      <c r="D200" t="str">
        <f t="shared" si="43"/>
        <v>les bananesQuestion 7</v>
      </c>
      <c r="E200" s="1" t="s">
        <v>274</v>
      </c>
      <c r="F200" t="s">
        <v>141</v>
      </c>
      <c r="H200">
        <f>IF(F200='2. SAISIE DES DONNÉES'!$V$65,-1)+IF(F200='2. SAISIE DES DONNÉES'!$V$66,1)</f>
        <v>-1</v>
      </c>
      <c r="I200" t="str">
        <f t="shared" si="44"/>
        <v>les bananesoui</v>
      </c>
    </row>
    <row r="201" spans="1:9" ht="45">
      <c r="A201" t="s">
        <v>206</v>
      </c>
      <c r="B201" t="s">
        <v>142</v>
      </c>
      <c r="C201" t="s">
        <v>65</v>
      </c>
      <c r="D201" t="str">
        <f t="shared" si="43"/>
        <v>les bananesQuestion 7</v>
      </c>
      <c r="E201" s="1" t="s">
        <v>274</v>
      </c>
      <c r="F201" t="s">
        <v>143</v>
      </c>
      <c r="H201">
        <f>IF(F201='2. SAISIE DES DONNÉES'!$V$65,-1)+IF(F201='2. SAISIE DES DONNÉES'!$V$66,1)</f>
        <v>1</v>
      </c>
      <c r="I201" t="str">
        <f t="shared" si="44"/>
        <v>les bananesnon</v>
      </c>
    </row>
    <row r="202" spans="1:9" ht="30">
      <c r="A202" t="s">
        <v>206</v>
      </c>
      <c r="B202" t="s">
        <v>144</v>
      </c>
      <c r="C202" t="s">
        <v>66</v>
      </c>
      <c r="D202" t="str">
        <f t="shared" si="43"/>
        <v>cacaoQuestion 8</v>
      </c>
      <c r="E202" s="3" t="s">
        <v>275</v>
      </c>
      <c r="F202" t="s">
        <v>141</v>
      </c>
      <c r="H202">
        <f>IF(F202='2. SAISIE DES DONNÉES'!$V$65,-1)+IF(F202='2. SAISIE DES DONNÉES'!$V$66,1)</f>
        <v>-1</v>
      </c>
      <c r="I202" t="str">
        <f t="shared" ref="I202:I203" si="45">CONCATENATE(B202,F202)</f>
        <v>cacaooui</v>
      </c>
    </row>
    <row r="203" spans="1:9" ht="30">
      <c r="A203" t="s">
        <v>206</v>
      </c>
      <c r="B203" t="s">
        <v>144</v>
      </c>
      <c r="C203" t="s">
        <v>66</v>
      </c>
      <c r="D203" t="str">
        <f t="shared" si="43"/>
        <v>cacaoQuestion 8</v>
      </c>
      <c r="E203" s="3" t="s">
        <v>275</v>
      </c>
      <c r="F203" t="s">
        <v>143</v>
      </c>
      <c r="H203">
        <f>IF(F203='2. SAISIE DES DONNÉES'!$V$65,-1)+IF(F203='2. SAISIE DES DONNÉES'!$V$66,1)</f>
        <v>1</v>
      </c>
      <c r="I203" t="str">
        <f t="shared" si="45"/>
        <v>cacaonon</v>
      </c>
    </row>
    <row r="204" spans="1:9" ht="30">
      <c r="A204" t="s">
        <v>206</v>
      </c>
      <c r="B204" t="s">
        <v>147</v>
      </c>
      <c r="C204" t="s">
        <v>66</v>
      </c>
      <c r="D204" t="str">
        <f t="shared" si="43"/>
        <v>caféQuestion 8</v>
      </c>
      <c r="E204" s="3" t="s">
        <v>275</v>
      </c>
      <c r="F204" t="s">
        <v>141</v>
      </c>
      <c r="H204">
        <f>IF(F204='2. SAISIE DES DONNÉES'!$V$65,-1)+IF(F204='2. SAISIE DES DONNÉES'!$V$66,1)</f>
        <v>-1</v>
      </c>
      <c r="I204" t="str">
        <f t="shared" ref="I204:I209" si="46">CONCATENATE(B204,F204)</f>
        <v>caféoui</v>
      </c>
    </row>
    <row r="205" spans="1:9" ht="30">
      <c r="A205" t="s">
        <v>206</v>
      </c>
      <c r="B205" t="s">
        <v>147</v>
      </c>
      <c r="C205" t="s">
        <v>66</v>
      </c>
      <c r="D205" t="str">
        <f t="shared" si="43"/>
        <v>caféQuestion 8</v>
      </c>
      <c r="E205" s="3" t="s">
        <v>275</v>
      </c>
      <c r="F205" t="s">
        <v>143</v>
      </c>
      <c r="H205">
        <f>IF(F205='2. SAISIE DES DONNÉES'!$V$65,-1)+IF(F205='2. SAISIE DES DONNÉES'!$V$66,1)</f>
        <v>1</v>
      </c>
      <c r="I205" t="str">
        <f t="shared" si="46"/>
        <v>cafénon</v>
      </c>
    </row>
    <row r="206" spans="1:9" ht="30">
      <c r="A206" t="s">
        <v>206</v>
      </c>
      <c r="B206" t="s">
        <v>148</v>
      </c>
      <c r="C206" t="s">
        <v>66</v>
      </c>
      <c r="D206" t="str">
        <f t="shared" si="43"/>
        <v>théQuestion 8</v>
      </c>
      <c r="E206" s="3" t="s">
        <v>275</v>
      </c>
      <c r="F206" t="s">
        <v>141</v>
      </c>
      <c r="H206">
        <f>IF(F206='2. SAISIE DES DONNÉES'!$V$65,-1)+IF(F206='2. SAISIE DES DONNÉES'!$V$66,1)</f>
        <v>-1</v>
      </c>
      <c r="I206" t="str">
        <f t="shared" si="46"/>
        <v>théoui</v>
      </c>
    </row>
    <row r="207" spans="1:9" ht="30">
      <c r="A207" t="s">
        <v>206</v>
      </c>
      <c r="B207" t="s">
        <v>148</v>
      </c>
      <c r="C207" t="s">
        <v>66</v>
      </c>
      <c r="D207" t="str">
        <f t="shared" si="43"/>
        <v>théQuestion 8</v>
      </c>
      <c r="E207" s="3" t="s">
        <v>275</v>
      </c>
      <c r="F207" t="s">
        <v>143</v>
      </c>
      <c r="H207">
        <f>IF(F207='2. SAISIE DES DONNÉES'!$V$65,-1)+IF(F207='2. SAISIE DES DONNÉES'!$V$66,1)</f>
        <v>1</v>
      </c>
      <c r="I207" t="str">
        <f t="shared" si="46"/>
        <v>thénon</v>
      </c>
    </row>
    <row r="208" spans="1:9" ht="30">
      <c r="A208" t="s">
        <v>206</v>
      </c>
      <c r="B208" t="s">
        <v>142</v>
      </c>
      <c r="C208" t="s">
        <v>66</v>
      </c>
      <c r="D208" t="str">
        <f t="shared" si="43"/>
        <v>les bananesQuestion 8</v>
      </c>
      <c r="E208" s="1" t="s">
        <v>275</v>
      </c>
      <c r="F208" t="s">
        <v>141</v>
      </c>
      <c r="H208">
        <f>IF(F208='2. SAISIE DES DONNÉES'!$V$65,-1)+IF(F208='2. SAISIE DES DONNÉES'!$V$66,1)</f>
        <v>-1</v>
      </c>
      <c r="I208" t="str">
        <f t="shared" si="46"/>
        <v>les bananesoui</v>
      </c>
    </row>
    <row r="209" spans="1:10" ht="30">
      <c r="A209" t="s">
        <v>206</v>
      </c>
      <c r="B209" t="s">
        <v>142</v>
      </c>
      <c r="C209" t="s">
        <v>66</v>
      </c>
      <c r="D209" t="str">
        <f t="shared" si="43"/>
        <v>les bananesQuestion 8</v>
      </c>
      <c r="E209" s="1" t="s">
        <v>275</v>
      </c>
      <c r="F209" t="s">
        <v>143</v>
      </c>
      <c r="H209">
        <f>IF(F209='2. SAISIE DES DONNÉES'!$V$65,-1)+IF(F209='2. SAISIE DES DONNÉES'!$V$66,1)</f>
        <v>1</v>
      </c>
      <c r="I209" t="str">
        <f t="shared" si="46"/>
        <v>les bananesnon</v>
      </c>
    </row>
    <row r="210" spans="1:10" ht="45">
      <c r="A210" t="s">
        <v>206</v>
      </c>
      <c r="B210" t="s">
        <v>144</v>
      </c>
      <c r="C210" t="s">
        <v>68</v>
      </c>
      <c r="D210" t="str">
        <f t="shared" si="43"/>
        <v>cacaoQuestion 9</v>
      </c>
      <c r="E210" s="4" t="s">
        <v>276</v>
      </c>
      <c r="F210" t="s">
        <v>141</v>
      </c>
      <c r="H210">
        <f>IF(F210='2. SAISIE DES DONNÉES'!$V$65,-1)+IF(F210='2. SAISIE DES DONNÉES'!$V$66,1)</f>
        <v>-1</v>
      </c>
      <c r="I210" t="str">
        <f t="shared" ref="I210:I211" si="47">CONCATENATE(B210,F210)</f>
        <v>cacaooui</v>
      </c>
    </row>
    <row r="211" spans="1:10" ht="45">
      <c r="A211" t="s">
        <v>206</v>
      </c>
      <c r="B211" t="s">
        <v>144</v>
      </c>
      <c r="C211" t="s">
        <v>68</v>
      </c>
      <c r="D211" t="str">
        <f t="shared" si="43"/>
        <v>cacaoQuestion 9</v>
      </c>
      <c r="E211" s="4" t="s">
        <v>276</v>
      </c>
      <c r="F211" t="s">
        <v>143</v>
      </c>
      <c r="H211">
        <f>IF(F211='2. SAISIE DES DONNÉES'!$V$65,-1)+IF(F211='2. SAISIE DES DONNÉES'!$V$66,1)</f>
        <v>1</v>
      </c>
      <c r="I211" t="str">
        <f t="shared" si="47"/>
        <v>cacaonon</v>
      </c>
    </row>
    <row r="212" spans="1:10" ht="45">
      <c r="A212" t="s">
        <v>206</v>
      </c>
      <c r="B212" t="s">
        <v>147</v>
      </c>
      <c r="C212" t="s">
        <v>68</v>
      </c>
      <c r="D212" t="str">
        <f t="shared" si="43"/>
        <v>caféQuestion 9</v>
      </c>
      <c r="E212" s="4" t="s">
        <v>276</v>
      </c>
      <c r="F212" t="s">
        <v>141</v>
      </c>
      <c r="H212">
        <f>IF(F212='2. SAISIE DES DONNÉES'!$V$65,-1)+IF(F212='2. SAISIE DES DONNÉES'!$V$66,1)</f>
        <v>-1</v>
      </c>
      <c r="I212" t="str">
        <f t="shared" ref="I212:I217" si="48">CONCATENATE(B212,F212)</f>
        <v>caféoui</v>
      </c>
    </row>
    <row r="213" spans="1:10" ht="45">
      <c r="A213" t="s">
        <v>206</v>
      </c>
      <c r="B213" t="s">
        <v>147</v>
      </c>
      <c r="C213" t="s">
        <v>68</v>
      </c>
      <c r="D213" t="str">
        <f t="shared" si="43"/>
        <v>caféQuestion 9</v>
      </c>
      <c r="E213" s="4" t="s">
        <v>276</v>
      </c>
      <c r="F213" t="s">
        <v>143</v>
      </c>
      <c r="H213">
        <f>IF(F213='2. SAISIE DES DONNÉES'!$V$65,-1)+IF(F213='2. SAISIE DES DONNÉES'!$V$66,1)</f>
        <v>1</v>
      </c>
      <c r="I213" t="str">
        <f t="shared" si="48"/>
        <v>cafénon</v>
      </c>
    </row>
    <row r="214" spans="1:10" ht="45">
      <c r="A214" t="s">
        <v>206</v>
      </c>
      <c r="B214" t="s">
        <v>148</v>
      </c>
      <c r="C214" t="s">
        <v>68</v>
      </c>
      <c r="D214" t="str">
        <f t="shared" si="43"/>
        <v>théQuestion 9</v>
      </c>
      <c r="E214" s="4" t="s">
        <v>277</v>
      </c>
      <c r="F214" t="s">
        <v>141</v>
      </c>
      <c r="H214">
        <f>IF(F214='2. SAISIE DES DONNÉES'!$V$65,-1)+IF(F214='2. SAISIE DES DONNÉES'!$V$66,1)</f>
        <v>-1</v>
      </c>
      <c r="I214" t="str">
        <f t="shared" si="48"/>
        <v>théoui</v>
      </c>
    </row>
    <row r="215" spans="1:10" ht="45">
      <c r="A215" t="s">
        <v>206</v>
      </c>
      <c r="B215" t="s">
        <v>148</v>
      </c>
      <c r="C215" t="s">
        <v>68</v>
      </c>
      <c r="D215" t="str">
        <f t="shared" si="43"/>
        <v>théQuestion 9</v>
      </c>
      <c r="E215" s="4" t="s">
        <v>276</v>
      </c>
      <c r="F215" t="s">
        <v>143</v>
      </c>
      <c r="H215">
        <f>IF(F215='2. SAISIE DES DONNÉES'!$V$65,-1)+IF(F215='2. SAISIE DES DONNÉES'!$V$66,1)</f>
        <v>1</v>
      </c>
      <c r="I215" t="str">
        <f t="shared" si="48"/>
        <v>thénon</v>
      </c>
    </row>
    <row r="216" spans="1:10" ht="45">
      <c r="A216" t="s">
        <v>206</v>
      </c>
      <c r="B216" t="s">
        <v>142</v>
      </c>
      <c r="C216" t="s">
        <v>68</v>
      </c>
      <c r="D216" t="str">
        <f t="shared" si="43"/>
        <v>les bananesQuestion 9</v>
      </c>
      <c r="E216" s="1" t="s">
        <v>278</v>
      </c>
      <c r="F216" t="s">
        <v>141</v>
      </c>
      <c r="H216">
        <f>IF(F216='2. SAISIE DES DONNÉES'!$V$65,-1)+IF(F216='2. SAISIE DES DONNÉES'!$V$66,1)</f>
        <v>-1</v>
      </c>
      <c r="I216" t="str">
        <f t="shared" si="48"/>
        <v>les bananesoui</v>
      </c>
    </row>
    <row r="217" spans="1:10" ht="45">
      <c r="A217" t="s">
        <v>206</v>
      </c>
      <c r="B217" t="s">
        <v>142</v>
      </c>
      <c r="C217" t="s">
        <v>68</v>
      </c>
      <c r="D217" t="str">
        <f t="shared" si="43"/>
        <v>les bananesQuestion 9</v>
      </c>
      <c r="E217" s="1" t="s">
        <v>278</v>
      </c>
      <c r="F217" t="s">
        <v>143</v>
      </c>
      <c r="H217">
        <f>IF(F217='2. SAISIE DES DONNÉES'!$V$65,-1)+IF(F217='2. SAISIE DES DONNÉES'!$V$66,1)</f>
        <v>1</v>
      </c>
      <c r="I217" t="str">
        <f t="shared" si="48"/>
        <v>les bananesnon</v>
      </c>
    </row>
    <row r="218" spans="1:10" ht="45">
      <c r="B218" t="s">
        <v>140</v>
      </c>
      <c r="F218" t="s">
        <v>166</v>
      </c>
      <c r="H218">
        <f>IF(F218='2. SAISIE DES DONNÉES'!$V$65,-1)+IF(F218='2. SAISIE DES DONNÉES'!$V$66,1)</f>
        <v>0</v>
      </c>
      <c r="I218" t="str">
        <f t="shared" ref="I218:I229" si="49">CONCATENATE(B218,F218)</f>
        <v>GénéralAtténuation 1</v>
      </c>
      <c r="J218" s="1" t="s">
        <v>279</v>
      </c>
    </row>
    <row r="219" spans="1:10" ht="60">
      <c r="B219" t="s">
        <v>140</v>
      </c>
      <c r="F219" t="s">
        <v>170</v>
      </c>
      <c r="H219">
        <f>IF(F219='2. SAISIE DES DONNÉES'!$V$65,-1)+IF(F219='2. SAISIE DES DONNÉES'!$V$66,1)</f>
        <v>0</v>
      </c>
      <c r="I219" t="str">
        <f t="shared" si="49"/>
        <v>GénéralAtténuation 2</v>
      </c>
      <c r="J219" s="1" t="s">
        <v>211</v>
      </c>
    </row>
    <row r="220" spans="1:10" ht="45">
      <c r="B220" t="s">
        <v>140</v>
      </c>
      <c r="F220" t="s">
        <v>175</v>
      </c>
      <c r="H220">
        <f>IF(F220='2. SAISIE DES DONNÉES'!$V$65,-1)+IF(F220='2. SAISIE DES DONNÉES'!$V$66,1)</f>
        <v>0</v>
      </c>
      <c r="I220" t="str">
        <f t="shared" si="49"/>
        <v>GénéralAtténuation 3</v>
      </c>
      <c r="J220" s="1" t="s">
        <v>212</v>
      </c>
    </row>
    <row r="221" spans="1:10" ht="60">
      <c r="B221" t="s">
        <v>140</v>
      </c>
      <c r="F221" t="s">
        <v>179</v>
      </c>
      <c r="H221">
        <f>IF(F221='2. SAISIE DES DONNÉES'!$V$65,-1)+IF(F221='2. SAISIE DES DONNÉES'!$V$66,1)</f>
        <v>0</v>
      </c>
      <c r="I221" t="str">
        <f t="shared" si="49"/>
        <v>GénéralAtténuation 4</v>
      </c>
      <c r="J221" s="1" t="s">
        <v>213</v>
      </c>
    </row>
    <row r="222" spans="1:10" ht="45">
      <c r="B222" t="s">
        <v>140</v>
      </c>
      <c r="F222" t="s">
        <v>182</v>
      </c>
      <c r="H222">
        <f>IF(F222='2. SAISIE DES DONNÉES'!$V$65,-1)+IF(F222='2. SAISIE DES DONNÉES'!$V$66,1)</f>
        <v>0</v>
      </c>
      <c r="I222" t="str">
        <f t="shared" si="49"/>
        <v>GénéralAtténuation 5</v>
      </c>
      <c r="J222" s="1" t="s">
        <v>215</v>
      </c>
    </row>
    <row r="223" spans="1:10" ht="30">
      <c r="B223" t="s">
        <v>140</v>
      </c>
      <c r="F223" t="s">
        <v>185</v>
      </c>
      <c r="H223">
        <f>IF(F223='2. SAISIE DES DONNÉES'!$V$65,-1)+IF(F223='2. SAISIE DES DONNÉES'!$V$66,1)</f>
        <v>0</v>
      </c>
      <c r="I223" t="str">
        <f t="shared" si="49"/>
        <v>GénéralAtténuation 6</v>
      </c>
      <c r="J223" s="1" t="s">
        <v>280</v>
      </c>
    </row>
    <row r="224" spans="1:10">
      <c r="B224" t="s">
        <v>140</v>
      </c>
      <c r="F224" t="s">
        <v>188</v>
      </c>
      <c r="H224">
        <f>IF(F224='2. SAISIE DES DONNÉES'!$V$65,-1)+IF(F224='2. SAISIE DES DONNÉES'!$V$66,1)</f>
        <v>0</v>
      </c>
      <c r="I224" t="str">
        <f t="shared" si="49"/>
        <v>GénéralAtténuation 7</v>
      </c>
      <c r="J224" s="1" t="s">
        <v>218</v>
      </c>
    </row>
    <row r="225" spans="2:10">
      <c r="B225" t="s">
        <v>140</v>
      </c>
      <c r="F225" t="s">
        <v>190</v>
      </c>
      <c r="H225">
        <f>IF(F225='2. SAISIE DES DONNÉES'!$V$65,-1)+IF(F225='2. SAISIE DES DONNÉES'!$V$66,1)</f>
        <v>0</v>
      </c>
      <c r="I225" t="str">
        <f t="shared" si="49"/>
        <v>GénéralAtténuation 8</v>
      </c>
      <c r="J225" s="1" t="s">
        <v>219</v>
      </c>
    </row>
    <row r="226" spans="2:10" ht="45">
      <c r="B226" t="s">
        <v>140</v>
      </c>
      <c r="F226" t="s">
        <v>191</v>
      </c>
      <c r="H226">
        <f>IF(F226='2. SAISIE DES DONNÉES'!$V$65,-1)+IF(F226='2. SAISIE DES DONNÉES'!$V$66,1)</f>
        <v>0</v>
      </c>
      <c r="I226" t="str">
        <f t="shared" si="49"/>
        <v>GénéralAtténuation 9</v>
      </c>
      <c r="J226" s="1" t="s">
        <v>220</v>
      </c>
    </row>
    <row r="227" spans="2:10" ht="45">
      <c r="B227" t="s">
        <v>140</v>
      </c>
      <c r="F227" t="s">
        <v>192</v>
      </c>
      <c r="H227">
        <f>IF(F227='2. SAISIE DES DONNÉES'!$V$65,-1)+IF(F227='2. SAISIE DES DONNÉES'!$V$66,1)</f>
        <v>0</v>
      </c>
      <c r="I227" t="str">
        <f t="shared" si="49"/>
        <v>GénéralAtténuation 10</v>
      </c>
      <c r="J227" s="1" t="s">
        <v>221</v>
      </c>
    </row>
    <row r="228" spans="2:10" ht="30">
      <c r="B228" t="s">
        <v>140</v>
      </c>
      <c r="F228" t="s">
        <v>193</v>
      </c>
      <c r="H228">
        <f>IF(F228='2. SAISIE DES DONNÉES'!$V$65,-1)+IF(F228='2. SAISIE DES DONNÉES'!$V$66,1)</f>
        <v>0</v>
      </c>
      <c r="I228" t="str">
        <f t="shared" si="49"/>
        <v>GénéralAtténuation 11</v>
      </c>
      <c r="J228" s="1" t="s">
        <v>247</v>
      </c>
    </row>
    <row r="229" spans="2:10" ht="45">
      <c r="B229" t="s">
        <v>140</v>
      </c>
      <c r="F229" t="s">
        <v>194</v>
      </c>
      <c r="H229">
        <f>IF(F229='2. SAISIE DES DONNÉES'!$V$65,-1)+IF(F229='2. SAISIE DES DONNÉES'!$V$66,1)</f>
        <v>0</v>
      </c>
      <c r="I229" t="str">
        <f t="shared" si="49"/>
        <v>GénéralAtténuation 12</v>
      </c>
      <c r="J229" s="1" t="s">
        <v>223</v>
      </c>
    </row>
  </sheetData>
  <sheetProtection algorithmName="SHA-512" hashValue="o6PsDMtEWgIWrSiAfnOZCIAAoWJxT8ZZ9k+ujjdekj0F8lElGWXvg88rISmhhhmLcxcIPqL4T5wn44LDuMvHOw==" saltValue="CdIKbPhschIhOXW622hMEA==" spinCount="100000" sheet="1" formatCells="0" formatColumns="0" formatRows="0"/>
  <autoFilter ref="A1:F229" xr:uid="{760DB80A-DAAE-428E-B25D-D9386DF28C4D}"/>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CE0AB-1D98-4224-956E-22C0CEA1A13F}">
  <dimension ref="A1:R271"/>
  <sheetViews>
    <sheetView topLeftCell="A73" zoomScale="90" zoomScaleNormal="90" workbookViewId="0">
      <selection activeCell="J78" sqref="J78"/>
    </sheetView>
  </sheetViews>
  <sheetFormatPr defaultColWidth="8.85546875" defaultRowHeight="15"/>
  <cols>
    <col min="1" max="1" width="16.7109375" bestFit="1" customWidth="1"/>
    <col min="3" max="3" width="15.28515625" bestFit="1" customWidth="1"/>
    <col min="4" max="4" width="28.28515625" bestFit="1" customWidth="1"/>
    <col min="5" max="5" width="46.28515625" style="1" customWidth="1"/>
    <col min="6" max="6" width="14.5703125" customWidth="1"/>
    <col min="7" max="7" width="37.42578125" customWidth="1"/>
    <col min="8" max="8" width="23" bestFit="1" customWidth="1"/>
    <col min="9" max="9" width="39.28515625" customWidth="1"/>
    <col min="10" max="10" width="69.7109375" style="1" customWidth="1"/>
    <col min="15" max="15" width="32.85546875" bestFit="1" customWidth="1"/>
    <col min="18" max="18" width="14.28515625" bestFit="1" customWidth="1"/>
  </cols>
  <sheetData>
    <row r="1" spans="1:18" ht="15.75" thickBot="1">
      <c r="A1" s="8" t="s">
        <v>158</v>
      </c>
      <c r="B1" s="8" t="s">
        <v>196</v>
      </c>
      <c r="C1" s="8" t="s">
        <v>197</v>
      </c>
      <c r="D1" s="9" t="s">
        <v>198</v>
      </c>
      <c r="E1" s="2" t="s">
        <v>199</v>
      </c>
      <c r="F1" s="8" t="s">
        <v>76</v>
      </c>
      <c r="G1" s="9" t="s">
        <v>200</v>
      </c>
      <c r="H1" s="11" t="s">
        <v>201</v>
      </c>
      <c r="I1" s="9" t="s">
        <v>202</v>
      </c>
      <c r="J1" s="2" t="s">
        <v>203</v>
      </c>
    </row>
    <row r="2" spans="1:18" ht="30">
      <c r="A2" t="s">
        <v>204</v>
      </c>
      <c r="B2" t="s">
        <v>144</v>
      </c>
      <c r="C2" t="s">
        <v>55</v>
      </c>
      <c r="D2" t="str">
        <f>CONCATENATE(B2,C2)</f>
        <v>cacaoQuestion 1</v>
      </c>
      <c r="E2" s="3" t="s">
        <v>205</v>
      </c>
      <c r="F2" t="s">
        <v>141</v>
      </c>
      <c r="G2" s="1" t="str">
        <f>CONCATENATE(E2,F2)</f>
        <v>La température a-t-elle changé au cours des 10 dernières années ? oui</v>
      </c>
      <c r="H2">
        <f>IF(F2='2. SAISIE DES DONNÉES'!$V$65,-1)+IF(F2='2. SAISIE DES DONNÉES'!$V$66,1)</f>
        <v>-1</v>
      </c>
      <c r="J2"/>
      <c r="R2" s="10" t="s">
        <v>196</v>
      </c>
    </row>
    <row r="3" spans="1:18" ht="30">
      <c r="A3" t="s">
        <v>204</v>
      </c>
      <c r="B3" t="s">
        <v>144</v>
      </c>
      <c r="C3" t="s">
        <v>55</v>
      </c>
      <c r="D3" t="str">
        <f t="shared" ref="D3:D66" si="0">CONCATENATE(B3,C3)</f>
        <v>cacaoQuestion 1</v>
      </c>
      <c r="E3" s="3" t="s">
        <v>205</v>
      </c>
      <c r="F3" t="s">
        <v>143</v>
      </c>
      <c r="G3" s="1" t="str">
        <f t="shared" ref="G3:G28" si="1">CONCATENATE(E3,F3)</f>
        <v>La température a-t-elle changé au cours des 10 dernières années ? non</v>
      </c>
      <c r="H3">
        <f>IF(F3='2. SAISIE DES DONNÉES'!$V$65,-1)+IF(F3='2. SAISIE DES DONNÉES'!$V$66,1)</f>
        <v>1</v>
      </c>
      <c r="J3"/>
      <c r="R3" s="6" t="s">
        <v>140</v>
      </c>
    </row>
    <row r="4" spans="1:18" ht="30">
      <c r="A4" t="s">
        <v>204</v>
      </c>
      <c r="B4" t="s">
        <v>147</v>
      </c>
      <c r="C4" t="s">
        <v>55</v>
      </c>
      <c r="D4" t="str">
        <f t="shared" si="0"/>
        <v>caféQuestion 1</v>
      </c>
      <c r="E4" s="3" t="s">
        <v>205</v>
      </c>
      <c r="F4" t="s">
        <v>141</v>
      </c>
      <c r="G4" s="1" t="str">
        <f t="shared" si="1"/>
        <v>La température a-t-elle changé au cours des 10 dernières années ? oui</v>
      </c>
      <c r="H4">
        <f>IF(F4='2. SAISIE DES DONNÉES'!$V$65,-1)+IF(F4='2. SAISIE DES DONNÉES'!$V$66,1)</f>
        <v>-1</v>
      </c>
      <c r="J4"/>
      <c r="R4" s="6" t="s">
        <v>142</v>
      </c>
    </row>
    <row r="5" spans="1:18" ht="30">
      <c r="A5" t="s">
        <v>204</v>
      </c>
      <c r="B5" t="s">
        <v>147</v>
      </c>
      <c r="C5" t="s">
        <v>55</v>
      </c>
      <c r="D5" t="str">
        <f t="shared" si="0"/>
        <v>caféQuestion 1</v>
      </c>
      <c r="E5" s="3" t="s">
        <v>205</v>
      </c>
      <c r="F5" t="s">
        <v>143</v>
      </c>
      <c r="G5" s="1" t="str">
        <f t="shared" si="1"/>
        <v>La température a-t-elle changé au cours des 10 dernières années ? non</v>
      </c>
      <c r="H5">
        <f>IF(F5='2. SAISIE DES DONNÉES'!$V$65,-1)+IF(F5='2. SAISIE DES DONNÉES'!$V$66,1)</f>
        <v>1</v>
      </c>
      <c r="J5"/>
      <c r="R5" s="6" t="s">
        <v>144</v>
      </c>
    </row>
    <row r="6" spans="1:18" ht="30">
      <c r="A6" t="s">
        <v>204</v>
      </c>
      <c r="B6" t="s">
        <v>148</v>
      </c>
      <c r="C6" t="s">
        <v>55</v>
      </c>
      <c r="D6" t="str">
        <f t="shared" si="0"/>
        <v>théQuestion 1</v>
      </c>
      <c r="E6" s="3" t="s">
        <v>205</v>
      </c>
      <c r="F6" t="s">
        <v>141</v>
      </c>
      <c r="G6" s="1" t="str">
        <f t="shared" si="1"/>
        <v>La température a-t-elle changé au cours des 10 dernières années ? oui</v>
      </c>
      <c r="H6">
        <f>IF(F6='2. SAISIE DES DONNÉES'!$V$65,-1)+IF(F6='2. SAISIE DES DONNÉES'!$V$66,1)</f>
        <v>-1</v>
      </c>
      <c r="J6"/>
      <c r="R6" s="6" t="s">
        <v>147</v>
      </c>
    </row>
    <row r="7" spans="1:18" ht="30.75" thickBot="1">
      <c r="A7" t="s">
        <v>204</v>
      </c>
      <c r="B7" t="s">
        <v>148</v>
      </c>
      <c r="C7" t="s">
        <v>55</v>
      </c>
      <c r="D7" t="str">
        <f t="shared" si="0"/>
        <v>théQuestion 1</v>
      </c>
      <c r="E7" s="3" t="s">
        <v>205</v>
      </c>
      <c r="F7" t="s">
        <v>143</v>
      </c>
      <c r="G7" s="1" t="str">
        <f t="shared" si="1"/>
        <v>La température a-t-elle changé au cours des 10 dernières années ? non</v>
      </c>
      <c r="H7">
        <f>IF(F7='2. SAISIE DES DONNÉES'!$V$65,-1)+IF(F7='2. SAISIE DES DONNÉES'!$V$66,1)</f>
        <v>1</v>
      </c>
      <c r="J7"/>
      <c r="R7" s="7" t="s">
        <v>148</v>
      </c>
    </row>
    <row r="8" spans="1:18" ht="30">
      <c r="A8" t="s">
        <v>204</v>
      </c>
      <c r="B8" t="s">
        <v>142</v>
      </c>
      <c r="C8" t="s">
        <v>55</v>
      </c>
      <c r="D8" t="str">
        <f t="shared" si="0"/>
        <v>les bananesQuestion 1</v>
      </c>
      <c r="E8" s="1" t="s">
        <v>205</v>
      </c>
      <c r="F8" t="s">
        <v>141</v>
      </c>
      <c r="G8" s="1" t="str">
        <f t="shared" si="1"/>
        <v>La température a-t-elle changé au cours des 10 dernières années ? oui</v>
      </c>
      <c r="H8">
        <f>IF(F8='2. SAISIE DES DONNÉES'!$V$65,-1)+IF(F8='2. SAISIE DES DONNÉES'!$V$66,1)</f>
        <v>-1</v>
      </c>
      <c r="J8"/>
    </row>
    <row r="9" spans="1:18" ht="30">
      <c r="A9" t="s">
        <v>204</v>
      </c>
      <c r="B9" t="s">
        <v>142</v>
      </c>
      <c r="C9" t="s">
        <v>55</v>
      </c>
      <c r="D9" t="str">
        <f t="shared" si="0"/>
        <v>les bananesQuestion 1</v>
      </c>
      <c r="E9" s="1" t="s">
        <v>205</v>
      </c>
      <c r="F9" t="s">
        <v>143</v>
      </c>
      <c r="G9" s="1" t="str">
        <f t="shared" si="1"/>
        <v>La température a-t-elle changé au cours des 10 dernières années ? non</v>
      </c>
      <c r="H9">
        <f>IF(F9='2. SAISIE DES DONNÉES'!$V$65,-1)+IF(F9='2. SAISIE DES DONNÉES'!$V$66,1)</f>
        <v>1</v>
      </c>
      <c r="J9"/>
    </row>
    <row r="10" spans="1:18" ht="30">
      <c r="A10" t="s">
        <v>206</v>
      </c>
      <c r="B10" t="s">
        <v>144</v>
      </c>
      <c r="C10" t="s">
        <v>69</v>
      </c>
      <c r="D10" t="str">
        <f t="shared" si="0"/>
        <v>cacaoQuestion 10</v>
      </c>
      <c r="E10" s="3" t="s">
        <v>207</v>
      </c>
      <c r="F10" t="s">
        <v>141</v>
      </c>
      <c r="G10" s="1" t="str">
        <f t="shared" si="1"/>
        <v>Constatez-vous une augmentation de la chute des fleurs et des fruits ? oui</v>
      </c>
      <c r="H10">
        <f>IF(F10='2. SAISIE DES DONNÉES'!$V$65,-1)+IF(F10='2. SAISIE DES DONNÉES'!$V$66,1)</f>
        <v>-1</v>
      </c>
      <c r="J10"/>
    </row>
    <row r="11" spans="1:18" ht="30">
      <c r="A11" t="s">
        <v>206</v>
      </c>
      <c r="B11" t="s">
        <v>144</v>
      </c>
      <c r="C11" t="s">
        <v>69</v>
      </c>
      <c r="D11" t="str">
        <f t="shared" si="0"/>
        <v>cacaoQuestion 10</v>
      </c>
      <c r="E11" s="3" t="s">
        <v>207</v>
      </c>
      <c r="F11" t="s">
        <v>143</v>
      </c>
      <c r="G11" s="1" t="str">
        <f t="shared" si="1"/>
        <v>Constatez-vous une augmentation de la chute des fleurs et des fruits ? non</v>
      </c>
      <c r="H11">
        <f>IF(F11='2. SAISIE DES DONNÉES'!$V$65,-1)+IF(F11='2. SAISIE DES DONNÉES'!$V$66,1)</f>
        <v>1</v>
      </c>
      <c r="J11"/>
    </row>
    <row r="12" spans="1:18" ht="30">
      <c r="A12" t="s">
        <v>206</v>
      </c>
      <c r="B12" t="s">
        <v>147</v>
      </c>
      <c r="C12" t="s">
        <v>69</v>
      </c>
      <c r="D12" t="str">
        <f t="shared" si="0"/>
        <v>caféQuestion 10</v>
      </c>
      <c r="E12" s="3" t="s">
        <v>207</v>
      </c>
      <c r="F12" t="s">
        <v>141</v>
      </c>
      <c r="G12" s="1" t="str">
        <f t="shared" si="1"/>
        <v>Constatez-vous une augmentation de la chute des fleurs et des fruits ? oui</v>
      </c>
      <c r="H12">
        <f>IF(F12='2. SAISIE DES DONNÉES'!$V$65,-1)+IF(F12='2. SAISIE DES DONNÉES'!$V$66,1)</f>
        <v>-1</v>
      </c>
      <c r="J12"/>
    </row>
    <row r="13" spans="1:18" ht="30">
      <c r="A13" t="s">
        <v>206</v>
      </c>
      <c r="B13" t="s">
        <v>147</v>
      </c>
      <c r="C13" t="s">
        <v>69</v>
      </c>
      <c r="D13" t="str">
        <f t="shared" si="0"/>
        <v>caféQuestion 10</v>
      </c>
      <c r="E13" s="3" t="s">
        <v>207</v>
      </c>
      <c r="F13" t="s">
        <v>143</v>
      </c>
      <c r="G13" s="1" t="str">
        <f t="shared" si="1"/>
        <v>Constatez-vous une augmentation de la chute des fleurs et des fruits ? non</v>
      </c>
      <c r="H13">
        <f>IF(F13='2. SAISIE DES DONNÉES'!$V$65,-1)+IF(F13='2. SAISIE DES DONNÉES'!$V$66,1)</f>
        <v>1</v>
      </c>
      <c r="J13"/>
    </row>
    <row r="14" spans="1:18" ht="30">
      <c r="A14" t="s">
        <v>206</v>
      </c>
      <c r="B14" t="s">
        <v>148</v>
      </c>
      <c r="C14" t="s">
        <v>69</v>
      </c>
      <c r="D14" t="str">
        <f t="shared" si="0"/>
        <v>théQuestion 10</v>
      </c>
      <c r="E14" s="3" t="s">
        <v>207</v>
      </c>
      <c r="F14" t="s">
        <v>141</v>
      </c>
      <c r="G14" s="1" t="str">
        <f t="shared" si="1"/>
        <v>Constatez-vous une augmentation de la chute des fleurs et des fruits ? oui</v>
      </c>
      <c r="H14">
        <f>IF(F14='2. SAISIE DES DONNÉES'!$V$65,-1)+IF(F14='2. SAISIE DES DONNÉES'!$V$66,1)</f>
        <v>-1</v>
      </c>
      <c r="J14"/>
    </row>
    <row r="15" spans="1:18" ht="30">
      <c r="A15" t="s">
        <v>206</v>
      </c>
      <c r="B15" t="s">
        <v>148</v>
      </c>
      <c r="C15" t="s">
        <v>69</v>
      </c>
      <c r="D15" t="str">
        <f t="shared" si="0"/>
        <v>théQuestion 10</v>
      </c>
      <c r="E15" s="3" t="s">
        <v>207</v>
      </c>
      <c r="F15" t="s">
        <v>143</v>
      </c>
      <c r="G15" s="1" t="str">
        <f t="shared" si="1"/>
        <v>Constatez-vous une augmentation de la chute des fleurs et des fruits ? non</v>
      </c>
      <c r="H15">
        <f>IF(F15='2. SAISIE DES DONNÉES'!$V$65,-1)+IF(F15='2. SAISIE DES DONNÉES'!$V$66,1)</f>
        <v>1</v>
      </c>
      <c r="J15"/>
    </row>
    <row r="16" spans="1:18" ht="30">
      <c r="A16" t="s">
        <v>206</v>
      </c>
      <c r="B16" t="s">
        <v>142</v>
      </c>
      <c r="C16" t="s">
        <v>69</v>
      </c>
      <c r="D16" t="str">
        <f t="shared" si="0"/>
        <v>les bananesQuestion 10</v>
      </c>
      <c r="E16" s="1" t="s">
        <v>207</v>
      </c>
      <c r="F16" t="s">
        <v>141</v>
      </c>
      <c r="G16" s="1" t="str">
        <f t="shared" si="1"/>
        <v>Constatez-vous une augmentation de la chute des fleurs et des fruits ? oui</v>
      </c>
      <c r="H16">
        <f>IF(F16='2. SAISIE DES DONNÉES'!$V$65,-1)+IF(F16='2. SAISIE DES DONNÉES'!$V$66,1)</f>
        <v>-1</v>
      </c>
      <c r="J16"/>
    </row>
    <row r="17" spans="1:10" ht="30">
      <c r="A17" t="s">
        <v>206</v>
      </c>
      <c r="B17" t="s">
        <v>142</v>
      </c>
      <c r="C17" t="s">
        <v>69</v>
      </c>
      <c r="D17" t="str">
        <f t="shared" si="0"/>
        <v>les bananesQuestion 10</v>
      </c>
      <c r="E17" s="1" t="s">
        <v>207</v>
      </c>
      <c r="F17" t="s">
        <v>143</v>
      </c>
      <c r="G17" s="1" t="str">
        <f t="shared" si="1"/>
        <v>Constatez-vous une augmentation de la chute des fleurs et des fruits ? non</v>
      </c>
      <c r="H17">
        <f>IF(F17='2. SAISIE DES DONNÉES'!$V$65,-1)+IF(F17='2. SAISIE DES DONNÉES'!$V$66,1)</f>
        <v>1</v>
      </c>
      <c r="J17"/>
    </row>
    <row r="18" spans="1:10" ht="45">
      <c r="A18" t="s">
        <v>206</v>
      </c>
      <c r="B18" t="s">
        <v>144</v>
      </c>
      <c r="C18" t="s">
        <v>70</v>
      </c>
      <c r="D18" t="str">
        <f t="shared" si="0"/>
        <v>cacaoQuestion 11</v>
      </c>
      <c r="E18" s="3" t="s">
        <v>281</v>
      </c>
      <c r="F18" t="s">
        <v>141</v>
      </c>
      <c r="G18" s="1" t="str">
        <f t="shared" si="1"/>
        <v>Constatez-vous une augmentation de la défoliation des plantes (chute naturelle des feuilles) ?oui</v>
      </c>
      <c r="H18">
        <f>IF(F18='2. SAISIE DES DONNÉES'!$V$65,-1)+IF(F18='2. SAISIE DES DONNÉES'!$V$66,1)</f>
        <v>-1</v>
      </c>
      <c r="J18"/>
    </row>
    <row r="19" spans="1:10" ht="45">
      <c r="A19" t="s">
        <v>206</v>
      </c>
      <c r="B19" t="s">
        <v>144</v>
      </c>
      <c r="C19" t="s">
        <v>70</v>
      </c>
      <c r="D19" t="str">
        <f t="shared" si="0"/>
        <v>cacaoQuestion 11</v>
      </c>
      <c r="E19" s="3" t="s">
        <v>281</v>
      </c>
      <c r="F19" t="s">
        <v>143</v>
      </c>
      <c r="G19" s="1" t="str">
        <f t="shared" si="1"/>
        <v>Constatez-vous une augmentation de la défoliation des plantes (chute naturelle des feuilles) ?non</v>
      </c>
      <c r="H19">
        <f>IF(F19='2. SAISIE DES DONNÉES'!$V$65,-1)+IF(F19='2. SAISIE DES DONNÉES'!$V$66,1)</f>
        <v>1</v>
      </c>
      <c r="J19"/>
    </row>
    <row r="20" spans="1:10" ht="45">
      <c r="A20" t="s">
        <v>206</v>
      </c>
      <c r="B20" t="s">
        <v>147</v>
      </c>
      <c r="C20" t="s">
        <v>70</v>
      </c>
      <c r="D20" t="str">
        <f t="shared" si="0"/>
        <v>caféQuestion 11</v>
      </c>
      <c r="E20" s="3" t="s">
        <v>281</v>
      </c>
      <c r="F20" t="s">
        <v>141</v>
      </c>
      <c r="G20" s="1" t="str">
        <f t="shared" si="1"/>
        <v>Constatez-vous une augmentation de la défoliation des plantes (chute naturelle des feuilles) ?oui</v>
      </c>
      <c r="H20">
        <f>IF(F20='2. SAISIE DES DONNÉES'!$V$65,-1)+IF(F20='2. SAISIE DES DONNÉES'!$V$66,1)</f>
        <v>-1</v>
      </c>
      <c r="J20"/>
    </row>
    <row r="21" spans="1:10" ht="45">
      <c r="A21" t="s">
        <v>206</v>
      </c>
      <c r="B21" t="s">
        <v>147</v>
      </c>
      <c r="C21" t="s">
        <v>70</v>
      </c>
      <c r="D21" t="str">
        <f t="shared" si="0"/>
        <v>caféQuestion 11</v>
      </c>
      <c r="E21" s="3" t="s">
        <v>281</v>
      </c>
      <c r="F21" t="s">
        <v>143</v>
      </c>
      <c r="G21" s="1" t="str">
        <f t="shared" si="1"/>
        <v>Constatez-vous une augmentation de la défoliation des plantes (chute naturelle des feuilles) ?non</v>
      </c>
      <c r="H21">
        <f>IF(F21='2. SAISIE DES DONNÉES'!$V$65,-1)+IF(F21='2. SAISIE DES DONNÉES'!$V$66,1)</f>
        <v>1</v>
      </c>
      <c r="J21"/>
    </row>
    <row r="22" spans="1:10" ht="45">
      <c r="A22" t="s">
        <v>206</v>
      </c>
      <c r="B22" t="s">
        <v>148</v>
      </c>
      <c r="C22" t="s">
        <v>70</v>
      </c>
      <c r="D22" t="str">
        <f t="shared" si="0"/>
        <v>théQuestion 11</v>
      </c>
      <c r="E22" s="3" t="s">
        <v>281</v>
      </c>
      <c r="F22" t="s">
        <v>141</v>
      </c>
      <c r="G22" s="1" t="str">
        <f t="shared" si="1"/>
        <v>Constatez-vous une augmentation de la défoliation des plantes (chute naturelle des feuilles) ?oui</v>
      </c>
      <c r="H22">
        <f>IF(F22='2. SAISIE DES DONNÉES'!$V$65,-1)+IF(F22='2. SAISIE DES DONNÉES'!$V$66,1)</f>
        <v>-1</v>
      </c>
      <c r="J22"/>
    </row>
    <row r="23" spans="1:10" ht="45">
      <c r="A23" t="s">
        <v>206</v>
      </c>
      <c r="B23" t="s">
        <v>148</v>
      </c>
      <c r="C23" t="s">
        <v>70</v>
      </c>
      <c r="D23" t="str">
        <f t="shared" si="0"/>
        <v>théQuestion 11</v>
      </c>
      <c r="E23" s="3" t="s">
        <v>281</v>
      </c>
      <c r="F23" t="s">
        <v>143</v>
      </c>
      <c r="G23" s="1" t="str">
        <f t="shared" si="1"/>
        <v>Constatez-vous une augmentation de la défoliation des plantes (chute naturelle des feuilles) ?non</v>
      </c>
      <c r="H23">
        <f>IF(F23='2. SAISIE DES DONNÉES'!$V$65,-1)+IF(F23='2. SAISIE DES DONNÉES'!$V$66,1)</f>
        <v>1</v>
      </c>
      <c r="J23"/>
    </row>
    <row r="24" spans="1:10" ht="45">
      <c r="A24" t="s">
        <v>206</v>
      </c>
      <c r="B24" t="s">
        <v>142</v>
      </c>
      <c r="C24" t="s">
        <v>70</v>
      </c>
      <c r="D24" t="str">
        <f t="shared" si="0"/>
        <v>les bananesQuestion 11</v>
      </c>
      <c r="E24" s="1" t="s">
        <v>281</v>
      </c>
      <c r="F24" t="s">
        <v>141</v>
      </c>
      <c r="G24" s="1" t="str">
        <f t="shared" si="1"/>
        <v>Constatez-vous une augmentation de la défoliation des plantes (chute naturelle des feuilles) ?oui</v>
      </c>
      <c r="H24">
        <f>IF(F24='2. SAISIE DES DONNÉES'!$V$65,-1)+IF(F24='2. SAISIE DES DONNÉES'!$V$66,1)</f>
        <v>-1</v>
      </c>
      <c r="J24"/>
    </row>
    <row r="25" spans="1:10" ht="45">
      <c r="A25" t="s">
        <v>206</v>
      </c>
      <c r="B25" t="s">
        <v>142</v>
      </c>
      <c r="C25" t="s">
        <v>70</v>
      </c>
      <c r="D25" t="str">
        <f t="shared" si="0"/>
        <v>les bananesQuestion 11</v>
      </c>
      <c r="E25" s="1" t="s">
        <v>281</v>
      </c>
      <c r="F25" t="s">
        <v>143</v>
      </c>
      <c r="G25" s="1" t="str">
        <f t="shared" si="1"/>
        <v>Constatez-vous une augmentation de la défoliation des plantes (chute naturelle des feuilles) ?non</v>
      </c>
      <c r="H25">
        <f>IF(F25='2. SAISIE DES DONNÉES'!$V$65,-1)+IF(F25='2. SAISIE DES DONNÉES'!$V$66,1)</f>
        <v>1</v>
      </c>
      <c r="J25"/>
    </row>
    <row r="26" spans="1:10" ht="75">
      <c r="A26" t="s">
        <v>206</v>
      </c>
      <c r="B26" t="s">
        <v>144</v>
      </c>
      <c r="C26" t="s">
        <v>71</v>
      </c>
      <c r="D26" t="str">
        <f t="shared" si="0"/>
        <v>cacaoQuestion 12</v>
      </c>
      <c r="E26" s="4" t="s">
        <v>282</v>
      </c>
      <c r="F26" t="s">
        <v>141</v>
      </c>
      <c r="G26" s="1" t="str">
        <f t="shared" si="1"/>
        <v xml:space="preserve"> Les dégâts des ravageurs et des maladies sur le système de production ont-ils augmenté au cours des 5 à 10 dernières années (sur l’exploitation agricole) ? oui</v>
      </c>
      <c r="H26">
        <f>IF(F26='2. SAISIE DES DONNÉES'!$V$65,-1)+IF(F26='2. SAISIE DES DONNÉES'!$V$66,1)</f>
        <v>-1</v>
      </c>
      <c r="J26"/>
    </row>
    <row r="27" spans="1:10" ht="75">
      <c r="A27" t="s">
        <v>206</v>
      </c>
      <c r="B27" t="s">
        <v>144</v>
      </c>
      <c r="C27" t="s">
        <v>71</v>
      </c>
      <c r="D27" t="str">
        <f t="shared" si="0"/>
        <v>cacaoQuestion 12</v>
      </c>
      <c r="E27" s="4" t="s">
        <v>282</v>
      </c>
      <c r="F27" t="s">
        <v>143</v>
      </c>
      <c r="G27" s="1" t="str">
        <f t="shared" si="1"/>
        <v xml:space="preserve"> Les dégâts des ravageurs et des maladies sur le système de production ont-ils augmenté au cours des 5 à 10 dernières années (sur l’exploitation agricole) ? non</v>
      </c>
      <c r="H27">
        <f>IF(F27='2. SAISIE DES DONNÉES'!$V$65,-1)+IF(F27='2. SAISIE DES DONNÉES'!$V$66,1)</f>
        <v>1</v>
      </c>
      <c r="J27"/>
    </row>
    <row r="28" spans="1:10" ht="75">
      <c r="A28" t="s">
        <v>206</v>
      </c>
      <c r="B28" t="s">
        <v>147</v>
      </c>
      <c r="C28" t="s">
        <v>71</v>
      </c>
      <c r="D28" t="str">
        <f t="shared" si="0"/>
        <v>caféQuestion 12</v>
      </c>
      <c r="E28" s="4" t="s">
        <v>282</v>
      </c>
      <c r="F28" t="s">
        <v>141</v>
      </c>
      <c r="G28" s="1" t="str">
        <f t="shared" si="1"/>
        <v xml:space="preserve"> Les dégâts des ravageurs et des maladies sur le système de production ont-ils augmenté au cours des 5 à 10 dernières années (sur l’exploitation agricole) ? oui</v>
      </c>
      <c r="H28">
        <f>IF(F28='2. SAISIE DES DONNÉES'!$V$65,-1)+IF(F28='2. SAISIE DES DONNÉES'!$V$66,1)</f>
        <v>-1</v>
      </c>
      <c r="I28" t="str">
        <f t="shared" ref="I28:I36" si="2">CONCATENATE(B28,F28)</f>
        <v>caféoui</v>
      </c>
      <c r="J28" s="1" t="s">
        <v>210</v>
      </c>
    </row>
    <row r="29" spans="1:10" ht="75">
      <c r="A29" t="s">
        <v>206</v>
      </c>
      <c r="B29" t="s">
        <v>147</v>
      </c>
      <c r="C29" t="s">
        <v>71</v>
      </c>
      <c r="D29" t="str">
        <f t="shared" si="0"/>
        <v>caféQuestion 12</v>
      </c>
      <c r="E29" s="4" t="s">
        <v>282</v>
      </c>
      <c r="F29" t="s">
        <v>143</v>
      </c>
      <c r="G29" s="1" t="str">
        <f t="shared" ref="G29:G36" si="3">CONCATENATE(E29,F29)</f>
        <v xml:space="preserve"> Les dégâts des ravageurs et des maladies sur le système de production ont-ils augmenté au cours des 5 à 10 dernières années (sur l’exploitation agricole) ? non</v>
      </c>
      <c r="H29">
        <f>IF(F29='2. SAISIE DES DONNÉES'!$V$65,-1)+IF(F29='2. SAISIE DES DONNÉES'!$V$66,1)</f>
        <v>1</v>
      </c>
      <c r="I29" t="str">
        <f t="shared" si="2"/>
        <v>cafénon</v>
      </c>
      <c r="J29" s="1" t="s">
        <v>211</v>
      </c>
    </row>
    <row r="30" spans="1:10" ht="75">
      <c r="A30" t="s">
        <v>206</v>
      </c>
      <c r="B30" t="s">
        <v>148</v>
      </c>
      <c r="C30" t="s">
        <v>71</v>
      </c>
      <c r="D30" t="str">
        <f t="shared" si="0"/>
        <v>théQuestion 12</v>
      </c>
      <c r="E30" s="4" t="s">
        <v>282</v>
      </c>
      <c r="F30" t="s">
        <v>141</v>
      </c>
      <c r="G30" s="1" t="str">
        <f t="shared" si="3"/>
        <v xml:space="preserve"> Les dégâts des ravageurs et des maladies sur le système de production ont-ils augmenté au cours des 5 à 10 dernières années (sur l’exploitation agricole) ? oui</v>
      </c>
      <c r="H30">
        <f>IF(F30='2. SAISIE DES DONNÉES'!$V$65,-1)+IF(F30='2. SAISIE DES DONNÉES'!$V$66,1)</f>
        <v>-1</v>
      </c>
      <c r="I30" t="str">
        <f t="shared" si="2"/>
        <v>théoui</v>
      </c>
      <c r="J30" s="1" t="s">
        <v>212</v>
      </c>
    </row>
    <row r="31" spans="1:10" ht="75">
      <c r="A31" t="s">
        <v>206</v>
      </c>
      <c r="B31" t="s">
        <v>148</v>
      </c>
      <c r="C31" t="s">
        <v>71</v>
      </c>
      <c r="D31" t="str">
        <f t="shared" si="0"/>
        <v>théQuestion 12</v>
      </c>
      <c r="E31" s="4" t="s">
        <v>282</v>
      </c>
      <c r="F31" t="s">
        <v>143</v>
      </c>
      <c r="G31" s="1" t="str">
        <f t="shared" si="3"/>
        <v xml:space="preserve"> Les dégâts des ravageurs et des maladies sur le système de production ont-ils augmenté au cours des 5 à 10 dernières années (sur l’exploitation agricole) ? non</v>
      </c>
      <c r="H31">
        <f>IF(F31='2. SAISIE DES DONNÉES'!$V$65,-1)+IF(F31='2. SAISIE DES DONNÉES'!$V$66,1)</f>
        <v>1</v>
      </c>
      <c r="I31" t="str">
        <f t="shared" si="2"/>
        <v>thénon</v>
      </c>
      <c r="J31" s="1" t="s">
        <v>213</v>
      </c>
    </row>
    <row r="32" spans="1:10" ht="75">
      <c r="A32" t="s">
        <v>206</v>
      </c>
      <c r="B32" t="s">
        <v>142</v>
      </c>
      <c r="C32" t="s">
        <v>71</v>
      </c>
      <c r="D32" t="str">
        <f t="shared" si="0"/>
        <v>les bananesQuestion 12</v>
      </c>
      <c r="E32" s="1" t="s">
        <v>283</v>
      </c>
      <c r="F32" t="s">
        <v>141</v>
      </c>
      <c r="G32" s="1" t="str">
        <f t="shared" si="3"/>
        <v xml:space="preserve"> Les dégâts des ravageurs et des maladies sur le système de production ont-ils augmenté au cours des 5 à 10 dernières années (sur l’exploitation agricole) ? oui</v>
      </c>
      <c r="H32">
        <f>IF(F32='2. SAISIE DES DONNÉES'!$V$65,-1)+IF(F32='2. SAISIE DES DONNÉES'!$V$66,1)</f>
        <v>-1</v>
      </c>
      <c r="I32" t="str">
        <f t="shared" si="2"/>
        <v>les bananesoui</v>
      </c>
      <c r="J32" s="1" t="s">
        <v>215</v>
      </c>
    </row>
    <row r="33" spans="1:10" ht="75">
      <c r="A33" t="s">
        <v>206</v>
      </c>
      <c r="B33" t="s">
        <v>142</v>
      </c>
      <c r="C33" t="s">
        <v>71</v>
      </c>
      <c r="D33" t="str">
        <f t="shared" si="0"/>
        <v>les bananesQuestion 12</v>
      </c>
      <c r="E33" s="1" t="s">
        <v>283</v>
      </c>
      <c r="F33" t="s">
        <v>143</v>
      </c>
      <c r="G33" s="1" t="str">
        <f t="shared" si="3"/>
        <v xml:space="preserve"> Les dégâts des ravageurs et des maladies sur le système de production ont-ils augmenté au cours des 5 à 10 dernières années (sur l’exploitation agricole) ? non</v>
      </c>
      <c r="H33">
        <f>IF(F33='2. SAISIE DES DONNÉES'!$V$65,-1)+IF(F33='2. SAISIE DES DONNÉES'!$V$66,1)</f>
        <v>1</v>
      </c>
      <c r="I33" t="str">
        <f t="shared" si="2"/>
        <v>les bananesnon</v>
      </c>
      <c r="J33" s="1" t="s">
        <v>216</v>
      </c>
    </row>
    <row r="34" spans="1:10" ht="60">
      <c r="A34" t="s">
        <v>206</v>
      </c>
      <c r="B34" t="s">
        <v>144</v>
      </c>
      <c r="C34" t="s">
        <v>72</v>
      </c>
      <c r="D34" t="str">
        <f t="shared" si="0"/>
        <v>cacaoQuestion 13</v>
      </c>
      <c r="E34" s="3" t="s">
        <v>284</v>
      </c>
      <c r="F34" t="s">
        <v>141</v>
      </c>
      <c r="G34" s="1" t="str">
        <f t="shared" si="3"/>
        <v>La productivité a-t-elle diminué au cours des dernières années (5 à 10 ans) en raison du changement climatique ? oui</v>
      </c>
      <c r="H34">
        <f>IF(F34='2. SAISIE DES DONNÉES'!$V$65,-1)+IF(F34='2. SAISIE DES DONNÉES'!$V$66,1)</f>
        <v>-1</v>
      </c>
      <c r="I34" t="str">
        <f t="shared" si="2"/>
        <v>cacaooui</v>
      </c>
      <c r="J34" s="1" t="s">
        <v>218</v>
      </c>
    </row>
    <row r="35" spans="1:10" ht="60">
      <c r="A35" t="s">
        <v>206</v>
      </c>
      <c r="B35" t="s">
        <v>144</v>
      </c>
      <c r="C35" t="s">
        <v>72</v>
      </c>
      <c r="D35" t="str">
        <f t="shared" si="0"/>
        <v>cacaoQuestion 13</v>
      </c>
      <c r="E35" s="3" t="s">
        <v>284</v>
      </c>
      <c r="F35" t="s">
        <v>143</v>
      </c>
      <c r="G35" s="1" t="str">
        <f t="shared" si="3"/>
        <v>La productivité a-t-elle diminué au cours des dernières années (5 à 10 ans) en raison du changement climatique ? non</v>
      </c>
      <c r="H35">
        <f>IF(F35='2. SAISIE DES DONNÉES'!$V$65,-1)+IF(F35='2. SAISIE DES DONNÉES'!$V$66,1)</f>
        <v>1</v>
      </c>
      <c r="I35" t="str">
        <f t="shared" si="2"/>
        <v>cacaonon</v>
      </c>
      <c r="J35" s="1" t="s">
        <v>219</v>
      </c>
    </row>
    <row r="36" spans="1:10" ht="60">
      <c r="A36" t="s">
        <v>206</v>
      </c>
      <c r="B36" t="s">
        <v>147</v>
      </c>
      <c r="C36" t="s">
        <v>72</v>
      </c>
      <c r="D36" t="str">
        <f t="shared" si="0"/>
        <v>caféQuestion 13</v>
      </c>
      <c r="E36" s="3" t="s">
        <v>284</v>
      </c>
      <c r="F36" t="s">
        <v>141</v>
      </c>
      <c r="G36" s="1" t="str">
        <f t="shared" si="3"/>
        <v>La productivité a-t-elle diminué au cours des dernières années (5 à 10 ans) en raison du changement climatique ? oui</v>
      </c>
      <c r="H36">
        <f>IF(F36='2. SAISIE DES DONNÉES'!$V$65,-1)+IF(F36='2. SAISIE DES DONNÉES'!$V$66,1)</f>
        <v>-1</v>
      </c>
      <c r="I36" t="str">
        <f t="shared" si="2"/>
        <v>caféoui</v>
      </c>
      <c r="J36" s="1" t="s">
        <v>220</v>
      </c>
    </row>
    <row r="37" spans="1:10" ht="60">
      <c r="A37" t="s">
        <v>206</v>
      </c>
      <c r="B37" t="s">
        <v>147</v>
      </c>
      <c r="C37" t="s">
        <v>72</v>
      </c>
      <c r="D37" t="str">
        <f t="shared" si="0"/>
        <v>caféQuestion 13</v>
      </c>
      <c r="E37" s="3" t="s">
        <v>284</v>
      </c>
      <c r="F37" t="s">
        <v>143</v>
      </c>
      <c r="G37" s="1" t="str">
        <f t="shared" ref="G37:G38" si="4">CONCATENATE(E37,F37)</f>
        <v>La productivité a-t-elle diminué au cours des dernières années (5 à 10 ans) en raison du changement climatique ? non</v>
      </c>
      <c r="H37">
        <f>IF(F37='2. SAISIE DES DONNÉES'!$V$65,-1)+IF(F37='2. SAISIE DES DONNÉES'!$V$66,1)</f>
        <v>1</v>
      </c>
      <c r="I37" t="str">
        <f t="shared" ref="I37:I38" si="5">CONCATENATE(B37,F37)</f>
        <v>cafénon</v>
      </c>
      <c r="J37" s="1" t="s">
        <v>220</v>
      </c>
    </row>
    <row r="38" spans="1:10" ht="60">
      <c r="A38" t="s">
        <v>206</v>
      </c>
      <c r="B38" t="s">
        <v>148</v>
      </c>
      <c r="C38" t="s">
        <v>72</v>
      </c>
      <c r="D38" t="str">
        <f t="shared" si="0"/>
        <v>théQuestion 13</v>
      </c>
      <c r="E38" s="3" t="s">
        <v>285</v>
      </c>
      <c r="F38" t="s">
        <v>141</v>
      </c>
      <c r="G38" s="1" t="str">
        <f t="shared" si="4"/>
        <v>La productivité a-t-elle diminué au cours des dernières années (5 à 10 ans) en raison du changement climatique ?  oui</v>
      </c>
      <c r="H38">
        <f>IF(F38='2. SAISIE DES DONNÉES'!$V$65,-1)+IF(F38='2. SAISIE DES DONNÉES'!$V$66,1)</f>
        <v>-1</v>
      </c>
      <c r="I38" t="str">
        <f t="shared" si="5"/>
        <v>théoui</v>
      </c>
      <c r="J38" s="1" t="s">
        <v>221</v>
      </c>
    </row>
    <row r="39" spans="1:10" ht="60">
      <c r="A39" t="s">
        <v>206</v>
      </c>
      <c r="B39" t="s">
        <v>148</v>
      </c>
      <c r="C39" t="s">
        <v>72</v>
      </c>
      <c r="D39" t="str">
        <f t="shared" si="0"/>
        <v>théQuestion 13</v>
      </c>
      <c r="E39" s="3" t="s">
        <v>284</v>
      </c>
      <c r="F39" t="s">
        <v>143</v>
      </c>
      <c r="G39" s="1" t="str">
        <f>CONCATENATE(E39,F39)</f>
        <v>La productivité a-t-elle diminué au cours des dernières années (5 à 10 ans) en raison du changement climatique ? non</v>
      </c>
      <c r="H39">
        <f>IF(F39='2. SAISIE DES DONNÉES'!$V$65,-1)+IF(F39='2. SAISIE DES DONNÉES'!$V$66,1)</f>
        <v>1</v>
      </c>
      <c r="I39" t="str">
        <f>CONCATENATE(B39,F39)</f>
        <v>thénon</v>
      </c>
      <c r="J39" s="1" t="s">
        <v>222</v>
      </c>
    </row>
    <row r="40" spans="1:10" ht="60">
      <c r="A40" t="s">
        <v>206</v>
      </c>
      <c r="B40" t="s">
        <v>142</v>
      </c>
      <c r="C40" t="s">
        <v>72</v>
      </c>
      <c r="D40" t="str">
        <f t="shared" si="0"/>
        <v>les bananesQuestion 13</v>
      </c>
      <c r="E40" s="1" t="s">
        <v>284</v>
      </c>
      <c r="F40" t="s">
        <v>141</v>
      </c>
      <c r="G40" s="1" t="str">
        <f>CONCATENATE(E40,F40)</f>
        <v>La productivité a-t-elle diminué au cours des dernières années (5 à 10 ans) en raison du changement climatique ? oui</v>
      </c>
      <c r="H40">
        <f>IF(F40='2. SAISIE DES DONNÉES'!$V$65,-1)+IF(F40='2. SAISIE DES DONNÉES'!$V$66,1)</f>
        <v>-1</v>
      </c>
      <c r="I40" t="str">
        <f>CONCATENATE(B40,F40)</f>
        <v>les bananesoui</v>
      </c>
      <c r="J40" s="1" t="s">
        <v>223</v>
      </c>
    </row>
    <row r="41" spans="1:10" ht="60">
      <c r="A41" t="s">
        <v>206</v>
      </c>
      <c r="B41" t="s">
        <v>142</v>
      </c>
      <c r="C41" t="s">
        <v>72</v>
      </c>
      <c r="D41" t="str">
        <f t="shared" si="0"/>
        <v>les bananesQuestion 13</v>
      </c>
      <c r="E41" s="1" t="s">
        <v>284</v>
      </c>
      <c r="F41" t="s">
        <v>143</v>
      </c>
      <c r="G41" s="1" t="str">
        <f t="shared" ref="G41:G67" si="6">CONCATENATE(E41,F41)</f>
        <v>La productivité a-t-elle diminué au cours des dernières années (5 à 10 ans) en raison du changement climatique ? non</v>
      </c>
      <c r="H41">
        <f>IF(F41='2. SAISIE DES DONNÉES'!$V$65,-1)+IF(F41='2. SAISIE DES DONNÉES'!$V$66,1)</f>
        <v>1</v>
      </c>
      <c r="J41"/>
    </row>
    <row r="42" spans="1:10" ht="120">
      <c r="A42" t="s">
        <v>224</v>
      </c>
      <c r="B42" t="s">
        <v>144</v>
      </c>
      <c r="C42" t="s">
        <v>78</v>
      </c>
      <c r="D42" t="str">
        <f t="shared" si="0"/>
        <v>cacaoQuestion 14</v>
      </c>
      <c r="E42" s="3" t="s">
        <v>225</v>
      </c>
      <c r="F42" t="s">
        <v>166</v>
      </c>
      <c r="G42" s="1" t="str">
        <f t="shared" si="6"/>
        <v>Existe-t-il une carte (éventuellement un croquis) de l’exploitation qui identifie les zones de production, les aires de conservation, les écosystèmes aquatiques et les zones potentiellement vulnérables (zones inondables, exposées à l’érosion, etc.) ?Atténuation 1</v>
      </c>
      <c r="H42">
        <f>IF(F42='2. SAISIE DES DONNÉES'!$V$65,-1)+IF(F42='2. SAISIE DES DONNÉES'!$V$66,1)</f>
        <v>0</v>
      </c>
      <c r="J42"/>
    </row>
    <row r="43" spans="1:10" ht="120">
      <c r="A43" t="s">
        <v>224</v>
      </c>
      <c r="B43" t="s">
        <v>147</v>
      </c>
      <c r="C43" t="s">
        <v>78</v>
      </c>
      <c r="D43" t="str">
        <f t="shared" si="0"/>
        <v>caféQuestion 14</v>
      </c>
      <c r="E43" s="3" t="s">
        <v>225</v>
      </c>
      <c r="F43" t="s">
        <v>166</v>
      </c>
      <c r="G43" s="1" t="str">
        <f t="shared" si="6"/>
        <v>Existe-t-il une carte (éventuellement un croquis) de l’exploitation qui identifie les zones de production, les aires de conservation, les écosystèmes aquatiques et les zones potentiellement vulnérables (zones inondables, exposées à l’érosion, etc.) ?Atténuation 1</v>
      </c>
      <c r="H43">
        <f>IF(F43='2. SAISIE DES DONNÉES'!$V$65,-1)+IF(F43='2. SAISIE DES DONNÉES'!$V$66,1)</f>
        <v>0</v>
      </c>
      <c r="J43"/>
    </row>
    <row r="44" spans="1:10" ht="120">
      <c r="A44" t="s">
        <v>224</v>
      </c>
      <c r="B44" t="s">
        <v>148</v>
      </c>
      <c r="C44" t="s">
        <v>78</v>
      </c>
      <c r="D44" t="str">
        <f t="shared" si="0"/>
        <v>théQuestion 14</v>
      </c>
      <c r="E44" s="56" t="s">
        <v>225</v>
      </c>
      <c r="F44" t="s">
        <v>166</v>
      </c>
      <c r="G44" s="1" t="str">
        <f t="shared" si="6"/>
        <v>Existe-t-il une carte (éventuellement un croquis) de l’exploitation qui identifie les zones de production, les aires de conservation, les écosystèmes aquatiques et les zones potentiellement vulnérables (zones inondables, exposées à l’érosion, etc.) ?Atténuation 1</v>
      </c>
      <c r="H44">
        <f>IF(F44='2. SAISIE DES DONNÉES'!$V$65,-1)+IF(F44='2. SAISIE DES DONNÉES'!$V$66,1)</f>
        <v>0</v>
      </c>
      <c r="J44"/>
    </row>
    <row r="45" spans="1:10" ht="120">
      <c r="A45" t="s">
        <v>224</v>
      </c>
      <c r="B45" t="s">
        <v>142</v>
      </c>
      <c r="C45" t="s">
        <v>78</v>
      </c>
      <c r="D45" t="str">
        <f t="shared" si="0"/>
        <v>les bananesQuestion 14</v>
      </c>
      <c r="E45" s="1" t="s">
        <v>225</v>
      </c>
      <c r="F45" t="s">
        <v>166</v>
      </c>
      <c r="G45" s="1" t="str">
        <f t="shared" si="6"/>
        <v>Existe-t-il une carte (éventuellement un croquis) de l’exploitation qui identifie les zones de production, les aires de conservation, les écosystèmes aquatiques et les zones potentiellement vulnérables (zones inondables, exposées à l’érosion, etc.) ?Atténuation 1</v>
      </c>
      <c r="H45">
        <f>IF(F45='2. SAISIE DES DONNÉES'!$V$65,-1)+IF(F45='2. SAISIE DES DONNÉES'!$V$66,1)</f>
        <v>0</v>
      </c>
      <c r="J45"/>
    </row>
    <row r="46" spans="1:10" ht="45">
      <c r="A46" t="s">
        <v>224</v>
      </c>
      <c r="B46" t="s">
        <v>144</v>
      </c>
      <c r="C46" t="s">
        <v>81</v>
      </c>
      <c r="D46" t="str">
        <f t="shared" si="0"/>
        <v>cacaoQuestion 15</v>
      </c>
      <c r="E46" s="3" t="s">
        <v>229</v>
      </c>
      <c r="F46" t="s">
        <v>170</v>
      </c>
      <c r="G46" s="1" t="str">
        <f t="shared" si="6"/>
        <v>Les risques climatiques futurs ont-ils été identifiés sur la base des niveaux de vulnérabilité ?Atténuation 2</v>
      </c>
      <c r="H46">
        <f>IF(F46='2. SAISIE DES DONNÉES'!$V$65,-1)+IF(F46='2. SAISIE DES DONNÉES'!$V$66,1)</f>
        <v>0</v>
      </c>
      <c r="J46"/>
    </row>
    <row r="47" spans="1:10" ht="45">
      <c r="A47" t="s">
        <v>224</v>
      </c>
      <c r="B47" t="s">
        <v>147</v>
      </c>
      <c r="C47" t="s">
        <v>81</v>
      </c>
      <c r="D47" t="str">
        <f t="shared" si="0"/>
        <v>caféQuestion 15</v>
      </c>
      <c r="E47" s="3" t="s">
        <v>229</v>
      </c>
      <c r="F47" t="s">
        <v>170</v>
      </c>
      <c r="G47" s="1" t="str">
        <f t="shared" si="6"/>
        <v>Les risques climatiques futurs ont-ils été identifiés sur la base des niveaux de vulnérabilité ?Atténuation 2</v>
      </c>
      <c r="H47">
        <f>IF(F47='2. SAISIE DES DONNÉES'!$V$65,-1)+IF(F47='2. SAISIE DES DONNÉES'!$V$66,1)</f>
        <v>0</v>
      </c>
      <c r="J47"/>
    </row>
    <row r="48" spans="1:10" ht="45">
      <c r="A48" t="s">
        <v>224</v>
      </c>
      <c r="B48" t="s">
        <v>148</v>
      </c>
      <c r="C48" t="s">
        <v>81</v>
      </c>
      <c r="D48" t="str">
        <f t="shared" si="0"/>
        <v>théQuestion 15</v>
      </c>
      <c r="E48" s="56" t="s">
        <v>229</v>
      </c>
      <c r="F48" t="s">
        <v>170</v>
      </c>
      <c r="G48" s="1" t="str">
        <f t="shared" si="6"/>
        <v>Les risques climatiques futurs ont-ils été identifiés sur la base des niveaux de vulnérabilité ?Atténuation 2</v>
      </c>
      <c r="H48">
        <f>IF(F48='2. SAISIE DES DONNÉES'!$V$65,-1)+IF(F48='2. SAISIE DES DONNÉES'!$V$66,1)</f>
        <v>0</v>
      </c>
      <c r="J48"/>
    </row>
    <row r="49" spans="1:10" ht="45">
      <c r="A49" t="s">
        <v>224</v>
      </c>
      <c r="B49" t="s">
        <v>142</v>
      </c>
      <c r="C49" t="s">
        <v>81</v>
      </c>
      <c r="D49" t="str">
        <f t="shared" si="0"/>
        <v>les bananesQuestion 15</v>
      </c>
      <c r="E49" s="1" t="s">
        <v>229</v>
      </c>
      <c r="F49" t="s">
        <v>170</v>
      </c>
      <c r="G49" s="1" t="str">
        <f t="shared" si="6"/>
        <v>Les risques climatiques futurs ont-ils été identifiés sur la base des niveaux de vulnérabilité ?Atténuation 2</v>
      </c>
      <c r="H49">
        <f>IF(F49='2. SAISIE DES DONNÉES'!$V$65,-1)+IF(F49='2. SAISIE DES DONNÉES'!$V$66,1)</f>
        <v>0</v>
      </c>
      <c r="J49"/>
    </row>
    <row r="50" spans="1:10" ht="60">
      <c r="A50" t="s">
        <v>224</v>
      </c>
      <c r="B50" t="s">
        <v>144</v>
      </c>
      <c r="C50" t="s">
        <v>84</v>
      </c>
      <c r="D50" t="str">
        <f t="shared" si="0"/>
        <v>cacaoQuestion 16</v>
      </c>
      <c r="E50" s="3" t="s">
        <v>231</v>
      </c>
      <c r="F50" t="s">
        <v>175</v>
      </c>
      <c r="G50" s="1" t="str">
        <f t="shared" si="6"/>
        <v>Les pratiques agricoles ont-elles été associées en vue de compenser les vulnérabilités climatiques identifiées ?Atténuation 3</v>
      </c>
      <c r="H50">
        <f>IF(F50='2. SAISIE DES DONNÉES'!$V$65,-1)+IF(F50='2. SAISIE DES DONNÉES'!$V$66,1)</f>
        <v>0</v>
      </c>
      <c r="J50"/>
    </row>
    <row r="51" spans="1:10" ht="60">
      <c r="A51" t="s">
        <v>224</v>
      </c>
      <c r="B51" t="s">
        <v>147</v>
      </c>
      <c r="C51" t="s">
        <v>84</v>
      </c>
      <c r="D51" t="str">
        <f t="shared" si="0"/>
        <v>caféQuestion 16</v>
      </c>
      <c r="E51" s="3" t="s">
        <v>231</v>
      </c>
      <c r="F51" t="s">
        <v>175</v>
      </c>
      <c r="G51" s="1" t="str">
        <f t="shared" si="6"/>
        <v>Les pratiques agricoles ont-elles été associées en vue de compenser les vulnérabilités climatiques identifiées ?Atténuation 3</v>
      </c>
      <c r="H51">
        <f>IF(F51='2. SAISIE DES DONNÉES'!$V$65,-1)+IF(F51='2. SAISIE DES DONNÉES'!$V$66,1)</f>
        <v>0</v>
      </c>
      <c r="J51"/>
    </row>
    <row r="52" spans="1:10" ht="60.75" thickBot="1">
      <c r="A52" t="s">
        <v>224</v>
      </c>
      <c r="B52" t="s">
        <v>148</v>
      </c>
      <c r="C52" t="s">
        <v>84</v>
      </c>
      <c r="D52" t="str">
        <f t="shared" si="0"/>
        <v>théQuestion 16</v>
      </c>
      <c r="E52" s="3" t="s">
        <v>231</v>
      </c>
      <c r="F52" t="s">
        <v>175</v>
      </c>
      <c r="G52" s="1" t="str">
        <f t="shared" si="6"/>
        <v>Les pratiques agricoles ont-elles été associées en vue de compenser les vulnérabilités climatiques identifiées ?Atténuation 3</v>
      </c>
      <c r="H52">
        <f>IF(F52='2. SAISIE DES DONNÉES'!$V$65,-1)+IF(F52='2. SAISIE DES DONNÉES'!$V$66,1)</f>
        <v>0</v>
      </c>
      <c r="J52"/>
    </row>
    <row r="53" spans="1:10" ht="60.75" thickBot="1">
      <c r="A53" t="s">
        <v>224</v>
      </c>
      <c r="B53" t="s">
        <v>142</v>
      </c>
      <c r="C53" t="s">
        <v>84</v>
      </c>
      <c r="D53" t="str">
        <f t="shared" si="0"/>
        <v>les bananesQuestion 16</v>
      </c>
      <c r="E53" s="106" t="s">
        <v>231</v>
      </c>
      <c r="F53" t="s">
        <v>175</v>
      </c>
      <c r="G53" s="1" t="str">
        <f t="shared" si="6"/>
        <v>Les pratiques agricoles ont-elles été associées en vue de compenser les vulnérabilités climatiques identifiées ?Atténuation 3</v>
      </c>
      <c r="H53">
        <f>IF(F53='2. SAISIE DES DONNÉES'!$V$65,-1)+IF(F53='2. SAISIE DES DONNÉES'!$V$66,1)</f>
        <v>0</v>
      </c>
      <c r="J53"/>
    </row>
    <row r="54" spans="1:10" ht="60">
      <c r="A54" t="s">
        <v>224</v>
      </c>
      <c r="B54" t="s">
        <v>144</v>
      </c>
      <c r="C54" t="s">
        <v>87</v>
      </c>
      <c r="D54" t="str">
        <f t="shared" si="0"/>
        <v>cacaoQuestion 17</v>
      </c>
      <c r="E54" s="5" t="s">
        <v>233</v>
      </c>
      <c r="F54" t="s">
        <v>179</v>
      </c>
      <c r="G54" s="1" t="str">
        <f t="shared" si="6"/>
        <v>Existe-t-il un plan de gestion des cultures ou de l’exploitation qui tient compte des vulnérabilités climatiques actuelles et futures ?Atténuation 4</v>
      </c>
      <c r="H54">
        <f>IF(F54='2. SAISIE DES DONNÉES'!$V$65,-1)+IF(F54='2. SAISIE DES DONNÉES'!$V$66,1)</f>
        <v>0</v>
      </c>
      <c r="J54"/>
    </row>
    <row r="55" spans="1:10" ht="60">
      <c r="A55" t="s">
        <v>224</v>
      </c>
      <c r="B55" t="s">
        <v>147</v>
      </c>
      <c r="C55" t="s">
        <v>87</v>
      </c>
      <c r="D55" t="str">
        <f t="shared" si="0"/>
        <v>caféQuestion 17</v>
      </c>
      <c r="E55" s="56" t="s">
        <v>233</v>
      </c>
      <c r="F55" t="s">
        <v>179</v>
      </c>
      <c r="G55" s="1" t="str">
        <f t="shared" si="6"/>
        <v>Existe-t-il un plan de gestion des cultures ou de l’exploitation qui tient compte des vulnérabilités climatiques actuelles et futures ?Atténuation 4</v>
      </c>
      <c r="H55">
        <f>IF(F55='2. SAISIE DES DONNÉES'!$V$65,-1)+IF(F55='2. SAISIE DES DONNÉES'!$V$66,1)</f>
        <v>0</v>
      </c>
      <c r="J55"/>
    </row>
    <row r="56" spans="1:10" ht="60">
      <c r="A56" t="s">
        <v>224</v>
      </c>
      <c r="B56" t="s">
        <v>148</v>
      </c>
      <c r="C56" t="s">
        <v>87</v>
      </c>
      <c r="D56" t="str">
        <f t="shared" si="0"/>
        <v>théQuestion 17</v>
      </c>
      <c r="E56" s="1" t="s">
        <v>233</v>
      </c>
      <c r="F56" t="s">
        <v>179</v>
      </c>
      <c r="G56" s="1" t="str">
        <f t="shared" si="6"/>
        <v>Existe-t-il un plan de gestion des cultures ou de l’exploitation qui tient compte des vulnérabilités climatiques actuelles et futures ?Atténuation 4</v>
      </c>
      <c r="H56">
        <f>IF(F56='2. SAISIE DES DONNÉES'!$V$65,-1)+IF(F56='2. SAISIE DES DONNÉES'!$V$66,1)</f>
        <v>0</v>
      </c>
      <c r="J56"/>
    </row>
    <row r="57" spans="1:10" ht="60">
      <c r="A57" t="s">
        <v>224</v>
      </c>
      <c r="B57" t="s">
        <v>142</v>
      </c>
      <c r="C57" t="s">
        <v>87</v>
      </c>
      <c r="D57" t="str">
        <f t="shared" si="0"/>
        <v>les bananesQuestion 17</v>
      </c>
      <c r="E57" s="1" t="s">
        <v>233</v>
      </c>
      <c r="F57" t="s">
        <v>179</v>
      </c>
      <c r="G57" s="1" t="str">
        <f t="shared" si="6"/>
        <v>Existe-t-il un plan de gestion des cultures ou de l’exploitation qui tient compte des vulnérabilités climatiques actuelles et futures ?Atténuation 4</v>
      </c>
      <c r="H57">
        <f>IF(F57='2. SAISIE DES DONNÉES'!$V$65,-1)+IF(F57='2. SAISIE DES DONNÉES'!$V$66,1)</f>
        <v>0</v>
      </c>
      <c r="J57"/>
    </row>
    <row r="58" spans="1:10" ht="45">
      <c r="A58" t="s">
        <v>224</v>
      </c>
      <c r="B58" t="s">
        <v>144</v>
      </c>
      <c r="C58" t="s">
        <v>90</v>
      </c>
      <c r="D58" t="str">
        <f t="shared" si="0"/>
        <v>cacaoQuestion 18</v>
      </c>
      <c r="E58" s="3" t="s">
        <v>235</v>
      </c>
      <c r="F58" t="s">
        <v>182</v>
      </c>
      <c r="G58" s="1" t="str">
        <f t="shared" si="6"/>
        <v>Existe-t-il une stratégies de diversification des revenus ? (Horizontale / verticale)Atténuation 5</v>
      </c>
      <c r="H58">
        <f>IF(F58='2. SAISIE DES DONNÉES'!$V$65,-1)+IF(F58='2. SAISIE DES DONNÉES'!$V$66,1)</f>
        <v>0</v>
      </c>
      <c r="J58"/>
    </row>
    <row r="59" spans="1:10" ht="45">
      <c r="A59" t="s">
        <v>224</v>
      </c>
      <c r="B59" t="s">
        <v>147</v>
      </c>
      <c r="C59" t="s">
        <v>90</v>
      </c>
      <c r="D59" t="str">
        <f t="shared" si="0"/>
        <v>caféQuestion 18</v>
      </c>
      <c r="E59" s="56" t="s">
        <v>235</v>
      </c>
      <c r="F59" t="s">
        <v>182</v>
      </c>
      <c r="G59" s="1" t="str">
        <f t="shared" si="6"/>
        <v>Existe-t-il une stratégies de diversification des revenus ? (Horizontale / verticale)Atténuation 5</v>
      </c>
      <c r="H59">
        <f>IF(F59='2. SAISIE DES DONNÉES'!$V$65,-1)+IF(F59='2. SAISIE DES DONNÉES'!$V$66,1)</f>
        <v>0</v>
      </c>
      <c r="J59"/>
    </row>
    <row r="60" spans="1:10" ht="45">
      <c r="A60" t="s">
        <v>224</v>
      </c>
      <c r="B60" t="s">
        <v>148</v>
      </c>
      <c r="C60" t="s">
        <v>90</v>
      </c>
      <c r="D60" t="str">
        <f t="shared" si="0"/>
        <v>théQuestion 18</v>
      </c>
      <c r="E60" s="1" t="s">
        <v>235</v>
      </c>
      <c r="F60" t="s">
        <v>182</v>
      </c>
      <c r="G60" s="1" t="str">
        <f t="shared" si="6"/>
        <v>Existe-t-il une stratégies de diversification des revenus ? (Horizontale / verticale)Atténuation 5</v>
      </c>
      <c r="H60">
        <f>IF(F60='2. SAISIE DES DONNÉES'!$V$65,-1)+IF(F60='2. SAISIE DES DONNÉES'!$V$66,1)</f>
        <v>0</v>
      </c>
      <c r="J60"/>
    </row>
    <row r="61" spans="1:10" ht="45">
      <c r="A61" t="s">
        <v>224</v>
      </c>
      <c r="B61" t="s">
        <v>142</v>
      </c>
      <c r="C61" t="s">
        <v>90</v>
      </c>
      <c r="D61" t="str">
        <f t="shared" si="0"/>
        <v>les bananesQuestion 18</v>
      </c>
      <c r="E61" s="1" t="s">
        <v>235</v>
      </c>
      <c r="F61" t="s">
        <v>182</v>
      </c>
      <c r="G61" s="1" t="str">
        <f t="shared" si="6"/>
        <v>Existe-t-il une stratégies de diversification des revenus ? (Horizontale / verticale)Atténuation 5</v>
      </c>
      <c r="H61">
        <f>IF(F61='2. SAISIE DES DONNÉES'!$V$65,-1)+IF(F61='2. SAISIE DES DONNÉES'!$V$66,1)</f>
        <v>0</v>
      </c>
      <c r="J61"/>
    </row>
    <row r="62" spans="1:10" ht="60">
      <c r="A62" t="s">
        <v>224</v>
      </c>
      <c r="B62" t="s">
        <v>144</v>
      </c>
      <c r="C62" t="s">
        <v>93</v>
      </c>
      <c r="D62" t="str">
        <f t="shared" si="0"/>
        <v>cacaoQuestion 19</v>
      </c>
      <c r="E62" s="3" t="s">
        <v>237</v>
      </c>
      <c r="F62" t="s">
        <v>185</v>
      </c>
      <c r="G62" s="1" t="str">
        <f t="shared" si="6"/>
        <v>Existe-t-il un plan de gestion des enregistrements de la production, des intrants agricoles, des données météorologiques, etc. ?Atténuation 6</v>
      </c>
      <c r="H62">
        <f>IF(F62='2. SAISIE DES DONNÉES'!$V$65,-1)+IF(F62='2. SAISIE DES DONNÉES'!$V$66,1)</f>
        <v>0</v>
      </c>
      <c r="J62"/>
    </row>
    <row r="63" spans="1:10" ht="60">
      <c r="A63" t="s">
        <v>224</v>
      </c>
      <c r="B63" t="s">
        <v>147</v>
      </c>
      <c r="C63" t="s">
        <v>93</v>
      </c>
      <c r="D63" t="str">
        <f t="shared" si="0"/>
        <v>caféQuestion 19</v>
      </c>
      <c r="E63" s="3" t="s">
        <v>237</v>
      </c>
      <c r="F63" t="s">
        <v>185</v>
      </c>
      <c r="G63" s="1" t="str">
        <f t="shared" si="6"/>
        <v>Existe-t-il un plan de gestion des enregistrements de la production, des intrants agricoles, des données météorologiques, etc. ?Atténuation 6</v>
      </c>
      <c r="H63">
        <f>IF(F63='2. SAISIE DES DONNÉES'!$V$65,-1)+IF(F63='2. SAISIE DES DONNÉES'!$V$66,1)</f>
        <v>0</v>
      </c>
      <c r="J63"/>
    </row>
    <row r="64" spans="1:10" ht="60">
      <c r="A64" t="s">
        <v>224</v>
      </c>
      <c r="B64" t="s">
        <v>148</v>
      </c>
      <c r="C64" t="s">
        <v>93</v>
      </c>
      <c r="D64" t="str">
        <f t="shared" si="0"/>
        <v>théQuestion 19</v>
      </c>
      <c r="E64" s="56" t="s">
        <v>237</v>
      </c>
      <c r="F64" t="s">
        <v>185</v>
      </c>
      <c r="G64" s="1" t="str">
        <f t="shared" si="6"/>
        <v>Existe-t-il un plan de gestion des enregistrements de la production, des intrants agricoles, des données météorologiques, etc. ?Atténuation 6</v>
      </c>
      <c r="H64">
        <f>IF(F64='2. SAISIE DES DONNÉES'!$V$65,-1)+IF(F64='2. SAISIE DES DONNÉES'!$V$66,1)</f>
        <v>0</v>
      </c>
      <c r="J64"/>
    </row>
    <row r="65" spans="1:10" ht="60">
      <c r="A65" t="s">
        <v>224</v>
      </c>
      <c r="B65" t="s">
        <v>142</v>
      </c>
      <c r="C65" t="s">
        <v>93</v>
      </c>
      <c r="D65" t="str">
        <f t="shared" si="0"/>
        <v>les bananesQuestion 19</v>
      </c>
      <c r="E65" s="1" t="s">
        <v>237</v>
      </c>
      <c r="F65" t="s">
        <v>185</v>
      </c>
      <c r="G65" s="1" t="str">
        <f t="shared" si="6"/>
        <v>Existe-t-il un plan de gestion des enregistrements de la production, des intrants agricoles, des données météorologiques, etc. ?Atténuation 6</v>
      </c>
      <c r="H65">
        <f>IF(F65='2. SAISIE DES DONNÉES'!$V$65,-1)+IF(F65='2. SAISIE DES DONNÉES'!$V$66,1)</f>
        <v>0</v>
      </c>
      <c r="J65"/>
    </row>
    <row r="66" spans="1:10" ht="60">
      <c r="A66" t="s">
        <v>204</v>
      </c>
      <c r="B66" t="s">
        <v>144</v>
      </c>
      <c r="C66" t="s">
        <v>57</v>
      </c>
      <c r="D66" t="str">
        <f t="shared" si="0"/>
        <v>cacaoQuestion 2</v>
      </c>
      <c r="E66" s="3" t="s">
        <v>286</v>
      </c>
      <c r="F66" t="s">
        <v>141</v>
      </c>
      <c r="G66" s="1" t="str">
        <f t="shared" si="6"/>
        <v>Au cours des dernières années (5 à 10 ans) les précipitations ont-elles été irrégulières (le régime pluviométrique a-t-il changé) ? oui</v>
      </c>
      <c r="H66">
        <f>IF(F66='2. SAISIE DES DONNÉES'!$V$65,-1)+IF(F66='2. SAISIE DES DONNÉES'!$V$66,1)</f>
        <v>-1</v>
      </c>
      <c r="J66"/>
    </row>
    <row r="67" spans="1:10" ht="60">
      <c r="A67" t="s">
        <v>204</v>
      </c>
      <c r="B67" t="s">
        <v>144</v>
      </c>
      <c r="C67" t="s">
        <v>57</v>
      </c>
      <c r="D67" t="str">
        <f t="shared" ref="D67:D130" si="7">CONCATENATE(B67,C67)</f>
        <v>cacaoQuestion 2</v>
      </c>
      <c r="E67" s="3" t="s">
        <v>286</v>
      </c>
      <c r="F67" t="s">
        <v>143</v>
      </c>
      <c r="G67" s="1" t="str">
        <f t="shared" si="6"/>
        <v>Au cours des dernières années (5 à 10 ans) les précipitations ont-elles été irrégulières (le régime pluviométrique a-t-il changé) ? non</v>
      </c>
      <c r="H67">
        <f>IF(F67='2. SAISIE DES DONNÉES'!$V$65,-1)+IF(F67='2. SAISIE DES DONNÉES'!$V$66,1)</f>
        <v>1</v>
      </c>
      <c r="I67" t="str">
        <f t="shared" ref="I67:I79" si="8">CONCATENATE(B67,F67)</f>
        <v>cacaonon</v>
      </c>
      <c r="J67" s="1" t="s">
        <v>210</v>
      </c>
    </row>
    <row r="68" spans="1:10" ht="60">
      <c r="A68" t="s">
        <v>204</v>
      </c>
      <c r="B68" t="s">
        <v>147</v>
      </c>
      <c r="C68" t="s">
        <v>57</v>
      </c>
      <c r="D68" t="str">
        <f t="shared" si="7"/>
        <v>caféQuestion 2</v>
      </c>
      <c r="E68" s="3" t="s">
        <v>286</v>
      </c>
      <c r="F68" t="s">
        <v>141</v>
      </c>
      <c r="G68" s="1" t="str">
        <f t="shared" ref="G68:G79" si="9">CONCATENATE(E68,F68)</f>
        <v>Au cours des dernières années (5 à 10 ans) les précipitations ont-elles été irrégulières (le régime pluviométrique a-t-il changé) ? oui</v>
      </c>
      <c r="H68">
        <f>IF(F68='2. SAISIE DES DONNÉES'!$V$65,-1)+IF(F68='2. SAISIE DES DONNÉES'!$V$66,1)</f>
        <v>-1</v>
      </c>
      <c r="I68" t="str">
        <f t="shared" si="8"/>
        <v>caféoui</v>
      </c>
      <c r="J68" s="1" t="s">
        <v>211</v>
      </c>
    </row>
    <row r="69" spans="1:10" ht="60">
      <c r="A69" t="s">
        <v>204</v>
      </c>
      <c r="B69" t="s">
        <v>147</v>
      </c>
      <c r="C69" t="s">
        <v>57</v>
      </c>
      <c r="D69" t="str">
        <f t="shared" si="7"/>
        <v>caféQuestion 2</v>
      </c>
      <c r="E69" s="3" t="s">
        <v>286</v>
      </c>
      <c r="F69" t="s">
        <v>143</v>
      </c>
      <c r="G69" s="1" t="str">
        <f t="shared" si="9"/>
        <v>Au cours des dernières années (5 à 10 ans) les précipitations ont-elles été irrégulières (le régime pluviométrique a-t-il changé) ? non</v>
      </c>
      <c r="H69">
        <f>IF(F69='2. SAISIE DES DONNÉES'!$V$65,-1)+IF(F69='2. SAISIE DES DONNÉES'!$V$66,1)</f>
        <v>1</v>
      </c>
      <c r="I69" t="str">
        <f t="shared" si="8"/>
        <v>cafénon</v>
      </c>
      <c r="J69" s="1" t="s">
        <v>212</v>
      </c>
    </row>
    <row r="70" spans="1:10" ht="60">
      <c r="A70" t="s">
        <v>204</v>
      </c>
      <c r="B70" t="s">
        <v>148</v>
      </c>
      <c r="C70" t="s">
        <v>57</v>
      </c>
      <c r="D70" t="str">
        <f t="shared" si="7"/>
        <v>théQuestion 2</v>
      </c>
      <c r="E70" s="3" t="s">
        <v>286</v>
      </c>
      <c r="F70" t="s">
        <v>141</v>
      </c>
      <c r="G70" s="1" t="str">
        <f t="shared" si="9"/>
        <v>Au cours des dernières années (5 à 10 ans) les précipitations ont-elles été irrégulières (le régime pluviométrique a-t-il changé) ? oui</v>
      </c>
      <c r="H70">
        <f>IF(F70='2. SAISIE DES DONNÉES'!$V$65,-1)+IF(F70='2. SAISIE DES DONNÉES'!$V$66,1)</f>
        <v>-1</v>
      </c>
      <c r="I70" t="str">
        <f t="shared" si="8"/>
        <v>théoui</v>
      </c>
      <c r="J70" s="1" t="s">
        <v>213</v>
      </c>
    </row>
    <row r="71" spans="1:10" ht="60">
      <c r="A71" t="s">
        <v>204</v>
      </c>
      <c r="B71" t="s">
        <v>148</v>
      </c>
      <c r="C71" t="s">
        <v>57</v>
      </c>
      <c r="D71" t="str">
        <f t="shared" si="7"/>
        <v>théQuestion 2</v>
      </c>
      <c r="E71" s="3" t="s">
        <v>286</v>
      </c>
      <c r="F71" t="s">
        <v>143</v>
      </c>
      <c r="G71" s="1" t="str">
        <f t="shared" si="9"/>
        <v>Au cours des dernières années (5 à 10 ans) les précipitations ont-elles été irrégulières (le régime pluviométrique a-t-il changé) ? non</v>
      </c>
      <c r="H71">
        <f>IF(F71='2. SAISIE DES DONNÉES'!$V$65,-1)+IF(F71='2. SAISIE DES DONNÉES'!$V$66,1)</f>
        <v>1</v>
      </c>
      <c r="I71" t="str">
        <f t="shared" si="8"/>
        <v>thénon</v>
      </c>
      <c r="J71" s="1" t="s">
        <v>215</v>
      </c>
    </row>
    <row r="72" spans="1:10" ht="60">
      <c r="A72" t="s">
        <v>204</v>
      </c>
      <c r="B72" t="s">
        <v>142</v>
      </c>
      <c r="C72" t="s">
        <v>57</v>
      </c>
      <c r="D72" t="str">
        <f t="shared" si="7"/>
        <v>les bananesQuestion 2</v>
      </c>
      <c r="E72" s="1" t="s">
        <v>286</v>
      </c>
      <c r="F72" t="s">
        <v>141</v>
      </c>
      <c r="G72" s="1" t="str">
        <f t="shared" si="9"/>
        <v>Au cours des dernières années (5 à 10 ans) les précipitations ont-elles été irrégulières (le régime pluviométrique a-t-il changé) ? oui</v>
      </c>
      <c r="H72">
        <f>IF(F72='2. SAISIE DES DONNÉES'!$V$65,-1)+IF(F72='2. SAISIE DES DONNÉES'!$V$66,1)</f>
        <v>-1</v>
      </c>
      <c r="I72" t="str">
        <f t="shared" si="8"/>
        <v>les bananesoui</v>
      </c>
      <c r="J72" s="1" t="s">
        <v>238</v>
      </c>
    </row>
    <row r="73" spans="1:10" ht="60">
      <c r="A73" t="s">
        <v>204</v>
      </c>
      <c r="B73" t="s">
        <v>142</v>
      </c>
      <c r="C73" t="s">
        <v>57</v>
      </c>
      <c r="D73" t="str">
        <f t="shared" si="7"/>
        <v>les bananesQuestion 2</v>
      </c>
      <c r="E73" s="1" t="s">
        <v>286</v>
      </c>
      <c r="F73" t="s">
        <v>143</v>
      </c>
      <c r="G73" s="1" t="str">
        <f t="shared" si="9"/>
        <v>Au cours des dernières années (5 à 10 ans) les précipitations ont-elles été irrégulières (le régime pluviométrique a-t-il changé) ? non</v>
      </c>
      <c r="H73">
        <f>IF(F73='2. SAISIE DES DONNÉES'!$V$65,-1)+IF(F73='2. SAISIE DES DONNÉES'!$V$66,1)</f>
        <v>1</v>
      </c>
      <c r="I73" t="str">
        <f t="shared" si="8"/>
        <v>les bananesnon</v>
      </c>
      <c r="J73" s="1" t="s">
        <v>218</v>
      </c>
    </row>
    <row r="74" spans="1:10" ht="60">
      <c r="A74" t="s">
        <v>224</v>
      </c>
      <c r="B74" t="s">
        <v>144</v>
      </c>
      <c r="C74" t="s">
        <v>99</v>
      </c>
      <c r="D74" t="str">
        <f t="shared" si="7"/>
        <v>cacaoQuestion 20</v>
      </c>
      <c r="E74" s="3" t="s">
        <v>242</v>
      </c>
      <c r="F74" t="s">
        <v>188</v>
      </c>
      <c r="G74" s="1" t="str">
        <f t="shared" si="9"/>
        <v>L’exploitation installe-t-elle une infrastructure de collecte de l’eau de pluie pour l’irrigation et à d’autres fins ?Atténuation 7</v>
      </c>
      <c r="H74">
        <f>IF(F74='2. SAISIE DES DONNÉES'!$V$65,-1)+IF(F74='2. SAISIE DES DONNÉES'!$V$66,1)</f>
        <v>0</v>
      </c>
      <c r="I74" t="str">
        <f t="shared" si="8"/>
        <v>cacaoAtténuation 7</v>
      </c>
      <c r="J74" s="1" t="s">
        <v>219</v>
      </c>
    </row>
    <row r="75" spans="1:10" ht="60">
      <c r="A75" t="s">
        <v>224</v>
      </c>
      <c r="B75" t="s">
        <v>147</v>
      </c>
      <c r="C75" t="s">
        <v>99</v>
      </c>
      <c r="D75" t="str">
        <f t="shared" si="7"/>
        <v>caféQuestion 20</v>
      </c>
      <c r="E75" s="3" t="s">
        <v>242</v>
      </c>
      <c r="F75" t="s">
        <v>188</v>
      </c>
      <c r="G75" s="1" t="str">
        <f t="shared" si="9"/>
        <v>L’exploitation installe-t-elle une infrastructure de collecte de l’eau de pluie pour l’irrigation et à d’autres fins ?Atténuation 7</v>
      </c>
      <c r="H75">
        <f>IF(F75='2. SAISIE DES DONNÉES'!$V$65,-1)+IF(F75='2. SAISIE DES DONNÉES'!$V$66,1)</f>
        <v>0</v>
      </c>
      <c r="I75" t="str">
        <f t="shared" si="8"/>
        <v>caféAtténuation 7</v>
      </c>
      <c r="J75" s="1" t="s">
        <v>220</v>
      </c>
    </row>
    <row r="76" spans="1:10" ht="60">
      <c r="A76" t="s">
        <v>224</v>
      </c>
      <c r="B76" t="s">
        <v>148</v>
      </c>
      <c r="C76" t="s">
        <v>99</v>
      </c>
      <c r="D76" t="str">
        <f t="shared" si="7"/>
        <v>théQuestion 20</v>
      </c>
      <c r="E76" s="3" t="s">
        <v>242</v>
      </c>
      <c r="F76" t="s">
        <v>188</v>
      </c>
      <c r="G76" s="1" t="str">
        <f t="shared" si="9"/>
        <v>L’exploitation installe-t-elle une infrastructure de collecte de l’eau de pluie pour l’irrigation et à d’autres fins ?Atténuation 7</v>
      </c>
      <c r="H76">
        <f>IF(F76='2. SAISIE DES DONNÉES'!$V$65,-1)+IF(F76='2. SAISIE DES DONNÉES'!$V$66,1)</f>
        <v>0</v>
      </c>
      <c r="I76" t="str">
        <f t="shared" si="8"/>
        <v>théAtténuation 7</v>
      </c>
      <c r="J76" s="1" t="s">
        <v>220</v>
      </c>
    </row>
    <row r="77" spans="1:10" ht="60">
      <c r="A77" t="s">
        <v>224</v>
      </c>
      <c r="B77" t="s">
        <v>142</v>
      </c>
      <c r="C77" t="s">
        <v>99</v>
      </c>
      <c r="D77" t="str">
        <f t="shared" si="7"/>
        <v>les bananesQuestion 20</v>
      </c>
      <c r="E77" s="1" t="s">
        <v>242</v>
      </c>
      <c r="F77" t="s">
        <v>188</v>
      </c>
      <c r="G77" s="1" t="str">
        <f t="shared" si="9"/>
        <v>L’exploitation installe-t-elle une infrastructure de collecte de l’eau de pluie pour l’irrigation et à d’autres fins ?Atténuation 7</v>
      </c>
      <c r="H77">
        <f>IF(F77='2. SAISIE DES DONNÉES'!$V$65,-1)+IF(F77='2. SAISIE DES DONNÉES'!$V$66,1)</f>
        <v>0</v>
      </c>
      <c r="I77" t="str">
        <f t="shared" si="8"/>
        <v>les bananesAtténuation 7</v>
      </c>
      <c r="J77" s="1" t="s">
        <v>221</v>
      </c>
    </row>
    <row r="78" spans="1:10" ht="60">
      <c r="A78" t="s">
        <v>224</v>
      </c>
      <c r="B78" t="s">
        <v>144</v>
      </c>
      <c r="C78" t="s">
        <v>101</v>
      </c>
      <c r="D78" t="str">
        <f t="shared" si="7"/>
        <v>cacaoQuestion 21</v>
      </c>
      <c r="E78" s="3" t="s">
        <v>244</v>
      </c>
      <c r="F78" t="s">
        <v>190</v>
      </c>
      <c r="G78" s="1" t="str">
        <f t="shared" si="9"/>
        <v>Votre exploitation comprend-elle un système d’irrigation ? Si non-applicable, passez aux deux questions suivantes.Atténuation 8</v>
      </c>
      <c r="H78">
        <f>IF(F78='2. SAISIE DES DONNÉES'!$V$65,-1)+IF(F78='2. SAISIE DES DONNÉES'!$V$66,1)</f>
        <v>0</v>
      </c>
      <c r="I78" t="str">
        <f t="shared" si="8"/>
        <v>cacaoAtténuation 8</v>
      </c>
      <c r="J78" s="1" t="s">
        <v>222</v>
      </c>
    </row>
    <row r="79" spans="1:10" ht="60">
      <c r="A79" t="s">
        <v>224</v>
      </c>
      <c r="B79" t="s">
        <v>147</v>
      </c>
      <c r="C79" t="s">
        <v>101</v>
      </c>
      <c r="D79" t="str">
        <f t="shared" si="7"/>
        <v>caféQuestion 21</v>
      </c>
      <c r="E79" s="3" t="s">
        <v>244</v>
      </c>
      <c r="F79" t="s">
        <v>190</v>
      </c>
      <c r="G79" s="1" t="str">
        <f t="shared" si="9"/>
        <v>Votre exploitation comprend-elle un système d’irrigation ? Si non-applicable, passez aux deux questions suivantes.Atténuation 8</v>
      </c>
      <c r="H79">
        <f>IF(F79='2. SAISIE DES DONNÉES'!$V$65,-1)+IF(F79='2. SAISIE DES DONNÉES'!$V$66,1)</f>
        <v>0</v>
      </c>
      <c r="I79" t="str">
        <f t="shared" si="8"/>
        <v>caféAtténuation 8</v>
      </c>
      <c r="J79" s="1" t="s">
        <v>223</v>
      </c>
    </row>
    <row r="80" spans="1:10" ht="60">
      <c r="A80" t="s">
        <v>224</v>
      </c>
      <c r="B80" t="s">
        <v>148</v>
      </c>
      <c r="C80" t="s">
        <v>101</v>
      </c>
      <c r="D80" t="str">
        <f t="shared" si="7"/>
        <v>théQuestion 21</v>
      </c>
      <c r="E80" t="s">
        <v>244</v>
      </c>
      <c r="F80" t="s">
        <v>190</v>
      </c>
      <c r="G80" s="1" t="str">
        <f t="shared" ref="G80:G106" si="10">CONCATENATE(E80,F80)</f>
        <v>Votre exploitation comprend-elle un système d’irrigation ? Si non-applicable, passez aux deux questions suivantes.Atténuation 8</v>
      </c>
      <c r="H80">
        <f>IF(F80='2. SAISIE DES DONNÉES'!$V$65,-1)+IF(F80='2. SAISIE DES DONNÉES'!$V$66,1)</f>
        <v>0</v>
      </c>
      <c r="J80"/>
    </row>
    <row r="81" spans="1:10" ht="60">
      <c r="A81" t="s">
        <v>224</v>
      </c>
      <c r="B81" t="s">
        <v>142</v>
      </c>
      <c r="C81" t="s">
        <v>101</v>
      </c>
      <c r="D81" t="str">
        <f t="shared" si="7"/>
        <v>les bananesQuestion 21</v>
      </c>
      <c r="E81" s="1" t="s">
        <v>244</v>
      </c>
      <c r="F81" t="s">
        <v>190</v>
      </c>
      <c r="G81" s="1" t="str">
        <f t="shared" si="10"/>
        <v>Votre exploitation comprend-elle un système d’irrigation ? Si non-applicable, passez aux deux questions suivantes.Atténuation 8</v>
      </c>
      <c r="H81">
        <f>IF(F81='2. SAISIE DES DONNÉES'!$V$65,-1)+IF(F81='2. SAISIE DES DONNÉES'!$V$66,1)</f>
        <v>0</v>
      </c>
      <c r="J81"/>
    </row>
    <row r="82" spans="1:10" ht="60">
      <c r="A82" t="s">
        <v>224</v>
      </c>
      <c r="B82" t="s">
        <v>144</v>
      </c>
      <c r="C82" t="s">
        <v>103</v>
      </c>
      <c r="D82" t="str">
        <f t="shared" si="7"/>
        <v>cacaoQuestion 22</v>
      </c>
      <c r="E82" s="3" t="s">
        <v>287</v>
      </c>
      <c r="F82" t="s">
        <v>191</v>
      </c>
      <c r="G82" s="1" t="str">
        <f t="shared" si="10"/>
        <v>Si nécessaire, les réseaux d’irrigation sont-ils régulièrement inspectés et entretenus, par exemple pour éviter les fuites ?Atténuation 9</v>
      </c>
      <c r="H82">
        <f>IF(F82='2. SAISIE DES DONNÉES'!$V$65,-1)+IF(F82='2. SAISIE DES DONNÉES'!$V$66,1)</f>
        <v>0</v>
      </c>
      <c r="J82"/>
    </row>
    <row r="83" spans="1:10" ht="60">
      <c r="A83" t="s">
        <v>224</v>
      </c>
      <c r="B83" t="s">
        <v>147</v>
      </c>
      <c r="C83" t="s">
        <v>103</v>
      </c>
      <c r="D83" t="str">
        <f t="shared" si="7"/>
        <v>caféQuestion 22</v>
      </c>
      <c r="E83" s="3" t="s">
        <v>287</v>
      </c>
      <c r="F83" t="s">
        <v>191</v>
      </c>
      <c r="G83" s="1" t="str">
        <f t="shared" si="10"/>
        <v>Si nécessaire, les réseaux d’irrigation sont-ils régulièrement inspectés et entretenus, par exemple pour éviter les fuites ?Atténuation 9</v>
      </c>
      <c r="H83">
        <f>IF(F83='2. SAISIE DES DONNÉES'!$V$65,-1)+IF(F83='2. SAISIE DES DONNÉES'!$V$66,1)</f>
        <v>0</v>
      </c>
      <c r="J83"/>
    </row>
    <row r="84" spans="1:10" ht="60">
      <c r="A84" t="s">
        <v>224</v>
      </c>
      <c r="B84" t="s">
        <v>148</v>
      </c>
      <c r="C84" t="s">
        <v>103</v>
      </c>
      <c r="D84" t="str">
        <f t="shared" si="7"/>
        <v>théQuestion 22</v>
      </c>
      <c r="E84" s="102" t="s">
        <v>287</v>
      </c>
      <c r="F84" t="s">
        <v>191</v>
      </c>
      <c r="G84" s="1" t="str">
        <f t="shared" si="10"/>
        <v>Si nécessaire, les réseaux d’irrigation sont-ils régulièrement inspectés et entretenus, par exemple pour éviter les fuites ?Atténuation 9</v>
      </c>
      <c r="H84">
        <f>IF(F84='2. SAISIE DES DONNÉES'!$V$65,-1)+IF(F84='2. SAISIE DES DONNÉES'!$V$66,1)</f>
        <v>0</v>
      </c>
      <c r="J84"/>
    </row>
    <row r="85" spans="1:10" ht="60">
      <c r="A85" t="s">
        <v>224</v>
      </c>
      <c r="B85" t="s">
        <v>142</v>
      </c>
      <c r="C85" t="s">
        <v>103</v>
      </c>
      <c r="D85" t="str">
        <f t="shared" si="7"/>
        <v>les bananesQuestion 22</v>
      </c>
      <c r="E85" s="1" t="s">
        <v>287</v>
      </c>
      <c r="F85" t="s">
        <v>191</v>
      </c>
      <c r="G85" s="1" t="str">
        <f t="shared" si="10"/>
        <v>Si nécessaire, les réseaux d’irrigation sont-ils régulièrement inspectés et entretenus, par exemple pour éviter les fuites ?Atténuation 9</v>
      </c>
      <c r="H85">
        <f>IF(F85='2. SAISIE DES DONNÉES'!$V$65,-1)+IF(F85='2. SAISIE DES DONNÉES'!$V$66,1)</f>
        <v>0</v>
      </c>
      <c r="J85"/>
    </row>
    <row r="86" spans="1:10" ht="105">
      <c r="A86" t="s">
        <v>224</v>
      </c>
      <c r="B86" t="s">
        <v>144</v>
      </c>
      <c r="C86" t="s">
        <v>105</v>
      </c>
      <c r="D86" t="str">
        <f t="shared" si="7"/>
        <v>cacaoQuestion 23</v>
      </c>
      <c r="E86" s="3" t="s">
        <v>288</v>
      </c>
      <c r="F86" t="s">
        <v>192</v>
      </c>
      <c r="G86" s="1" t="str">
        <f t="shared" si="10"/>
        <v>Si nécessaire, les réseaux d’irrigation sont-ils conçus et entretenus en vue d'optimiser le rendement agricole ? (Conditions climatiques, évapotranspiration des cultures à différents stades de leur croissance, type de sol)Atténuation 10</v>
      </c>
      <c r="H86">
        <f>IF(F86='2. SAISIE DES DONNÉES'!$V$65,-1)+IF(F86='2. SAISIE DES DONNÉES'!$V$66,1)</f>
        <v>0</v>
      </c>
      <c r="J86"/>
    </row>
    <row r="87" spans="1:10" ht="105">
      <c r="A87" t="s">
        <v>224</v>
      </c>
      <c r="B87" t="s">
        <v>147</v>
      </c>
      <c r="C87" t="s">
        <v>105</v>
      </c>
      <c r="D87" t="str">
        <f t="shared" si="7"/>
        <v>caféQuestion 23</v>
      </c>
      <c r="E87" s="3" t="s">
        <v>288</v>
      </c>
      <c r="F87" t="s">
        <v>192</v>
      </c>
      <c r="G87" s="1" t="str">
        <f t="shared" si="10"/>
        <v>Si nécessaire, les réseaux d’irrigation sont-ils conçus et entretenus en vue d'optimiser le rendement agricole ? (Conditions climatiques, évapotranspiration des cultures à différents stades de leur croissance, type de sol)Atténuation 10</v>
      </c>
      <c r="H87">
        <f>IF(F87='2. SAISIE DES DONNÉES'!$V$65,-1)+IF(F87='2. SAISIE DES DONNÉES'!$V$66,1)</f>
        <v>0</v>
      </c>
      <c r="J87"/>
    </row>
    <row r="88" spans="1:10" ht="105">
      <c r="A88" t="s">
        <v>224</v>
      </c>
      <c r="B88" t="s">
        <v>148</v>
      </c>
      <c r="C88" t="s">
        <v>105</v>
      </c>
      <c r="D88" t="str">
        <f t="shared" si="7"/>
        <v>théQuestion 23</v>
      </c>
      <c r="E88" s="102" t="s">
        <v>288</v>
      </c>
      <c r="F88" t="s">
        <v>192</v>
      </c>
      <c r="G88" s="1" t="str">
        <f t="shared" si="10"/>
        <v>Si nécessaire, les réseaux d’irrigation sont-ils conçus et entretenus en vue d'optimiser le rendement agricole ? (Conditions climatiques, évapotranspiration des cultures à différents stades de leur croissance, type de sol)Atténuation 10</v>
      </c>
      <c r="H88">
        <f>IF(F88='2. SAISIE DES DONNÉES'!$V$65,-1)+IF(F88='2. SAISIE DES DONNÉES'!$V$66,1)</f>
        <v>0</v>
      </c>
      <c r="J88"/>
    </row>
    <row r="89" spans="1:10" ht="105">
      <c r="A89" t="s">
        <v>224</v>
      </c>
      <c r="B89" t="s">
        <v>142</v>
      </c>
      <c r="C89" t="s">
        <v>105</v>
      </c>
      <c r="D89" t="str">
        <f t="shared" si="7"/>
        <v>les bananesQuestion 23</v>
      </c>
      <c r="E89" s="1" t="s">
        <v>288</v>
      </c>
      <c r="F89" t="s">
        <v>192</v>
      </c>
      <c r="G89" s="1" t="str">
        <f t="shared" si="10"/>
        <v>Si nécessaire, les réseaux d’irrigation sont-ils conçus et entretenus en vue d'optimiser le rendement agricole ? (Conditions climatiques, évapotranspiration des cultures à différents stades de leur croissance, type de sol)Atténuation 10</v>
      </c>
      <c r="H89">
        <f>IF(F89='2. SAISIE DES DONNÉES'!$V$65,-1)+IF(F89='2. SAISIE DES DONNÉES'!$V$66,1)</f>
        <v>0</v>
      </c>
      <c r="J89"/>
    </row>
    <row r="90" spans="1:10" ht="45">
      <c r="A90" t="s">
        <v>224</v>
      </c>
      <c r="B90" t="s">
        <v>144</v>
      </c>
      <c r="C90" t="s">
        <v>107</v>
      </c>
      <c r="D90" t="str">
        <f t="shared" si="7"/>
        <v>cacaoQuestion 24a</v>
      </c>
      <c r="E90" s="3" t="s">
        <v>248</v>
      </c>
      <c r="F90" t="s">
        <v>193</v>
      </c>
      <c r="G90" s="1" t="str">
        <f t="shared" si="10"/>
        <v>Existe-t-il des écosystèmes aquatiques à proximité de l’exploitation ?Atténuation 11</v>
      </c>
      <c r="H90">
        <f>IF(F90='2. SAISIE DES DONNÉES'!$V$65,-1)+IF(F90='2. SAISIE DES DONNÉES'!$V$66,1)</f>
        <v>0</v>
      </c>
      <c r="J90"/>
    </row>
    <row r="91" spans="1:10" ht="45">
      <c r="A91" t="s">
        <v>224</v>
      </c>
      <c r="B91" t="s">
        <v>147</v>
      </c>
      <c r="C91" t="s">
        <v>107</v>
      </c>
      <c r="D91" t="str">
        <f t="shared" si="7"/>
        <v>caféQuestion 24a</v>
      </c>
      <c r="E91" s="3" t="s">
        <v>248</v>
      </c>
      <c r="F91" t="s">
        <v>193</v>
      </c>
      <c r="G91" s="1" t="str">
        <f t="shared" si="10"/>
        <v>Existe-t-il des écosystèmes aquatiques à proximité de l’exploitation ?Atténuation 11</v>
      </c>
      <c r="H91">
        <f>IF(F91='2. SAISIE DES DONNÉES'!$V$65,-1)+IF(F91='2. SAISIE DES DONNÉES'!$V$66,1)</f>
        <v>0</v>
      </c>
      <c r="J91"/>
    </row>
    <row r="92" spans="1:10" ht="45">
      <c r="A92" t="s">
        <v>224</v>
      </c>
      <c r="B92" t="s">
        <v>148</v>
      </c>
      <c r="C92" t="s">
        <v>107</v>
      </c>
      <c r="D92" t="str">
        <f t="shared" si="7"/>
        <v>théQuestion 24a</v>
      </c>
      <c r="E92" t="s">
        <v>248</v>
      </c>
      <c r="F92" t="s">
        <v>193</v>
      </c>
      <c r="G92" s="1" t="str">
        <f t="shared" si="10"/>
        <v>Existe-t-il des écosystèmes aquatiques à proximité de l’exploitation ?Atténuation 11</v>
      </c>
      <c r="H92">
        <f>IF(F92='2. SAISIE DES DONNÉES'!$V$65,-1)+IF(F92='2. SAISIE DES DONNÉES'!$V$66,1)</f>
        <v>0</v>
      </c>
      <c r="J92"/>
    </row>
    <row r="93" spans="1:10" ht="45">
      <c r="A93" t="s">
        <v>224</v>
      </c>
      <c r="B93" t="s">
        <v>142</v>
      </c>
      <c r="C93" t="s">
        <v>107</v>
      </c>
      <c r="D93" t="str">
        <f t="shared" si="7"/>
        <v>les bananesQuestion 24a</v>
      </c>
      <c r="E93" s="1" t="s">
        <v>248</v>
      </c>
      <c r="F93" t="s">
        <v>193</v>
      </c>
      <c r="G93" s="1" t="str">
        <f t="shared" si="10"/>
        <v>Existe-t-il des écosystèmes aquatiques à proximité de l’exploitation ?Atténuation 11</v>
      </c>
      <c r="H93">
        <f>IF(F93='2. SAISIE DES DONNÉES'!$V$65,-1)+IF(F93='2. SAISIE DES DONNÉES'!$V$66,1)</f>
        <v>0</v>
      </c>
      <c r="J93"/>
    </row>
    <row r="94" spans="1:10" ht="90">
      <c r="A94" t="s">
        <v>224</v>
      </c>
      <c r="B94" t="s">
        <v>144</v>
      </c>
      <c r="C94" t="s">
        <v>109</v>
      </c>
      <c r="D94" t="str">
        <f t="shared" si="7"/>
        <v>cacaoQuestion 24b</v>
      </c>
      <c r="E94" s="3" t="s">
        <v>289</v>
      </c>
      <c r="F94" t="s">
        <v>194</v>
      </c>
      <c r="G94" s="1" t="str">
        <f t="shared" si="10"/>
        <v>Ces écosystèmes aquatiques sont-ils protégés par la présence de zone sans applications de produits phytosanitaires (à l’exclusion de la végétation riveraines et des sillons de non-application) ?Atténuation 12</v>
      </c>
      <c r="H94">
        <f>IF(F94='2. SAISIE DES DONNÉES'!$V$65,-1)+IF(F94='2. SAISIE DES DONNÉES'!$V$66,1)</f>
        <v>0</v>
      </c>
      <c r="J94"/>
    </row>
    <row r="95" spans="1:10" ht="90">
      <c r="A95" t="s">
        <v>224</v>
      </c>
      <c r="B95" t="s">
        <v>147</v>
      </c>
      <c r="C95" t="s">
        <v>109</v>
      </c>
      <c r="D95" t="str">
        <f t="shared" si="7"/>
        <v>caféQuestion 24b</v>
      </c>
      <c r="E95" s="3" t="s">
        <v>289</v>
      </c>
      <c r="F95" t="s">
        <v>194</v>
      </c>
      <c r="G95" s="1" t="str">
        <f t="shared" si="10"/>
        <v>Ces écosystèmes aquatiques sont-ils protégés par la présence de zone sans applications de produits phytosanitaires (à l’exclusion de la végétation riveraines et des sillons de non-application) ?Atténuation 12</v>
      </c>
      <c r="H95">
        <f>IF(F95='2. SAISIE DES DONNÉES'!$V$65,-1)+IF(F95='2. SAISIE DES DONNÉES'!$V$66,1)</f>
        <v>0</v>
      </c>
      <c r="J95"/>
    </row>
    <row r="96" spans="1:10" ht="90">
      <c r="A96" t="s">
        <v>224</v>
      </c>
      <c r="B96" t="s">
        <v>148</v>
      </c>
      <c r="C96" t="s">
        <v>109</v>
      </c>
      <c r="D96" t="str">
        <f t="shared" si="7"/>
        <v>théQuestion 24b</v>
      </c>
      <c r="E96" s="3" t="s">
        <v>289</v>
      </c>
      <c r="F96" t="s">
        <v>194</v>
      </c>
      <c r="G96" s="1" t="str">
        <f t="shared" si="10"/>
        <v>Ces écosystèmes aquatiques sont-ils protégés par la présence de zone sans applications de produits phytosanitaires (à l’exclusion de la végétation riveraines et des sillons de non-application) ?Atténuation 12</v>
      </c>
      <c r="H96">
        <f>IF(F96='2. SAISIE DES DONNÉES'!$V$65,-1)+IF(F96='2. SAISIE DES DONNÉES'!$V$66,1)</f>
        <v>0</v>
      </c>
      <c r="J96"/>
    </row>
    <row r="97" spans="1:10" ht="90">
      <c r="A97" t="s">
        <v>224</v>
      </c>
      <c r="B97" t="s">
        <v>142</v>
      </c>
      <c r="C97" t="s">
        <v>109</v>
      </c>
      <c r="D97" t="str">
        <f t="shared" si="7"/>
        <v>les bananesQuestion 24b</v>
      </c>
      <c r="E97" s="1" t="s">
        <v>289</v>
      </c>
      <c r="F97" t="s">
        <v>194</v>
      </c>
      <c r="G97" s="1" t="str">
        <f t="shared" si="10"/>
        <v>Ces écosystèmes aquatiques sont-ils protégés par la présence de zone sans applications de produits phytosanitaires (à l’exclusion de la végétation riveraines et des sillons de non-application) ?Atténuation 12</v>
      </c>
      <c r="H97">
        <f>IF(F97='2. SAISIE DES DONNÉES'!$V$65,-1)+IF(F97='2. SAISIE DES DONNÉES'!$V$66,1)</f>
        <v>0</v>
      </c>
      <c r="J97"/>
    </row>
    <row r="98" spans="1:10" ht="60">
      <c r="A98" t="s">
        <v>224</v>
      </c>
      <c r="B98" t="s">
        <v>144</v>
      </c>
      <c r="C98" t="s">
        <v>112</v>
      </c>
      <c r="D98" t="str">
        <f t="shared" si="7"/>
        <v>cacaoQuestion 25</v>
      </c>
      <c r="E98" s="3" t="s">
        <v>250</v>
      </c>
      <c r="F98" t="s">
        <v>290</v>
      </c>
      <c r="G98" s="1" t="str">
        <f t="shared" si="10"/>
        <v>La production d‘engrais biologique provient-elle de la décomposition des déchets organiques (traités) de l’exploitation ?Atténuation 13</v>
      </c>
      <c r="H98">
        <f>IF(F98='2. SAISIE DES DONNÉES'!$V$65,-1)+IF(F98='2. SAISIE DES DONNÉES'!$V$66,1)</f>
        <v>0</v>
      </c>
      <c r="J98"/>
    </row>
    <row r="99" spans="1:10" ht="120">
      <c r="A99" t="s">
        <v>224</v>
      </c>
      <c r="B99" t="s">
        <v>147</v>
      </c>
      <c r="C99" t="s">
        <v>112</v>
      </c>
      <c r="D99" t="str">
        <f t="shared" si="7"/>
        <v>caféQuestion 25</v>
      </c>
      <c r="E99" s="3" t="s">
        <v>291</v>
      </c>
      <c r="F99" t="s">
        <v>290</v>
      </c>
      <c r="G99" s="1" t="str">
        <f t="shared" si="10"/>
        <v>La production d‘engrais biologique provient-elle de la décomposition des déchets organiques (traités) de l’exploitation ? Répondez « partiellement » si applicable uniquement à une partie plutôt qu’à l'ensemble de l’exploitation.Atténuation 13</v>
      </c>
      <c r="H99">
        <f>IF(F99='2. SAISIE DES DONNÉES'!$V$65,-1)+IF(F99='2. SAISIE DES DONNÉES'!$V$66,1)</f>
        <v>0</v>
      </c>
      <c r="J99"/>
    </row>
    <row r="100" spans="1:10" ht="120">
      <c r="A100" t="s">
        <v>224</v>
      </c>
      <c r="B100" t="s">
        <v>148</v>
      </c>
      <c r="C100" t="s">
        <v>112</v>
      </c>
      <c r="D100" t="str">
        <f t="shared" si="7"/>
        <v>théQuestion 25</v>
      </c>
      <c r="E100" s="3" t="s">
        <v>291</v>
      </c>
      <c r="F100" t="s">
        <v>290</v>
      </c>
      <c r="G100" s="1" t="str">
        <f t="shared" si="10"/>
        <v>La production d‘engrais biologique provient-elle de la décomposition des déchets organiques (traités) de l’exploitation ? Répondez « partiellement » si applicable uniquement à une partie plutôt qu’à l'ensemble de l’exploitation.Atténuation 13</v>
      </c>
      <c r="H100">
        <f>IF(F100='2. SAISIE DES DONNÉES'!$V$65,-1)+IF(F100='2. SAISIE DES DONNÉES'!$V$66,1)</f>
        <v>0</v>
      </c>
      <c r="J100"/>
    </row>
    <row r="101" spans="1:10" ht="120">
      <c r="A101" t="s">
        <v>224</v>
      </c>
      <c r="B101" t="s">
        <v>142</v>
      </c>
      <c r="C101" t="s">
        <v>112</v>
      </c>
      <c r="D101" t="str">
        <f t="shared" si="7"/>
        <v>les bananesQuestion 25</v>
      </c>
      <c r="E101" s="1" t="s">
        <v>291</v>
      </c>
      <c r="F101" t="s">
        <v>290</v>
      </c>
      <c r="G101" s="1" t="str">
        <f t="shared" si="10"/>
        <v>La production d‘engrais biologique provient-elle de la décomposition des déchets organiques (traités) de l’exploitation ? Répondez « partiellement » si applicable uniquement à une partie plutôt qu’à l'ensemble de l’exploitation.Atténuation 13</v>
      </c>
      <c r="H101">
        <f>IF(F101='2. SAISIE DES DONNÉES'!$V$65,-1)+IF(F101='2. SAISIE DES DONNÉES'!$V$66,1)</f>
        <v>0</v>
      </c>
      <c r="J101"/>
    </row>
    <row r="102" spans="1:10" ht="30">
      <c r="A102" t="s">
        <v>224</v>
      </c>
      <c r="B102" t="s">
        <v>144</v>
      </c>
      <c r="C102" t="s">
        <v>114</v>
      </c>
      <c r="D102" t="str">
        <f t="shared" si="7"/>
        <v>cacaoQuestion 26</v>
      </c>
      <c r="E102" s="56" t="s">
        <v>251</v>
      </c>
      <c r="G102" s="1" t="str">
        <f t="shared" si="10"/>
        <v>L'exploitation comprend-elle des cultures de couverture ?</v>
      </c>
      <c r="H102">
        <f>IF(F102='2. SAISIE DES DONNÉES'!$V$65,-1)+IF(F102='2. SAISIE DES DONNÉES'!$V$66,1)</f>
        <v>0</v>
      </c>
      <c r="J102"/>
    </row>
    <row r="103" spans="1:10" ht="30">
      <c r="A103" t="s">
        <v>224</v>
      </c>
      <c r="B103" t="s">
        <v>147</v>
      </c>
      <c r="C103" t="s">
        <v>114</v>
      </c>
      <c r="D103" t="str">
        <f t="shared" si="7"/>
        <v>caféQuestion 26</v>
      </c>
      <c r="E103" s="56" t="s">
        <v>251</v>
      </c>
      <c r="G103" s="1" t="str">
        <f t="shared" si="10"/>
        <v>L'exploitation comprend-elle des cultures de couverture ?</v>
      </c>
      <c r="H103">
        <f>IF(F103='2. SAISIE DES DONNÉES'!$V$65,-1)+IF(F103='2. SAISIE DES DONNÉES'!$V$66,1)</f>
        <v>0</v>
      </c>
      <c r="J103"/>
    </row>
    <row r="104" spans="1:10" ht="30">
      <c r="A104" t="s">
        <v>224</v>
      </c>
      <c r="B104" t="s">
        <v>148</v>
      </c>
      <c r="C104" t="s">
        <v>114</v>
      </c>
      <c r="D104" t="str">
        <f t="shared" si="7"/>
        <v>théQuestion 26</v>
      </c>
      <c r="E104" s="56" t="s">
        <v>251</v>
      </c>
      <c r="G104" s="1" t="str">
        <f t="shared" si="10"/>
        <v>L'exploitation comprend-elle des cultures de couverture ?</v>
      </c>
      <c r="H104">
        <f>IF(F104='2. SAISIE DES DONNÉES'!$V$65,-1)+IF(F104='2. SAISIE DES DONNÉES'!$V$66,1)</f>
        <v>0</v>
      </c>
      <c r="J104"/>
    </row>
    <row r="105" spans="1:10" ht="30">
      <c r="A105" t="s">
        <v>224</v>
      </c>
      <c r="B105" t="s">
        <v>142</v>
      </c>
      <c r="C105" t="s">
        <v>114</v>
      </c>
      <c r="D105" t="str">
        <f t="shared" si="7"/>
        <v>les bananesQuestion 26</v>
      </c>
      <c r="E105" s="56" t="s">
        <v>251</v>
      </c>
      <c r="G105" s="1" t="str">
        <f t="shared" si="10"/>
        <v>L'exploitation comprend-elle des cultures de couverture ?</v>
      </c>
      <c r="H105">
        <f>IF(F105='2. SAISIE DES DONNÉES'!$V$65,-1)+IF(F105='2. SAISIE DES DONNÉES'!$V$66,1)</f>
        <v>0</v>
      </c>
      <c r="J105"/>
    </row>
    <row r="106" spans="1:10" ht="45">
      <c r="A106" t="s">
        <v>224</v>
      </c>
      <c r="B106" t="s">
        <v>144</v>
      </c>
      <c r="C106" t="s">
        <v>116</v>
      </c>
      <c r="D106" t="str">
        <f t="shared" si="7"/>
        <v>cacaoQuestion 27</v>
      </c>
      <c r="E106" s="56" t="s">
        <v>292</v>
      </c>
      <c r="G106" s="1" t="str">
        <f t="shared" si="10"/>
        <v>La parcelle est-elle protégée par un couvert végétal (paillis, coupe d’adventices ou résidus d’élagage) ?</v>
      </c>
      <c r="H106">
        <f>IF(F106='2. SAISIE DES DONNÉES'!$V$65,-1)+IF(F106='2. SAISIE DES DONNÉES'!$V$66,1)</f>
        <v>0</v>
      </c>
      <c r="I106" t="str">
        <f t="shared" ref="I106:I118" si="11">CONCATENATE(B106,F106)</f>
        <v>cacao</v>
      </c>
      <c r="J106" s="1" t="s">
        <v>210</v>
      </c>
    </row>
    <row r="107" spans="1:10" ht="60">
      <c r="A107" t="s">
        <v>224</v>
      </c>
      <c r="B107" t="s">
        <v>147</v>
      </c>
      <c r="C107" t="s">
        <v>116</v>
      </c>
      <c r="D107" t="str">
        <f t="shared" si="7"/>
        <v>caféQuestion 27</v>
      </c>
      <c r="E107" s="56" t="s">
        <v>292</v>
      </c>
      <c r="G107" s="1" t="str">
        <f t="shared" ref="G107:G118" si="12">CONCATENATE(E107,F107)</f>
        <v>La parcelle est-elle protégée par un couvert végétal (paillis, coupe d’adventices ou résidus d’élagage) ?</v>
      </c>
      <c r="H107">
        <f>IF(F107='2. SAISIE DES DONNÉES'!$V$65,-1)+IF(F107='2. SAISIE DES DONNÉES'!$V$66,1)</f>
        <v>0</v>
      </c>
      <c r="I107" t="str">
        <f t="shared" si="11"/>
        <v>café</v>
      </c>
      <c r="J107" s="1" t="s">
        <v>211</v>
      </c>
    </row>
    <row r="108" spans="1:10" ht="45">
      <c r="A108" t="s">
        <v>224</v>
      </c>
      <c r="B108" t="s">
        <v>148</v>
      </c>
      <c r="C108" t="s">
        <v>116</v>
      </c>
      <c r="D108" t="str">
        <f t="shared" si="7"/>
        <v>théQuestion 27</v>
      </c>
      <c r="E108" s="56" t="s">
        <v>292</v>
      </c>
      <c r="G108" s="1" t="str">
        <f t="shared" si="12"/>
        <v>La parcelle est-elle protégée par un couvert végétal (paillis, coupe d’adventices ou résidus d’élagage) ?</v>
      </c>
      <c r="H108">
        <f>IF(F108='2. SAISIE DES DONNÉES'!$V$65,-1)+IF(F108='2. SAISIE DES DONNÉES'!$V$66,1)</f>
        <v>0</v>
      </c>
      <c r="I108" t="str">
        <f t="shared" si="11"/>
        <v>thé</v>
      </c>
      <c r="J108" s="1" t="s">
        <v>212</v>
      </c>
    </row>
    <row r="109" spans="1:10" ht="60">
      <c r="A109" t="s">
        <v>224</v>
      </c>
      <c r="B109" t="s">
        <v>142</v>
      </c>
      <c r="C109" t="s">
        <v>116</v>
      </c>
      <c r="D109" t="str">
        <f t="shared" si="7"/>
        <v>les bananesQuestion 27</v>
      </c>
      <c r="E109" s="56" t="s">
        <v>292</v>
      </c>
      <c r="G109" s="1" t="str">
        <f t="shared" si="12"/>
        <v>La parcelle est-elle protégée par un couvert végétal (paillis, coupe d’adventices ou résidus d’élagage) ?</v>
      </c>
      <c r="H109">
        <f>IF(F109='2. SAISIE DES DONNÉES'!$V$65,-1)+IF(F109='2. SAISIE DES DONNÉES'!$V$66,1)</f>
        <v>0</v>
      </c>
      <c r="I109" t="str">
        <f t="shared" si="11"/>
        <v>les bananes</v>
      </c>
      <c r="J109" s="1" t="s">
        <v>213</v>
      </c>
    </row>
    <row r="110" spans="1:10" ht="45">
      <c r="A110" t="s">
        <v>224</v>
      </c>
      <c r="B110" t="s">
        <v>144</v>
      </c>
      <c r="C110" t="s">
        <v>120</v>
      </c>
      <c r="D110" t="str">
        <f t="shared" si="7"/>
        <v>cacaoQuestion 29</v>
      </c>
      <c r="E110" s="56" t="s">
        <v>293</v>
      </c>
      <c r="G110" s="1" t="str">
        <f t="shared" si="12"/>
        <v>L’exploitation comprend-elle des canaux de drainage (drains ou fossés) ?</v>
      </c>
      <c r="H110">
        <f>IF(F110='2. SAISIE DES DONNÉES'!$V$65,-1)+IF(F110='2. SAISIE DES DONNÉES'!$V$66,1)</f>
        <v>0</v>
      </c>
      <c r="I110" t="str">
        <f t="shared" si="11"/>
        <v>cacao</v>
      </c>
      <c r="J110" s="1" t="s">
        <v>215</v>
      </c>
    </row>
    <row r="111" spans="1:10" ht="30">
      <c r="A111" t="s">
        <v>224</v>
      </c>
      <c r="B111" t="s">
        <v>147</v>
      </c>
      <c r="C111" t="s">
        <v>120</v>
      </c>
      <c r="D111" t="str">
        <f t="shared" si="7"/>
        <v>caféQuestion 29</v>
      </c>
      <c r="E111" s="56" t="s">
        <v>293</v>
      </c>
      <c r="G111" s="1" t="str">
        <f t="shared" si="12"/>
        <v>L’exploitation comprend-elle des canaux de drainage (drains ou fossés) ?</v>
      </c>
      <c r="H111">
        <f>IF(F111='2. SAISIE DES DONNÉES'!$V$65,-1)+IF(F111='2. SAISIE DES DONNÉES'!$V$66,1)</f>
        <v>0</v>
      </c>
      <c r="I111" t="str">
        <f t="shared" si="11"/>
        <v>café</v>
      </c>
      <c r="J111" s="1" t="s">
        <v>239</v>
      </c>
    </row>
    <row r="112" spans="1:10" ht="30">
      <c r="A112" t="s">
        <v>224</v>
      </c>
      <c r="B112" t="s">
        <v>148</v>
      </c>
      <c r="C112" t="s">
        <v>120</v>
      </c>
      <c r="D112" t="str">
        <f t="shared" si="7"/>
        <v>théQuestion 29</v>
      </c>
      <c r="E112" s="56" t="s">
        <v>293</v>
      </c>
      <c r="G112" s="1" t="str">
        <f t="shared" si="12"/>
        <v>L’exploitation comprend-elle des canaux de drainage (drains ou fossés) ?</v>
      </c>
      <c r="H112">
        <f>IF(F112='2. SAISIE DES DONNÉES'!$V$65,-1)+IF(F112='2. SAISIE DES DONNÉES'!$V$66,1)</f>
        <v>0</v>
      </c>
      <c r="I112" t="str">
        <f t="shared" si="11"/>
        <v>thé</v>
      </c>
      <c r="J112" s="1" t="s">
        <v>218</v>
      </c>
    </row>
    <row r="113" spans="1:10" ht="30">
      <c r="A113" t="s">
        <v>224</v>
      </c>
      <c r="B113" t="s">
        <v>142</v>
      </c>
      <c r="C113" t="s">
        <v>120</v>
      </c>
      <c r="D113" t="str">
        <f t="shared" si="7"/>
        <v>les bananesQuestion 29</v>
      </c>
      <c r="E113" s="56" t="s">
        <v>293</v>
      </c>
      <c r="G113" s="1" t="str">
        <f t="shared" si="12"/>
        <v>L’exploitation comprend-elle des canaux de drainage (drains ou fossés) ?</v>
      </c>
      <c r="H113">
        <f>IF(F113='2. SAISIE DES DONNÉES'!$V$65,-1)+IF(F113='2. SAISIE DES DONNÉES'!$V$66,1)</f>
        <v>0</v>
      </c>
      <c r="I113" t="str">
        <f t="shared" si="11"/>
        <v>les bananes</v>
      </c>
      <c r="J113" s="1" t="s">
        <v>219</v>
      </c>
    </row>
    <row r="114" spans="1:10" ht="75">
      <c r="A114" t="s">
        <v>224</v>
      </c>
      <c r="B114" t="s">
        <v>144</v>
      </c>
      <c r="C114" t="s">
        <v>118</v>
      </c>
      <c r="D114" t="str">
        <f t="shared" si="7"/>
        <v>cacaoQuestion 28</v>
      </c>
      <c r="E114" s="56" t="s">
        <v>254</v>
      </c>
      <c r="G114" s="1" t="str">
        <f t="shared" si="12"/>
        <v>Existe-t-il des stratégies de conservation des sols ? (terrasses, terrasses individuelles, plantation des bordures, barrières végétales vivantes, barrières mortes)</v>
      </c>
      <c r="H114">
        <f>IF(F114='2. SAISIE DES DONNÉES'!$V$65,-1)+IF(F114='2. SAISIE DES DONNÉES'!$V$66,1)</f>
        <v>0</v>
      </c>
      <c r="I114" t="str">
        <f t="shared" si="11"/>
        <v>cacao</v>
      </c>
      <c r="J114" s="1" t="s">
        <v>220</v>
      </c>
    </row>
    <row r="115" spans="1:10" ht="75">
      <c r="A115" t="s">
        <v>224</v>
      </c>
      <c r="B115" t="s">
        <v>147</v>
      </c>
      <c r="C115" t="s">
        <v>118</v>
      </c>
      <c r="D115" t="str">
        <f t="shared" si="7"/>
        <v>caféQuestion 28</v>
      </c>
      <c r="E115" s="56" t="s">
        <v>254</v>
      </c>
      <c r="G115" s="1" t="str">
        <f t="shared" si="12"/>
        <v>Existe-t-il des stratégies de conservation des sols ? (terrasses, terrasses individuelles, plantation des bordures, barrières végétales vivantes, barrières mortes)</v>
      </c>
      <c r="H115">
        <f>IF(F115='2. SAISIE DES DONNÉES'!$V$65,-1)+IF(F115='2. SAISIE DES DONNÉES'!$V$66,1)</f>
        <v>0</v>
      </c>
      <c r="I115" t="str">
        <f t="shared" si="11"/>
        <v>café</v>
      </c>
      <c r="J115" s="1" t="s">
        <v>220</v>
      </c>
    </row>
    <row r="116" spans="1:10" ht="75">
      <c r="A116" t="s">
        <v>224</v>
      </c>
      <c r="B116" t="s">
        <v>148</v>
      </c>
      <c r="C116" t="s">
        <v>118</v>
      </c>
      <c r="D116" t="str">
        <f t="shared" si="7"/>
        <v>théQuestion 28</v>
      </c>
      <c r="E116" s="56" t="s">
        <v>254</v>
      </c>
      <c r="G116" s="1" t="str">
        <f t="shared" si="12"/>
        <v>Existe-t-il des stratégies de conservation des sols ? (terrasses, terrasses individuelles, plantation des bordures, barrières végétales vivantes, barrières mortes)</v>
      </c>
      <c r="H116">
        <f>IF(F116='2. SAISIE DES DONNÉES'!$V$65,-1)+IF(F116='2. SAISIE DES DONNÉES'!$V$66,1)</f>
        <v>0</v>
      </c>
      <c r="I116" t="str">
        <f t="shared" si="11"/>
        <v>thé</v>
      </c>
      <c r="J116" s="1" t="s">
        <v>221</v>
      </c>
    </row>
    <row r="117" spans="1:10" ht="75">
      <c r="A117" t="s">
        <v>224</v>
      </c>
      <c r="B117" t="s">
        <v>142</v>
      </c>
      <c r="C117" t="s">
        <v>118</v>
      </c>
      <c r="D117" t="str">
        <f t="shared" si="7"/>
        <v>les bananesQuestion 28</v>
      </c>
      <c r="E117" s="56" t="s">
        <v>254</v>
      </c>
      <c r="G117" s="1" t="str">
        <f t="shared" si="12"/>
        <v>Existe-t-il des stratégies de conservation des sols ? (terrasses, terrasses individuelles, plantation des bordures, barrières végétales vivantes, barrières mortes)</v>
      </c>
      <c r="H117">
        <f>IF(F117='2. SAISIE DES DONNÉES'!$V$65,-1)+IF(F117='2. SAISIE DES DONNÉES'!$V$66,1)</f>
        <v>0</v>
      </c>
      <c r="I117" t="str">
        <f t="shared" si="11"/>
        <v>les bananes</v>
      </c>
      <c r="J117" s="1" t="s">
        <v>222</v>
      </c>
    </row>
    <row r="118" spans="1:10" ht="60">
      <c r="A118" t="s">
        <v>204</v>
      </c>
      <c r="B118" t="s">
        <v>144</v>
      </c>
      <c r="C118" t="s">
        <v>255</v>
      </c>
      <c r="D118" t="str">
        <f t="shared" si="7"/>
        <v>cacaoQuestion 3</v>
      </c>
      <c r="E118" s="3" t="s">
        <v>256</v>
      </c>
      <c r="F118" t="s">
        <v>141</v>
      </c>
      <c r="G118" s="1" t="str">
        <f t="shared" si="12"/>
        <v>Les précipitations accompagnées d’inondations et de glissements de terrain ont-elles augmenté au cours des 5 à 10 dernières années ? oui</v>
      </c>
      <c r="H118">
        <f>IF(F118='2. SAISIE DES DONNÉES'!$V$65,-1)+IF(F118='2. SAISIE DES DONNÉES'!$V$66,1)</f>
        <v>-1</v>
      </c>
      <c r="I118" t="str">
        <f t="shared" si="11"/>
        <v>cacaooui</v>
      </c>
      <c r="J118" s="1" t="s">
        <v>223</v>
      </c>
    </row>
    <row r="119" spans="1:10" ht="60">
      <c r="A119" t="s">
        <v>204</v>
      </c>
      <c r="B119" t="s">
        <v>144</v>
      </c>
      <c r="C119" t="s">
        <v>255</v>
      </c>
      <c r="D119" t="str">
        <f t="shared" si="7"/>
        <v>cacaoQuestion 3</v>
      </c>
      <c r="E119" s="3" t="s">
        <v>256</v>
      </c>
      <c r="F119" t="s">
        <v>143</v>
      </c>
      <c r="G119" s="1" t="str">
        <f t="shared" ref="G119:G145" si="13">CONCATENATE(E119,F119)</f>
        <v>Les précipitations accompagnées d’inondations et de glissements de terrain ont-elles augmenté au cours des 5 à 10 dernières années ? non</v>
      </c>
      <c r="H119">
        <f>IF(F119='2. SAISIE DES DONNÉES'!$V$65,-1)+IF(F119='2. SAISIE DES DONNÉES'!$V$66,1)</f>
        <v>1</v>
      </c>
      <c r="J119"/>
    </row>
    <row r="120" spans="1:10" ht="60">
      <c r="A120" t="s">
        <v>204</v>
      </c>
      <c r="B120" t="s">
        <v>147</v>
      </c>
      <c r="C120" t="s">
        <v>255</v>
      </c>
      <c r="D120" t="str">
        <f t="shared" si="7"/>
        <v>caféQuestion 3</v>
      </c>
      <c r="E120" s="3" t="s">
        <v>256</v>
      </c>
      <c r="F120" t="s">
        <v>141</v>
      </c>
      <c r="G120" s="1" t="str">
        <f t="shared" si="13"/>
        <v>Les précipitations accompagnées d’inondations et de glissements de terrain ont-elles augmenté au cours des 5 à 10 dernières années ? oui</v>
      </c>
      <c r="H120">
        <f>IF(F120='2. SAISIE DES DONNÉES'!$V$65,-1)+IF(F120='2. SAISIE DES DONNÉES'!$V$66,1)</f>
        <v>-1</v>
      </c>
      <c r="J120"/>
    </row>
    <row r="121" spans="1:10" ht="60">
      <c r="A121" t="s">
        <v>204</v>
      </c>
      <c r="B121" t="s">
        <v>147</v>
      </c>
      <c r="C121" t="s">
        <v>255</v>
      </c>
      <c r="D121" t="str">
        <f t="shared" si="7"/>
        <v>caféQuestion 3</v>
      </c>
      <c r="E121" s="3" t="s">
        <v>256</v>
      </c>
      <c r="F121" t="s">
        <v>143</v>
      </c>
      <c r="G121" s="1" t="str">
        <f t="shared" si="13"/>
        <v>Les précipitations accompagnées d’inondations et de glissements de terrain ont-elles augmenté au cours des 5 à 10 dernières années ? non</v>
      </c>
      <c r="H121">
        <f>IF(F121='2. SAISIE DES DONNÉES'!$V$65,-1)+IF(F121='2. SAISIE DES DONNÉES'!$V$66,1)</f>
        <v>1</v>
      </c>
      <c r="J121"/>
    </row>
    <row r="122" spans="1:10" ht="60">
      <c r="A122" t="s">
        <v>204</v>
      </c>
      <c r="B122" t="s">
        <v>148</v>
      </c>
      <c r="C122" t="s">
        <v>255</v>
      </c>
      <c r="D122" t="str">
        <f t="shared" si="7"/>
        <v>théQuestion 3</v>
      </c>
      <c r="E122" s="3" t="s">
        <v>256</v>
      </c>
      <c r="F122" t="s">
        <v>141</v>
      </c>
      <c r="G122" s="1" t="str">
        <f t="shared" si="13"/>
        <v>Les précipitations accompagnées d’inondations et de glissements de terrain ont-elles augmenté au cours des 5 à 10 dernières années ? oui</v>
      </c>
      <c r="H122">
        <f>IF(F122='2. SAISIE DES DONNÉES'!$V$65,-1)+IF(F122='2. SAISIE DES DONNÉES'!$V$66,1)</f>
        <v>-1</v>
      </c>
      <c r="J122"/>
    </row>
    <row r="123" spans="1:10" ht="60">
      <c r="A123" t="s">
        <v>204</v>
      </c>
      <c r="B123" t="s">
        <v>148</v>
      </c>
      <c r="C123" t="s">
        <v>255</v>
      </c>
      <c r="D123" t="str">
        <f t="shared" si="7"/>
        <v>théQuestion 3</v>
      </c>
      <c r="E123" s="3" t="s">
        <v>256</v>
      </c>
      <c r="F123" t="s">
        <v>143</v>
      </c>
      <c r="G123" s="1" t="str">
        <f t="shared" si="13"/>
        <v>Les précipitations accompagnées d’inondations et de glissements de terrain ont-elles augmenté au cours des 5 à 10 dernières années ? non</v>
      </c>
      <c r="H123">
        <f>IF(F123='2. SAISIE DES DONNÉES'!$V$65,-1)+IF(F123='2. SAISIE DES DONNÉES'!$V$66,1)</f>
        <v>1</v>
      </c>
      <c r="J123"/>
    </row>
    <row r="124" spans="1:10" ht="60">
      <c r="A124" t="s">
        <v>204</v>
      </c>
      <c r="B124" t="s">
        <v>142</v>
      </c>
      <c r="C124" t="s">
        <v>255</v>
      </c>
      <c r="D124" t="str">
        <f t="shared" si="7"/>
        <v>les bananesQuestion 3</v>
      </c>
      <c r="E124" s="1" t="s">
        <v>256</v>
      </c>
      <c r="F124" t="s">
        <v>141</v>
      </c>
      <c r="G124" s="1" t="str">
        <f t="shared" si="13"/>
        <v>Les précipitations accompagnées d’inondations et de glissements de terrain ont-elles augmenté au cours des 5 à 10 dernières années ? oui</v>
      </c>
      <c r="H124">
        <f>IF(F124='2. SAISIE DES DONNÉES'!$V$65,-1)+IF(F124='2. SAISIE DES DONNÉES'!$V$66,1)</f>
        <v>-1</v>
      </c>
      <c r="J124"/>
    </row>
    <row r="125" spans="1:10" ht="60">
      <c r="A125" t="s">
        <v>204</v>
      </c>
      <c r="B125" t="s">
        <v>142</v>
      </c>
      <c r="C125" t="s">
        <v>255</v>
      </c>
      <c r="D125" t="str">
        <f t="shared" si="7"/>
        <v>les bananesQuestion 3</v>
      </c>
      <c r="E125" s="1" t="s">
        <v>256</v>
      </c>
      <c r="F125" t="s">
        <v>143</v>
      </c>
      <c r="G125" s="1" t="str">
        <f t="shared" si="13"/>
        <v>Les précipitations accompagnées d’inondations et de glissements de terrain ont-elles augmenté au cours des 5 à 10 dernières années ? non</v>
      </c>
      <c r="H125">
        <f>IF(F125='2. SAISIE DES DONNÉES'!$V$65,-1)+IF(F125='2. SAISIE DES DONNÉES'!$V$66,1)</f>
        <v>1</v>
      </c>
      <c r="J125"/>
    </row>
    <row r="126" spans="1:10" ht="90">
      <c r="A126" t="s">
        <v>224</v>
      </c>
      <c r="B126" t="s">
        <v>144</v>
      </c>
      <c r="C126" t="s">
        <v>125</v>
      </c>
      <c r="D126" t="str">
        <f t="shared" si="7"/>
        <v>cacaoQuestion 31</v>
      </c>
      <c r="E126" s="56" t="s">
        <v>294</v>
      </c>
      <c r="G126" s="1" t="str">
        <f t="shared" si="13"/>
        <v>L’exploitation est-elle couverte de végétation naturelle sur au moins 10 % de sa surface ? (Formes variées telles que jachères, fragments du couvert forestier, plantations de bordure, zones ripariennes tampons)</v>
      </c>
      <c r="H126">
        <f>IF(F126='2. SAISIE DES DONNÉES'!$V$65,-1)+IF(F126='2. SAISIE DES DONNÉES'!$V$66,1)</f>
        <v>0</v>
      </c>
      <c r="J126"/>
    </row>
    <row r="127" spans="1:10" ht="90">
      <c r="A127" t="s">
        <v>224</v>
      </c>
      <c r="B127" t="s">
        <v>147</v>
      </c>
      <c r="C127" t="s">
        <v>125</v>
      </c>
      <c r="D127" t="str">
        <f t="shared" si="7"/>
        <v>caféQuestion 31</v>
      </c>
      <c r="E127" s="56" t="s">
        <v>294</v>
      </c>
      <c r="G127" s="1" t="str">
        <f t="shared" si="13"/>
        <v>L’exploitation est-elle couverte de végétation naturelle sur au moins 10 % de sa surface ? (Formes variées telles que jachères, fragments du couvert forestier, plantations de bordure, zones ripariennes tampons)</v>
      </c>
      <c r="H127">
        <f>IF(F127='2. SAISIE DES DONNÉES'!$V$65,-1)+IF(F127='2. SAISIE DES DONNÉES'!$V$66,1)</f>
        <v>0</v>
      </c>
      <c r="J127"/>
    </row>
    <row r="128" spans="1:10" ht="90">
      <c r="A128" t="s">
        <v>224</v>
      </c>
      <c r="B128" t="s">
        <v>148</v>
      </c>
      <c r="C128" t="s">
        <v>125</v>
      </c>
      <c r="D128" t="str">
        <f t="shared" si="7"/>
        <v>théQuestion 31</v>
      </c>
      <c r="E128" s="56" t="s">
        <v>294</v>
      </c>
      <c r="G128" s="1" t="str">
        <f t="shared" si="13"/>
        <v>L’exploitation est-elle couverte de végétation naturelle sur au moins 10 % de sa surface ? (Formes variées telles que jachères, fragments du couvert forestier, plantations de bordure, zones ripariennes tampons)</v>
      </c>
      <c r="H128">
        <f>IF(F128='2. SAISIE DES DONNÉES'!$V$65,-1)+IF(F128='2. SAISIE DES DONNÉES'!$V$66,1)</f>
        <v>0</v>
      </c>
      <c r="J128"/>
    </row>
    <row r="129" spans="1:10" ht="90">
      <c r="A129" t="s">
        <v>224</v>
      </c>
      <c r="B129" t="s">
        <v>142</v>
      </c>
      <c r="C129" t="s">
        <v>125</v>
      </c>
      <c r="D129" t="str">
        <f t="shared" si="7"/>
        <v>les bananesQuestion 31</v>
      </c>
      <c r="E129" s="56" t="s">
        <v>294</v>
      </c>
      <c r="G129" s="1" t="str">
        <f t="shared" si="13"/>
        <v>L’exploitation est-elle couverte de végétation naturelle sur au moins 10 % de sa surface ? (Formes variées telles que jachères, fragments du couvert forestier, plantations de bordure, zones ripariennes tampons)</v>
      </c>
      <c r="H129">
        <f>IF(F129='2. SAISIE DES DONNÉES'!$V$65,-1)+IF(F129='2. SAISIE DES DONNÉES'!$V$66,1)</f>
        <v>0</v>
      </c>
      <c r="J129"/>
    </row>
    <row r="130" spans="1:10" ht="75">
      <c r="A130" t="s">
        <v>224</v>
      </c>
      <c r="B130" t="s">
        <v>144</v>
      </c>
      <c r="C130" t="s">
        <v>127</v>
      </c>
      <c r="D130" t="str">
        <f t="shared" si="7"/>
        <v>cacaoQuestion 32</v>
      </c>
      <c r="E130" s="56" t="s">
        <v>295</v>
      </c>
      <c r="G130" s="1" t="str">
        <f t="shared" si="13"/>
        <v>La culture principale est-elle réalisée en agroforesterie ? (Par ex. ombrage d’arbres fruitiers, palmiers, bambous délibérément utilisés au même endroit que la culture) ?</v>
      </c>
      <c r="H130">
        <f>IF(F130='2. SAISIE DES DONNÉES'!$V$65,-1)+IF(F130='2. SAISIE DES DONNÉES'!$V$66,1)</f>
        <v>0</v>
      </c>
      <c r="J130"/>
    </row>
    <row r="131" spans="1:10" ht="75">
      <c r="A131" t="s">
        <v>224</v>
      </c>
      <c r="B131" t="s">
        <v>147</v>
      </c>
      <c r="C131" t="s">
        <v>127</v>
      </c>
      <c r="D131" t="str">
        <f t="shared" ref="D131:D194" si="14">CONCATENATE(B131,C131)</f>
        <v>caféQuestion 32</v>
      </c>
      <c r="E131" s="56" t="s">
        <v>295</v>
      </c>
      <c r="G131" s="1" t="str">
        <f t="shared" si="13"/>
        <v>La culture principale est-elle réalisée en agroforesterie ? (Par ex. ombrage d’arbres fruitiers, palmiers, bambous délibérément utilisés au même endroit que la culture) ?</v>
      </c>
      <c r="H131">
        <f>IF(F131='2. SAISIE DES DONNÉES'!$V$65,-1)+IF(F131='2. SAISIE DES DONNÉES'!$V$66,1)</f>
        <v>0</v>
      </c>
      <c r="J131"/>
    </row>
    <row r="132" spans="1:10" ht="75">
      <c r="A132" t="s">
        <v>224</v>
      </c>
      <c r="B132" t="s">
        <v>148</v>
      </c>
      <c r="C132" t="s">
        <v>127</v>
      </c>
      <c r="D132" t="str">
        <f t="shared" si="14"/>
        <v>théQuestion 32</v>
      </c>
      <c r="E132" s="56" t="s">
        <v>295</v>
      </c>
      <c r="G132" s="1" t="str">
        <f t="shared" si="13"/>
        <v>La culture principale est-elle réalisée en agroforesterie ? (Par ex. ombrage d’arbres fruitiers, palmiers, bambous délibérément utilisés au même endroit que la culture) ?</v>
      </c>
      <c r="H132">
        <f>IF(F132='2. SAISIE DES DONNÉES'!$V$65,-1)+IF(F132='2. SAISIE DES DONNÉES'!$V$66,1)</f>
        <v>0</v>
      </c>
      <c r="J132"/>
    </row>
    <row r="133" spans="1:10" ht="75">
      <c r="A133" t="s">
        <v>224</v>
      </c>
      <c r="B133" t="s">
        <v>142</v>
      </c>
      <c r="C133" t="s">
        <v>127</v>
      </c>
      <c r="D133" t="str">
        <f t="shared" si="14"/>
        <v>les bananesQuestion 32</v>
      </c>
      <c r="E133" s="56" t="s">
        <v>295</v>
      </c>
      <c r="G133" s="1" t="str">
        <f t="shared" si="13"/>
        <v>La culture principale est-elle réalisée en agroforesterie ? (Par ex. ombrage d’arbres fruitiers, palmiers, bambous délibérément utilisés au même endroit que la culture) ?</v>
      </c>
      <c r="H133">
        <f>IF(F133='2. SAISIE DES DONNÉES'!$V$65,-1)+IF(F133='2. SAISIE DES DONNÉES'!$V$66,1)</f>
        <v>0</v>
      </c>
      <c r="J133"/>
    </row>
    <row r="134" spans="1:10" ht="75">
      <c r="A134" t="s">
        <v>224</v>
      </c>
      <c r="B134" t="s">
        <v>144</v>
      </c>
      <c r="C134" t="s">
        <v>129</v>
      </c>
      <c r="D134" t="str">
        <f t="shared" si="14"/>
        <v>cacaoQuestion 33</v>
      </c>
      <c r="E134" s="56" t="s">
        <v>259</v>
      </c>
      <c r="G134" s="1" t="str">
        <f t="shared" si="13"/>
        <v>Le couvert arboré des systèmes d’agroforesterie est-il géré conformément aux paramètres d’ombrage et de diversité des essences de feuillus optimaux ou recommandés ?</v>
      </c>
      <c r="H134">
        <f>IF(F134='2. SAISIE DES DONNÉES'!$V$65,-1)+IF(F134='2. SAISIE DES DONNÉES'!$V$66,1)</f>
        <v>0</v>
      </c>
      <c r="J134"/>
    </row>
    <row r="135" spans="1:10" ht="75">
      <c r="A135" t="s">
        <v>224</v>
      </c>
      <c r="B135" t="s">
        <v>147</v>
      </c>
      <c r="C135" t="s">
        <v>129</v>
      </c>
      <c r="D135" t="str">
        <f t="shared" si="14"/>
        <v>caféQuestion 33</v>
      </c>
      <c r="E135" s="56" t="s">
        <v>259</v>
      </c>
      <c r="G135" s="1" t="str">
        <f t="shared" si="13"/>
        <v>Le couvert arboré des systèmes d’agroforesterie est-il géré conformément aux paramètres d’ombrage et de diversité des essences de feuillus optimaux ou recommandés ?</v>
      </c>
      <c r="H135">
        <f>IF(F135='2. SAISIE DES DONNÉES'!$V$65,-1)+IF(F135='2. SAISIE DES DONNÉES'!$V$66,1)</f>
        <v>0</v>
      </c>
      <c r="J135"/>
    </row>
    <row r="136" spans="1:10" ht="75">
      <c r="A136" t="s">
        <v>224</v>
      </c>
      <c r="B136" t="s">
        <v>148</v>
      </c>
      <c r="C136" t="s">
        <v>129</v>
      </c>
      <c r="D136" t="str">
        <f t="shared" si="14"/>
        <v>théQuestion 33</v>
      </c>
      <c r="E136" s="56" t="s">
        <v>259</v>
      </c>
      <c r="G136" s="1" t="str">
        <f t="shared" si="13"/>
        <v>Le couvert arboré des systèmes d’agroforesterie est-il géré conformément aux paramètres d’ombrage et de diversité des essences de feuillus optimaux ou recommandés ?</v>
      </c>
      <c r="H136">
        <f>IF(F136='2. SAISIE DES DONNÉES'!$V$65,-1)+IF(F136='2. SAISIE DES DONNÉES'!$V$66,1)</f>
        <v>0</v>
      </c>
      <c r="J136"/>
    </row>
    <row r="137" spans="1:10" ht="75">
      <c r="A137" t="s">
        <v>224</v>
      </c>
      <c r="B137" t="s">
        <v>142</v>
      </c>
      <c r="C137" t="s">
        <v>129</v>
      </c>
      <c r="D137" t="str">
        <f t="shared" si="14"/>
        <v>les bananesQuestion 33</v>
      </c>
      <c r="E137" s="56" t="s">
        <v>259</v>
      </c>
      <c r="G137" s="1" t="str">
        <f t="shared" si="13"/>
        <v>Le couvert arboré des systèmes d’agroforesterie est-il géré conformément aux paramètres d’ombrage et de diversité des essences de feuillus optimaux ou recommandés ?</v>
      </c>
      <c r="H137">
        <f>IF(F137='2. SAISIE DES DONNÉES'!$V$65,-1)+IF(F137='2. SAISIE DES DONNÉES'!$V$66,1)</f>
        <v>0</v>
      </c>
      <c r="J137"/>
    </row>
    <row r="138" spans="1:10" ht="60">
      <c r="A138" t="s">
        <v>224</v>
      </c>
      <c r="B138" t="s">
        <v>144</v>
      </c>
      <c r="C138" t="s">
        <v>123</v>
      </c>
      <c r="D138" t="str">
        <f t="shared" si="14"/>
        <v>cacaoQuestion 30</v>
      </c>
      <c r="E138" s="1" t="s">
        <v>296</v>
      </c>
      <c r="G138" s="1" t="str">
        <f t="shared" si="13"/>
        <v>Les canaux de drainage (primaires ou secondaires) sont-il recouverts de végétation naturelle ? (répondre N/A en l’absence de canaux de drainage)</v>
      </c>
      <c r="H138">
        <f>IF(F138='2. SAISIE DES DONNÉES'!$V$65,-1)+IF(F138='2. SAISIE DES DONNÉES'!$V$66,1)</f>
        <v>0</v>
      </c>
      <c r="J138"/>
    </row>
    <row r="139" spans="1:10" ht="60">
      <c r="A139" t="s">
        <v>224</v>
      </c>
      <c r="B139" t="s">
        <v>147</v>
      </c>
      <c r="C139" t="s">
        <v>123</v>
      </c>
      <c r="D139" t="str">
        <f t="shared" si="14"/>
        <v>caféQuestion 30</v>
      </c>
      <c r="E139" s="1" t="s">
        <v>296</v>
      </c>
      <c r="G139" s="1" t="str">
        <f t="shared" si="13"/>
        <v>Les canaux de drainage (primaires ou secondaires) sont-il recouverts de végétation naturelle ? (répondre N/A en l’absence de canaux de drainage)</v>
      </c>
      <c r="H139">
        <f>IF(F139='2. SAISIE DES DONNÉES'!$V$65,-1)+IF(F139='2. SAISIE DES DONNÉES'!$V$66,1)</f>
        <v>0</v>
      </c>
      <c r="J139"/>
    </row>
    <row r="140" spans="1:10" ht="60">
      <c r="A140" t="s">
        <v>224</v>
      </c>
      <c r="B140" t="s">
        <v>148</v>
      </c>
      <c r="C140" t="s">
        <v>123</v>
      </c>
      <c r="D140" t="str">
        <f t="shared" si="14"/>
        <v>théQuestion 30</v>
      </c>
      <c r="E140" s="1" t="s">
        <v>296</v>
      </c>
      <c r="G140" s="1" t="str">
        <f t="shared" si="13"/>
        <v>Les canaux de drainage (primaires ou secondaires) sont-il recouverts de végétation naturelle ? (répondre N/A en l’absence de canaux de drainage)</v>
      </c>
      <c r="H140">
        <f>IF(F140='2. SAISIE DES DONNÉES'!$V$65,-1)+IF(F140='2. SAISIE DES DONNÉES'!$V$66,1)</f>
        <v>0</v>
      </c>
      <c r="J140"/>
    </row>
    <row r="141" spans="1:10" ht="60">
      <c r="A141" t="s">
        <v>224</v>
      </c>
      <c r="B141" t="s">
        <v>142</v>
      </c>
      <c r="C141" t="s">
        <v>123</v>
      </c>
      <c r="D141" t="str">
        <f t="shared" si="14"/>
        <v>les bananesQuestion 30</v>
      </c>
      <c r="E141" s="1" t="s">
        <v>296</v>
      </c>
      <c r="G141" s="1" t="str">
        <f t="shared" si="13"/>
        <v>Les canaux de drainage (primaires ou secondaires) sont-il recouverts de végétation naturelle ? (répondre N/A en l’absence de canaux de drainage)</v>
      </c>
      <c r="H141">
        <f>IF(F141='2. SAISIE DES DONNÉES'!$V$65,-1)+IF(F141='2. SAISIE DES DONNÉES'!$V$66,1)</f>
        <v>0</v>
      </c>
      <c r="J141"/>
    </row>
    <row r="142" spans="1:10" ht="60">
      <c r="A142" t="s">
        <v>224</v>
      </c>
      <c r="B142" t="s">
        <v>144</v>
      </c>
      <c r="C142" t="s">
        <v>132</v>
      </c>
      <c r="D142" t="str">
        <f t="shared" si="14"/>
        <v>cacaoQuestion 34</v>
      </c>
      <c r="E142" s="1" t="s">
        <v>261</v>
      </c>
      <c r="G142" s="1" t="str">
        <f t="shared" si="13"/>
        <v>Les variétés ont-elles été sélectionnées en fonction de leur potentiel d’adaptation aux futures changements climatiques ?</v>
      </c>
      <c r="H142">
        <f>IF(F142='2. SAISIE DES DONNÉES'!$V$65,-1)+IF(F142='2. SAISIE DES DONNÉES'!$V$66,1)</f>
        <v>0</v>
      </c>
      <c r="J142"/>
    </row>
    <row r="143" spans="1:10" ht="60">
      <c r="A143" t="s">
        <v>224</v>
      </c>
      <c r="B143" t="s">
        <v>147</v>
      </c>
      <c r="C143" t="s">
        <v>132</v>
      </c>
      <c r="D143" t="str">
        <f t="shared" si="14"/>
        <v>caféQuestion 34</v>
      </c>
      <c r="E143" s="1" t="s">
        <v>261</v>
      </c>
      <c r="G143" s="1" t="str">
        <f t="shared" si="13"/>
        <v>Les variétés ont-elles été sélectionnées en fonction de leur potentiel d’adaptation aux futures changements climatiques ?</v>
      </c>
      <c r="H143">
        <f>IF(F143='2. SAISIE DES DONNÉES'!$V$65,-1)+IF(F143='2. SAISIE DES DONNÉES'!$V$66,1)</f>
        <v>0</v>
      </c>
      <c r="J143"/>
    </row>
    <row r="144" spans="1:10" ht="60">
      <c r="A144" t="s">
        <v>224</v>
      </c>
      <c r="B144" t="s">
        <v>148</v>
      </c>
      <c r="C144" t="s">
        <v>132</v>
      </c>
      <c r="D144" t="str">
        <f t="shared" si="14"/>
        <v>théQuestion 34</v>
      </c>
      <c r="E144" s="1" t="s">
        <v>261</v>
      </c>
      <c r="G144" s="1" t="str">
        <f t="shared" si="13"/>
        <v>Les variétés ont-elles été sélectionnées en fonction de leur potentiel d’adaptation aux futures changements climatiques ?</v>
      </c>
      <c r="H144">
        <f>IF(F144='2. SAISIE DES DONNÉES'!$V$65,-1)+IF(F144='2. SAISIE DES DONNÉES'!$V$66,1)</f>
        <v>0</v>
      </c>
      <c r="J144"/>
    </row>
    <row r="145" spans="1:10" ht="60">
      <c r="A145" t="s">
        <v>224</v>
      </c>
      <c r="B145" t="s">
        <v>142</v>
      </c>
      <c r="C145" t="s">
        <v>132</v>
      </c>
      <c r="D145" t="str">
        <f t="shared" si="14"/>
        <v>les bananesQuestion 34</v>
      </c>
      <c r="E145" s="1" t="s">
        <v>261</v>
      </c>
      <c r="G145" s="1" t="str">
        <f t="shared" si="13"/>
        <v>Les variétés ont-elles été sélectionnées en fonction de leur potentiel d’adaptation aux futures changements climatiques ?</v>
      </c>
      <c r="H145">
        <f>IF(F145='2. SAISIE DES DONNÉES'!$V$65,-1)+IF(F145='2. SAISIE DES DONNÉES'!$V$66,1)</f>
        <v>0</v>
      </c>
      <c r="I145" t="str">
        <f t="shared" ref="I145:I157" si="15">CONCATENATE(B145,F145)</f>
        <v>les bananes</v>
      </c>
      <c r="J145" s="1" t="s">
        <v>262</v>
      </c>
    </row>
    <row r="146" spans="1:10" ht="60">
      <c r="A146" t="s">
        <v>224</v>
      </c>
      <c r="B146" t="s">
        <v>144</v>
      </c>
      <c r="C146" t="s">
        <v>134</v>
      </c>
      <c r="D146" t="str">
        <f t="shared" si="14"/>
        <v>cacaoQuestion 35</v>
      </c>
      <c r="E146" s="1" t="s">
        <v>263</v>
      </c>
      <c r="G146" s="1" t="str">
        <f t="shared" ref="G146:G157" si="16">CONCATENATE(E146,F146)</f>
        <v>Les cultures sont-elles correctement taillées ou élaguées ?</v>
      </c>
      <c r="H146">
        <f>IF(F146='2. SAISIE DES DONNÉES'!$V$65,-1)+IF(F146='2. SAISIE DES DONNÉES'!$V$66,1)</f>
        <v>0</v>
      </c>
      <c r="I146" t="str">
        <f t="shared" si="15"/>
        <v>cacao</v>
      </c>
      <c r="J146" s="1" t="s">
        <v>230</v>
      </c>
    </row>
    <row r="147" spans="1:10" ht="30">
      <c r="A147" t="s">
        <v>224</v>
      </c>
      <c r="B147" t="s">
        <v>147</v>
      </c>
      <c r="C147" t="s">
        <v>134</v>
      </c>
      <c r="D147" t="str">
        <f t="shared" si="14"/>
        <v>caféQuestion 35</v>
      </c>
      <c r="E147" s="1" t="s">
        <v>263</v>
      </c>
      <c r="G147" s="1" t="str">
        <f t="shared" si="16"/>
        <v>Les cultures sont-elles correctement taillées ou élaguées ?</v>
      </c>
      <c r="H147">
        <f>IF(F147='2. SAISIE DES DONNÉES'!$V$65,-1)+IF(F147='2. SAISIE DES DONNÉES'!$V$66,1)</f>
        <v>0</v>
      </c>
      <c r="I147" t="str">
        <f t="shared" si="15"/>
        <v>café</v>
      </c>
      <c r="J147" s="1" t="s">
        <v>232</v>
      </c>
    </row>
    <row r="148" spans="1:10" ht="30">
      <c r="A148" t="s">
        <v>224</v>
      </c>
      <c r="B148" t="s">
        <v>148</v>
      </c>
      <c r="C148" t="s">
        <v>134</v>
      </c>
      <c r="D148" t="str">
        <f t="shared" si="14"/>
        <v>théQuestion 35</v>
      </c>
      <c r="E148" s="1" t="s">
        <v>263</v>
      </c>
      <c r="G148" s="1" t="str">
        <f t="shared" si="16"/>
        <v>Les cultures sont-elles correctement taillées ou élaguées ?</v>
      </c>
      <c r="H148">
        <f>IF(F148='2. SAISIE DES DONNÉES'!$V$65,-1)+IF(F148='2. SAISIE DES DONNÉES'!$V$66,1)</f>
        <v>0</v>
      </c>
      <c r="I148" t="str">
        <f t="shared" si="15"/>
        <v>thé</v>
      </c>
      <c r="J148" s="1" t="s">
        <v>234</v>
      </c>
    </row>
    <row r="149" spans="1:10" ht="30">
      <c r="A149" t="s">
        <v>224</v>
      </c>
      <c r="B149" t="s">
        <v>142</v>
      </c>
      <c r="C149" t="s">
        <v>134</v>
      </c>
      <c r="D149" t="str">
        <f t="shared" si="14"/>
        <v>les bananesQuestion 35</v>
      </c>
      <c r="E149" s="1" t="s">
        <v>263</v>
      </c>
      <c r="G149" s="1" t="str">
        <f t="shared" si="16"/>
        <v>Les cultures sont-elles correctement taillées ou élaguées ?</v>
      </c>
      <c r="H149">
        <f>IF(F149='2. SAISIE DES DONNÉES'!$V$65,-1)+IF(F149='2. SAISIE DES DONNÉES'!$V$66,1)</f>
        <v>0</v>
      </c>
      <c r="I149" t="str">
        <f t="shared" si="15"/>
        <v>les bananes</v>
      </c>
      <c r="J149" s="1" t="s">
        <v>236</v>
      </c>
    </row>
    <row r="150" spans="1:10" ht="45">
      <c r="A150" t="s">
        <v>224</v>
      </c>
      <c r="B150" t="s">
        <v>144</v>
      </c>
      <c r="C150" t="s">
        <v>136</v>
      </c>
      <c r="D150" t="str">
        <f t="shared" si="14"/>
        <v>cacaoQuestion 36</v>
      </c>
      <c r="E150" s="1" t="s">
        <v>297</v>
      </c>
      <c r="G150" s="1" t="str">
        <f t="shared" si="16"/>
        <v>L’exploitation utilise-t-elle des pratiques intégrées de lutte contre les ravageurs et les maladies ?</v>
      </c>
      <c r="H150">
        <f>IF(F150='2. SAISIE DES DONNÉES'!$V$65,-1)+IF(F150='2. SAISIE DES DONNÉES'!$V$66,1)</f>
        <v>0</v>
      </c>
      <c r="I150" t="str">
        <f t="shared" si="15"/>
        <v>cacao</v>
      </c>
      <c r="J150" s="1" t="s">
        <v>240</v>
      </c>
    </row>
    <row r="151" spans="1:10" ht="45">
      <c r="A151" t="s">
        <v>224</v>
      </c>
      <c r="B151" t="s">
        <v>147</v>
      </c>
      <c r="C151" t="s">
        <v>136</v>
      </c>
      <c r="D151" t="str">
        <f t="shared" si="14"/>
        <v>caféQuestion 36</v>
      </c>
      <c r="E151" s="1" t="s">
        <v>297</v>
      </c>
      <c r="G151" s="1" t="str">
        <f t="shared" si="16"/>
        <v>L’exploitation utilise-t-elle des pratiques intégrées de lutte contre les ravageurs et les maladies ?</v>
      </c>
      <c r="H151">
        <f>IF(F151='2. SAISIE DES DONNÉES'!$V$65,-1)+IF(F151='2. SAISIE DES DONNÉES'!$V$66,1)</f>
        <v>0</v>
      </c>
      <c r="I151" t="str">
        <f t="shared" si="15"/>
        <v>café</v>
      </c>
      <c r="J151" s="1" t="s">
        <v>243</v>
      </c>
    </row>
    <row r="152" spans="1:10" ht="45">
      <c r="A152" t="s">
        <v>224</v>
      </c>
      <c r="B152" t="s">
        <v>148</v>
      </c>
      <c r="C152" t="s">
        <v>136</v>
      </c>
      <c r="D152" t="str">
        <f t="shared" si="14"/>
        <v>théQuestion 36</v>
      </c>
      <c r="E152" s="1" t="s">
        <v>297</v>
      </c>
      <c r="G152" s="1" t="str">
        <f t="shared" si="16"/>
        <v>L’exploitation utilise-t-elle des pratiques intégrées de lutte contre les ravageurs et les maladies ?</v>
      </c>
      <c r="H152">
        <f>IF(F152='2. SAISIE DES DONNÉES'!$V$65,-1)+IF(F152='2. SAISIE DES DONNÉES'!$V$66,1)</f>
        <v>0</v>
      </c>
      <c r="I152" t="str">
        <f t="shared" si="15"/>
        <v>thé</v>
      </c>
      <c r="J152" s="1" t="s">
        <v>243</v>
      </c>
    </row>
    <row r="153" spans="1:10" ht="45">
      <c r="A153" t="s">
        <v>224</v>
      </c>
      <c r="B153" t="s">
        <v>142</v>
      </c>
      <c r="C153" t="s">
        <v>136</v>
      </c>
      <c r="D153" t="str">
        <f t="shared" si="14"/>
        <v>les bananesQuestion 36</v>
      </c>
      <c r="E153" s="1" t="s">
        <v>297</v>
      </c>
      <c r="G153" s="1" t="str">
        <f t="shared" si="16"/>
        <v>L’exploitation utilise-t-elle des pratiques intégrées de lutte contre les ravageurs et les maladies ?</v>
      </c>
      <c r="H153">
        <f>IF(F153='2. SAISIE DES DONNÉES'!$V$65,-1)+IF(F153='2. SAISIE DES DONNÉES'!$V$66,1)</f>
        <v>0</v>
      </c>
      <c r="I153" t="str">
        <f t="shared" si="15"/>
        <v>les bananes</v>
      </c>
      <c r="J153" s="1" t="s">
        <v>220</v>
      </c>
    </row>
    <row r="154" spans="1:10" ht="60">
      <c r="A154" t="s">
        <v>224</v>
      </c>
      <c r="B154" t="s">
        <v>144</v>
      </c>
      <c r="C154" t="s">
        <v>138</v>
      </c>
      <c r="D154" t="str">
        <f t="shared" si="14"/>
        <v>cacaoQuestion 37</v>
      </c>
      <c r="E154" s="1" t="s">
        <v>265</v>
      </c>
      <c r="G154" s="1" t="str">
        <f t="shared" si="16"/>
        <v>L’application des engrais est-elle efficace (conformément à l’analyse du sol et des plantes et des besoins des cultures en nutriments) ?</v>
      </c>
      <c r="H154">
        <f>IF(F154='2. SAISIE DES DONNÉES'!$V$65,-1)+IF(F154='2. SAISIE DES DONNÉES'!$V$66,1)</f>
        <v>0</v>
      </c>
      <c r="I154" t="str">
        <f t="shared" si="15"/>
        <v>cacao</v>
      </c>
      <c r="J154" s="1" t="s">
        <v>220</v>
      </c>
    </row>
    <row r="155" spans="1:10" ht="60">
      <c r="A155" t="s">
        <v>224</v>
      </c>
      <c r="B155" t="s">
        <v>147</v>
      </c>
      <c r="C155" t="s">
        <v>138</v>
      </c>
      <c r="D155" t="str">
        <f t="shared" si="14"/>
        <v>caféQuestion 37</v>
      </c>
      <c r="E155" s="1" t="s">
        <v>265</v>
      </c>
      <c r="G155" s="1" t="str">
        <f t="shared" si="16"/>
        <v>L’application des engrais est-elle efficace (conformément à l’analyse du sol et des plantes et des besoins des cultures en nutriments) ?</v>
      </c>
      <c r="H155">
        <f>IF(F155='2. SAISIE DES DONNÉES'!$V$65,-1)+IF(F155='2. SAISIE DES DONNÉES'!$V$66,1)</f>
        <v>0</v>
      </c>
      <c r="I155" t="str">
        <f t="shared" si="15"/>
        <v>café</v>
      </c>
      <c r="J155" s="1" t="s">
        <v>221</v>
      </c>
    </row>
    <row r="156" spans="1:10" ht="60">
      <c r="A156" t="s">
        <v>224</v>
      </c>
      <c r="B156" t="s">
        <v>148</v>
      </c>
      <c r="C156" t="s">
        <v>138</v>
      </c>
      <c r="D156" t="str">
        <f t="shared" si="14"/>
        <v>théQuestion 37</v>
      </c>
      <c r="E156" s="1" t="s">
        <v>265</v>
      </c>
      <c r="G156" s="1" t="str">
        <f t="shared" si="16"/>
        <v>L’application des engrais est-elle efficace (conformément à l’analyse du sol et des plantes et des besoins des cultures en nutriments) ?</v>
      </c>
      <c r="H156">
        <f>IF(F156='2. SAISIE DES DONNÉES'!$V$65,-1)+IF(F156='2. SAISIE DES DONNÉES'!$V$66,1)</f>
        <v>0</v>
      </c>
      <c r="I156" t="str">
        <f t="shared" si="15"/>
        <v>thé</v>
      </c>
      <c r="J156" s="1" t="s">
        <v>222</v>
      </c>
    </row>
    <row r="157" spans="1:10" ht="60">
      <c r="A157" t="s">
        <v>224</v>
      </c>
      <c r="B157" t="s">
        <v>142</v>
      </c>
      <c r="C157" t="s">
        <v>138</v>
      </c>
      <c r="D157" t="str">
        <f t="shared" si="14"/>
        <v>les bananesQuestion 37</v>
      </c>
      <c r="E157" s="1" t="s">
        <v>265</v>
      </c>
      <c r="G157" s="1" t="str">
        <f t="shared" si="16"/>
        <v>L’application des engrais est-elle efficace (conformément à l’analyse du sol et des plantes et des besoins des cultures en nutriments) ?</v>
      </c>
      <c r="H157">
        <f>IF(F157='2. SAISIE DES DONNÉES'!$V$65,-1)+IF(F157='2. SAISIE DES DONNÉES'!$V$66,1)</f>
        <v>0</v>
      </c>
      <c r="I157" t="str">
        <f t="shared" si="15"/>
        <v>les bananes</v>
      </c>
      <c r="J157" s="1" t="s">
        <v>223</v>
      </c>
    </row>
    <row r="158" spans="1:10" ht="45">
      <c r="A158" t="s">
        <v>204</v>
      </c>
      <c r="B158" t="s">
        <v>144</v>
      </c>
      <c r="C158" t="s">
        <v>59</v>
      </c>
      <c r="D158" t="str">
        <f t="shared" si="14"/>
        <v>cacaoQuestion 3a</v>
      </c>
      <c r="E158" s="1" t="s">
        <v>266</v>
      </c>
      <c r="F158" t="s">
        <v>141</v>
      </c>
      <c r="G158" s="1" t="str">
        <f t="shared" ref="G158:G169" si="17">CONCATENATE(E158,F158)</f>
        <v>Les précipitations ont-elles augmenté (au cours des 5 à 10 dernières années) ?oui</v>
      </c>
      <c r="H158">
        <f>IF(F158='2. SAISIE DES DONNÉES'!$V$65,-1)+IF(F158='2. SAISIE DES DONNÉES'!$V$66,1)</f>
        <v>-1</v>
      </c>
    </row>
    <row r="159" spans="1:10" ht="45">
      <c r="A159" t="s">
        <v>204</v>
      </c>
      <c r="B159" t="s">
        <v>142</v>
      </c>
      <c r="C159" t="s">
        <v>59</v>
      </c>
      <c r="D159" t="str">
        <f t="shared" si="14"/>
        <v>les bananesQuestion 3a</v>
      </c>
      <c r="E159" s="1" t="s">
        <v>266</v>
      </c>
      <c r="F159" t="s">
        <v>141</v>
      </c>
      <c r="G159" s="1" t="str">
        <f t="shared" si="17"/>
        <v>Les précipitations ont-elles augmenté (au cours des 5 à 10 dernières années) ?oui</v>
      </c>
      <c r="H159">
        <f>IF(F159='2. SAISIE DES DONNÉES'!$V$65,-1)+IF(F159='2. SAISIE DES DONNÉES'!$V$66,1)</f>
        <v>-1</v>
      </c>
    </row>
    <row r="160" spans="1:10" ht="45">
      <c r="A160" t="s">
        <v>204</v>
      </c>
      <c r="B160" t="s">
        <v>148</v>
      </c>
      <c r="C160" t="s">
        <v>59</v>
      </c>
      <c r="D160" t="str">
        <f t="shared" si="14"/>
        <v>théQuestion 3a</v>
      </c>
      <c r="E160" s="1" t="s">
        <v>266</v>
      </c>
      <c r="F160" t="s">
        <v>141</v>
      </c>
      <c r="G160" s="1" t="str">
        <f t="shared" si="17"/>
        <v>Les précipitations ont-elles augmenté (au cours des 5 à 10 dernières années) ?oui</v>
      </c>
      <c r="H160">
        <f>IF(F160='2. SAISIE DES DONNÉES'!$V$65,-1)+IF(F160='2. SAISIE DES DONNÉES'!$V$66,1)</f>
        <v>-1</v>
      </c>
    </row>
    <row r="161" spans="1:8" ht="45">
      <c r="A161" t="s">
        <v>204</v>
      </c>
      <c r="B161" t="s">
        <v>147</v>
      </c>
      <c r="C161" t="s">
        <v>59</v>
      </c>
      <c r="D161" t="str">
        <f t="shared" si="14"/>
        <v>caféQuestion 3a</v>
      </c>
      <c r="E161" s="1" t="s">
        <v>266</v>
      </c>
      <c r="F161" t="s">
        <v>141</v>
      </c>
      <c r="G161" s="1" t="str">
        <f t="shared" si="17"/>
        <v>Les précipitations ont-elles augmenté (au cours des 5 à 10 dernières années) ?oui</v>
      </c>
      <c r="H161">
        <f>IF(F161='2. SAISIE DES DONNÉES'!$V$65,-1)+IF(F161='2. SAISIE DES DONNÉES'!$V$66,1)</f>
        <v>-1</v>
      </c>
    </row>
    <row r="162" spans="1:8" ht="45">
      <c r="A162" t="s">
        <v>204</v>
      </c>
      <c r="B162" t="s">
        <v>144</v>
      </c>
      <c r="C162" t="s">
        <v>59</v>
      </c>
      <c r="D162" t="str">
        <f t="shared" si="14"/>
        <v>cacaoQuestion 3a</v>
      </c>
      <c r="E162" s="1" t="s">
        <v>266</v>
      </c>
      <c r="F162" t="s">
        <v>143</v>
      </c>
      <c r="G162" s="1" t="str">
        <f t="shared" si="17"/>
        <v>Les précipitations ont-elles augmenté (au cours des 5 à 10 dernières années) ?non</v>
      </c>
      <c r="H162">
        <f>IF(F162='2. SAISIE DES DONNÉES'!$V$65,-1)+IF(F162='2. SAISIE DES DONNÉES'!$V$66,1)</f>
        <v>1</v>
      </c>
    </row>
    <row r="163" spans="1:8" ht="45">
      <c r="A163" t="s">
        <v>204</v>
      </c>
      <c r="B163" t="s">
        <v>142</v>
      </c>
      <c r="C163" t="s">
        <v>59</v>
      </c>
      <c r="D163" t="str">
        <f t="shared" si="14"/>
        <v>les bananesQuestion 3a</v>
      </c>
      <c r="E163" s="1" t="s">
        <v>266</v>
      </c>
      <c r="F163" t="s">
        <v>143</v>
      </c>
      <c r="G163" s="1" t="str">
        <f t="shared" si="17"/>
        <v>Les précipitations ont-elles augmenté (au cours des 5 à 10 dernières années) ?non</v>
      </c>
      <c r="H163">
        <f>IF(F163='2. SAISIE DES DONNÉES'!$V$65,-1)+IF(F163='2. SAISIE DES DONNÉES'!$V$66,1)</f>
        <v>1</v>
      </c>
    </row>
    <row r="164" spans="1:8" ht="45">
      <c r="A164" t="s">
        <v>204</v>
      </c>
      <c r="B164" t="s">
        <v>148</v>
      </c>
      <c r="C164" t="s">
        <v>59</v>
      </c>
      <c r="D164" t="str">
        <f t="shared" si="14"/>
        <v>théQuestion 3a</v>
      </c>
      <c r="E164" s="1" t="s">
        <v>266</v>
      </c>
      <c r="F164" t="s">
        <v>143</v>
      </c>
      <c r="G164" s="1" t="str">
        <f t="shared" si="17"/>
        <v>Les précipitations ont-elles augmenté (au cours des 5 à 10 dernières années) ?non</v>
      </c>
      <c r="H164">
        <f>IF(F164='2. SAISIE DES DONNÉES'!$V$65,-1)+IF(F164='2. SAISIE DES DONNÉES'!$V$66,1)</f>
        <v>1</v>
      </c>
    </row>
    <row r="165" spans="1:8" ht="45">
      <c r="A165" t="s">
        <v>204</v>
      </c>
      <c r="B165" t="s">
        <v>147</v>
      </c>
      <c r="C165" t="s">
        <v>59</v>
      </c>
      <c r="D165" t="str">
        <f t="shared" si="14"/>
        <v>caféQuestion 3a</v>
      </c>
      <c r="E165" s="1" t="s">
        <v>266</v>
      </c>
      <c r="F165" t="s">
        <v>143</v>
      </c>
      <c r="G165" s="1" t="str">
        <f t="shared" si="17"/>
        <v>Les précipitations ont-elles augmenté (au cours des 5 à 10 dernières années) ?non</v>
      </c>
      <c r="H165">
        <f>IF(F165='2. SAISIE DES DONNÉES'!$V$65,-1)+IF(F165='2. SAISIE DES DONNÉES'!$V$66,1)</f>
        <v>1</v>
      </c>
    </row>
    <row r="166" spans="1:8" ht="45">
      <c r="A166" t="s">
        <v>204</v>
      </c>
      <c r="B166" t="s">
        <v>144</v>
      </c>
      <c r="C166" t="s">
        <v>60</v>
      </c>
      <c r="D166" t="str">
        <f t="shared" si="14"/>
        <v>cacaoQuestion 3b</v>
      </c>
      <c r="E166" s="1" t="s">
        <v>267</v>
      </c>
      <c r="F166" t="s">
        <v>141</v>
      </c>
      <c r="G166" s="1" t="str">
        <f t="shared" si="17"/>
        <v>Les inondations et  les glissements de terrain ont-ils augmenté (au cours des 5 à 10 dernières années) ?oui</v>
      </c>
      <c r="H166">
        <f>IF(F166='2. SAISIE DES DONNÉES'!$V$65,-1)+IF(F166='2. SAISIE DES DONNÉES'!$V$66,1)</f>
        <v>-1</v>
      </c>
    </row>
    <row r="167" spans="1:8" ht="45">
      <c r="A167" t="s">
        <v>204</v>
      </c>
      <c r="B167" t="s">
        <v>142</v>
      </c>
      <c r="C167" t="s">
        <v>60</v>
      </c>
      <c r="D167" t="str">
        <f t="shared" si="14"/>
        <v>les bananesQuestion 3b</v>
      </c>
      <c r="E167" s="1" t="s">
        <v>267</v>
      </c>
      <c r="F167" t="s">
        <v>141</v>
      </c>
      <c r="G167" s="1" t="str">
        <f t="shared" si="17"/>
        <v>Les inondations et  les glissements de terrain ont-ils augmenté (au cours des 5 à 10 dernières années) ?oui</v>
      </c>
      <c r="H167">
        <f>IF(F167='2. SAISIE DES DONNÉES'!$V$65,-1)+IF(F167='2. SAISIE DES DONNÉES'!$V$66,1)</f>
        <v>-1</v>
      </c>
    </row>
    <row r="168" spans="1:8" ht="45">
      <c r="A168" t="s">
        <v>204</v>
      </c>
      <c r="B168" t="s">
        <v>148</v>
      </c>
      <c r="C168" t="s">
        <v>60</v>
      </c>
      <c r="D168" t="str">
        <f t="shared" si="14"/>
        <v>théQuestion 3b</v>
      </c>
      <c r="E168" s="1" t="s">
        <v>267</v>
      </c>
      <c r="F168" t="s">
        <v>141</v>
      </c>
      <c r="G168" s="1" t="str">
        <f t="shared" si="17"/>
        <v>Les inondations et  les glissements de terrain ont-ils augmenté (au cours des 5 à 10 dernières années) ?oui</v>
      </c>
      <c r="H168">
        <f>IF(F168='2. SAISIE DES DONNÉES'!$V$65,-1)+IF(F168='2. SAISIE DES DONNÉES'!$V$66,1)</f>
        <v>-1</v>
      </c>
    </row>
    <row r="169" spans="1:8" ht="45">
      <c r="A169" t="s">
        <v>204</v>
      </c>
      <c r="B169" t="s">
        <v>147</v>
      </c>
      <c r="C169" t="s">
        <v>60</v>
      </c>
      <c r="D169" t="str">
        <f t="shared" si="14"/>
        <v>caféQuestion 3b</v>
      </c>
      <c r="E169" s="1" t="s">
        <v>267</v>
      </c>
      <c r="F169" t="s">
        <v>141</v>
      </c>
      <c r="G169" s="1" t="str">
        <f t="shared" si="17"/>
        <v>Les inondations et  les glissements de terrain ont-ils augmenté (au cours des 5 à 10 dernières années) ?oui</v>
      </c>
      <c r="H169">
        <f>IF(F169='2. SAISIE DES DONNÉES'!$V$65,-1)+IF(F169='2. SAISIE DES DONNÉES'!$V$66,1)</f>
        <v>-1</v>
      </c>
    </row>
    <row r="170" spans="1:8" ht="45">
      <c r="A170" t="s">
        <v>204</v>
      </c>
      <c r="B170" t="s">
        <v>144</v>
      </c>
      <c r="C170" t="s">
        <v>61</v>
      </c>
      <c r="D170" t="str">
        <f t="shared" si="14"/>
        <v>cacaoQuestion 4</v>
      </c>
      <c r="E170" s="1" t="s">
        <v>298</v>
      </c>
      <c r="F170" t="s">
        <v>141</v>
      </c>
      <c r="G170" s="1"/>
      <c r="H170">
        <f>IF(F170='2. SAISIE DES DONNÉES'!$V$65,-1)+IF(F170='2. SAISIE DES DONNÉES'!$V$66,1)</f>
        <v>-1</v>
      </c>
    </row>
    <row r="171" spans="1:8" ht="45">
      <c r="A171" t="s">
        <v>204</v>
      </c>
      <c r="B171" t="s">
        <v>144</v>
      </c>
      <c r="C171" t="s">
        <v>61</v>
      </c>
      <c r="D171" t="str">
        <f t="shared" si="14"/>
        <v>cacaoQuestion 4</v>
      </c>
      <c r="E171" s="1" t="s">
        <v>298</v>
      </c>
      <c r="F171" t="s">
        <v>143</v>
      </c>
      <c r="G171" s="1"/>
      <c r="H171">
        <f>IF(F171='2. SAISIE DES DONNÉES'!$V$65,-1)+IF(F171='2. SAISIE DES DONNÉES'!$V$66,1)</f>
        <v>1</v>
      </c>
    </row>
    <row r="172" spans="1:8" ht="45">
      <c r="A172" t="s">
        <v>204</v>
      </c>
      <c r="B172" t="s">
        <v>147</v>
      </c>
      <c r="C172" t="s">
        <v>61</v>
      </c>
      <c r="D172" t="str">
        <f t="shared" si="14"/>
        <v>caféQuestion 4</v>
      </c>
      <c r="E172" s="3" t="s">
        <v>298</v>
      </c>
      <c r="F172" t="s">
        <v>141</v>
      </c>
      <c r="G172" s="1"/>
      <c r="H172">
        <f>IF(F172='2. SAISIE DES DONNÉES'!$V$65,-1)+IF(F172='2. SAISIE DES DONNÉES'!$V$66,1)</f>
        <v>-1</v>
      </c>
    </row>
    <row r="173" spans="1:8" ht="45">
      <c r="A173" t="s">
        <v>204</v>
      </c>
      <c r="B173" t="s">
        <v>147</v>
      </c>
      <c r="C173" t="s">
        <v>61</v>
      </c>
      <c r="D173" t="str">
        <f t="shared" si="14"/>
        <v>caféQuestion 4</v>
      </c>
      <c r="E173" s="3" t="s">
        <v>298</v>
      </c>
      <c r="F173" t="s">
        <v>143</v>
      </c>
      <c r="G173" s="1"/>
      <c r="H173">
        <f>IF(F173='2. SAISIE DES DONNÉES'!$V$65,-1)+IF(F173='2. SAISIE DES DONNÉES'!$V$66,1)</f>
        <v>1</v>
      </c>
    </row>
    <row r="174" spans="1:8" ht="45">
      <c r="A174" t="s">
        <v>204</v>
      </c>
      <c r="B174" t="s">
        <v>148</v>
      </c>
      <c r="C174" t="s">
        <v>61</v>
      </c>
      <c r="D174" t="str">
        <f t="shared" si="14"/>
        <v>théQuestion 4</v>
      </c>
      <c r="E174" s="3" t="s">
        <v>298</v>
      </c>
      <c r="F174" t="s">
        <v>141</v>
      </c>
      <c r="H174">
        <f>IF(F174='2. SAISIE DES DONNÉES'!$V$65,-1)+IF(F174='2. SAISIE DES DONNÉES'!$V$66,1)</f>
        <v>-1</v>
      </c>
    </row>
    <row r="175" spans="1:8" ht="45">
      <c r="A175" t="s">
        <v>204</v>
      </c>
      <c r="B175" t="s">
        <v>148</v>
      </c>
      <c r="C175" t="s">
        <v>61</v>
      </c>
      <c r="D175" t="str">
        <f t="shared" si="14"/>
        <v>théQuestion 4</v>
      </c>
      <c r="E175" s="3" t="s">
        <v>298</v>
      </c>
      <c r="F175" t="s">
        <v>143</v>
      </c>
      <c r="H175">
        <f>IF(F175='2. SAISIE DES DONNÉES'!$V$65,-1)+IF(F175='2. SAISIE DES DONNÉES'!$V$66,1)</f>
        <v>1</v>
      </c>
    </row>
    <row r="176" spans="1:8" ht="45">
      <c r="A176" t="s">
        <v>204</v>
      </c>
      <c r="B176" t="s">
        <v>142</v>
      </c>
      <c r="C176" t="s">
        <v>61</v>
      </c>
      <c r="D176" t="str">
        <f t="shared" si="14"/>
        <v>les bananesQuestion 4</v>
      </c>
      <c r="E176" s="1" t="s">
        <v>298</v>
      </c>
      <c r="F176" t="s">
        <v>141</v>
      </c>
      <c r="H176">
        <f>IF(F176='2. SAISIE DES DONNÉES'!$V$65,-1)+IF(F176='2. SAISIE DES DONNÉES'!$V$66,1)</f>
        <v>-1</v>
      </c>
    </row>
    <row r="177" spans="1:8" ht="45">
      <c r="A177" t="s">
        <v>204</v>
      </c>
      <c r="B177" t="s">
        <v>142</v>
      </c>
      <c r="C177" t="s">
        <v>61</v>
      </c>
      <c r="D177" t="str">
        <f t="shared" si="14"/>
        <v>les bananesQuestion 4</v>
      </c>
      <c r="E177" s="1" t="s">
        <v>298</v>
      </c>
      <c r="F177" t="s">
        <v>143</v>
      </c>
      <c r="H177">
        <f>IF(F177='2. SAISIE DES DONNÉES'!$V$65,-1)+IF(F177='2. SAISIE DES DONNÉES'!$V$66,1)</f>
        <v>1</v>
      </c>
    </row>
    <row r="178" spans="1:8" ht="45">
      <c r="A178" t="s">
        <v>204</v>
      </c>
      <c r="B178" t="s">
        <v>144</v>
      </c>
      <c r="C178" t="s">
        <v>62</v>
      </c>
      <c r="D178" t="str">
        <f t="shared" si="14"/>
        <v>cacaoQuestion 5</v>
      </c>
      <c r="E178" s="3" t="s">
        <v>299</v>
      </c>
      <c r="F178" t="s">
        <v>141</v>
      </c>
      <c r="H178">
        <f>IF(F178='2. SAISIE DES DONNÉES'!$V$65,-1)+IF(F178='2. SAISIE DES DONNÉES'!$V$66,1)</f>
        <v>-1</v>
      </c>
    </row>
    <row r="179" spans="1:8" ht="45">
      <c r="A179" t="s">
        <v>204</v>
      </c>
      <c r="B179" t="s">
        <v>144</v>
      </c>
      <c r="C179" t="s">
        <v>62</v>
      </c>
      <c r="D179" t="str">
        <f t="shared" si="14"/>
        <v>cacaoQuestion 5</v>
      </c>
      <c r="E179" s="3" t="s">
        <v>299</v>
      </c>
      <c r="F179" t="s">
        <v>143</v>
      </c>
      <c r="H179">
        <f>IF(F179='2. SAISIE DES DONNÉES'!$V$65,-1)+IF(F179='2. SAISIE DES DONNÉES'!$V$66,1)</f>
        <v>1</v>
      </c>
    </row>
    <row r="180" spans="1:8" ht="45">
      <c r="A180" t="s">
        <v>204</v>
      </c>
      <c r="B180" t="s">
        <v>147</v>
      </c>
      <c r="C180" t="s">
        <v>62</v>
      </c>
      <c r="D180" t="str">
        <f t="shared" si="14"/>
        <v>caféQuestion 5</v>
      </c>
      <c r="E180" s="3" t="s">
        <v>299</v>
      </c>
      <c r="F180" t="s">
        <v>141</v>
      </c>
      <c r="H180">
        <f>IF(F180='2. SAISIE DES DONNÉES'!$V$65,-1)+IF(F180='2. SAISIE DES DONNÉES'!$V$66,1)</f>
        <v>-1</v>
      </c>
    </row>
    <row r="181" spans="1:8" ht="45">
      <c r="A181" t="s">
        <v>204</v>
      </c>
      <c r="B181" t="s">
        <v>147</v>
      </c>
      <c r="C181" t="s">
        <v>62</v>
      </c>
      <c r="D181" t="str">
        <f t="shared" si="14"/>
        <v>caféQuestion 5</v>
      </c>
      <c r="E181" s="3" t="s">
        <v>299</v>
      </c>
      <c r="F181" t="s">
        <v>143</v>
      </c>
      <c r="H181">
        <f>IF(F181='2. SAISIE DES DONNÉES'!$V$65,-1)+IF(F181='2. SAISIE DES DONNÉES'!$V$66,1)</f>
        <v>1</v>
      </c>
    </row>
    <row r="182" spans="1:8" ht="45">
      <c r="A182" t="s">
        <v>204</v>
      </c>
      <c r="B182" t="s">
        <v>148</v>
      </c>
      <c r="C182" t="s">
        <v>62</v>
      </c>
      <c r="D182" t="str">
        <f t="shared" si="14"/>
        <v>théQuestion 5</v>
      </c>
      <c r="E182" s="3" t="s">
        <v>299</v>
      </c>
      <c r="F182" t="s">
        <v>141</v>
      </c>
      <c r="H182">
        <f>IF(F182='2. SAISIE DES DONNÉES'!$V$65,-1)+IF(F182='2. SAISIE DES DONNÉES'!$V$66,1)</f>
        <v>-1</v>
      </c>
    </row>
    <row r="183" spans="1:8" ht="45">
      <c r="A183" t="s">
        <v>204</v>
      </c>
      <c r="B183" t="s">
        <v>148</v>
      </c>
      <c r="C183" t="s">
        <v>62</v>
      </c>
      <c r="D183" t="str">
        <f t="shared" si="14"/>
        <v>théQuestion 5</v>
      </c>
      <c r="E183" s="3" t="s">
        <v>299</v>
      </c>
      <c r="F183" t="s">
        <v>143</v>
      </c>
      <c r="H183">
        <f>IF(F183='2. SAISIE DES DONNÉES'!$V$65,-1)+IF(F183='2. SAISIE DES DONNÉES'!$V$66,1)</f>
        <v>1</v>
      </c>
    </row>
    <row r="184" spans="1:8" ht="45">
      <c r="A184" t="s">
        <v>204</v>
      </c>
      <c r="B184" t="s">
        <v>142</v>
      </c>
      <c r="C184" t="s">
        <v>62</v>
      </c>
      <c r="D184" t="str">
        <f t="shared" si="14"/>
        <v>les bananesQuestion 5</v>
      </c>
      <c r="E184" s="1" t="s">
        <v>299</v>
      </c>
      <c r="F184" t="s">
        <v>141</v>
      </c>
      <c r="H184">
        <f>IF(F184='2. SAISIE DES DONNÉES'!$V$65,-1)+IF(F184='2. SAISIE DES DONNÉES'!$V$66,1)</f>
        <v>-1</v>
      </c>
    </row>
    <row r="185" spans="1:8" ht="45">
      <c r="A185" t="s">
        <v>204</v>
      </c>
      <c r="B185" t="s">
        <v>142</v>
      </c>
      <c r="C185" t="s">
        <v>62</v>
      </c>
      <c r="D185" t="str">
        <f t="shared" si="14"/>
        <v>les bananesQuestion 5</v>
      </c>
      <c r="E185" s="1" t="s">
        <v>299</v>
      </c>
      <c r="F185" t="s">
        <v>143</v>
      </c>
      <c r="H185">
        <f>IF(F185='2. SAISIE DES DONNÉES'!$V$65,-1)+IF(F185='2. SAISIE DES DONNÉES'!$V$66,1)</f>
        <v>1</v>
      </c>
    </row>
    <row r="186" spans="1:8" ht="75">
      <c r="A186" t="s">
        <v>204</v>
      </c>
      <c r="B186" t="s">
        <v>144</v>
      </c>
      <c r="C186" t="s">
        <v>63</v>
      </c>
      <c r="D186" t="str">
        <f t="shared" si="14"/>
        <v>cacaoQuestion 6</v>
      </c>
      <c r="E186" s="3" t="s">
        <v>300</v>
      </c>
      <c r="F186" t="s">
        <v>141</v>
      </c>
      <c r="H186">
        <f>IF(F186='2. SAISIE DES DONNÉES'!$V$65,-1)+IF(F186='2. SAISIE DES DONNÉES'!$V$66,1)</f>
        <v>-1</v>
      </c>
    </row>
    <row r="187" spans="1:8" ht="75">
      <c r="A187" t="s">
        <v>204</v>
      </c>
      <c r="B187" t="s">
        <v>144</v>
      </c>
      <c r="C187" t="s">
        <v>63</v>
      </c>
      <c r="D187" t="str">
        <f t="shared" si="14"/>
        <v>cacaoQuestion 6</v>
      </c>
      <c r="E187" s="3" t="s">
        <v>300</v>
      </c>
      <c r="F187" t="s">
        <v>143</v>
      </c>
      <c r="H187">
        <f>IF(F187='2. SAISIE DES DONNÉES'!$V$65,-1)+IF(F187='2. SAISIE DES DONNÉES'!$V$66,1)</f>
        <v>1</v>
      </c>
    </row>
    <row r="188" spans="1:8" ht="75">
      <c r="A188" t="s">
        <v>204</v>
      </c>
      <c r="B188" t="s">
        <v>147</v>
      </c>
      <c r="C188" t="s">
        <v>63</v>
      </c>
      <c r="D188" t="str">
        <f t="shared" si="14"/>
        <v>caféQuestion 6</v>
      </c>
      <c r="E188" s="3" t="s">
        <v>300</v>
      </c>
      <c r="F188" t="s">
        <v>141</v>
      </c>
      <c r="H188">
        <f>IF(F188='2. SAISIE DES DONNÉES'!$V$65,-1)+IF(F188='2. SAISIE DES DONNÉES'!$V$66,1)</f>
        <v>-1</v>
      </c>
    </row>
    <row r="189" spans="1:8" ht="75">
      <c r="A189" t="s">
        <v>204</v>
      </c>
      <c r="B189" t="s">
        <v>147</v>
      </c>
      <c r="C189" t="s">
        <v>63</v>
      </c>
      <c r="D189" t="str">
        <f t="shared" si="14"/>
        <v>caféQuestion 6</v>
      </c>
      <c r="E189" s="3" t="s">
        <v>300</v>
      </c>
      <c r="F189" t="s">
        <v>143</v>
      </c>
      <c r="H189">
        <f>IF(F189='2. SAISIE DES DONNÉES'!$V$65,-1)+IF(F189='2. SAISIE DES DONNÉES'!$V$66,1)</f>
        <v>1</v>
      </c>
    </row>
    <row r="190" spans="1:8" ht="75">
      <c r="A190" t="s">
        <v>204</v>
      </c>
      <c r="B190" t="s">
        <v>148</v>
      </c>
      <c r="C190" t="s">
        <v>63</v>
      </c>
      <c r="D190" t="str">
        <f t="shared" si="14"/>
        <v>théQuestion 6</v>
      </c>
      <c r="E190" s="3" t="s">
        <v>300</v>
      </c>
      <c r="F190" t="s">
        <v>141</v>
      </c>
      <c r="H190">
        <f>IF(F190='2. SAISIE DES DONNÉES'!$V$65,-1)+IF(F190='2. SAISIE DES DONNÉES'!$V$66,1)</f>
        <v>-1</v>
      </c>
    </row>
    <row r="191" spans="1:8" ht="75">
      <c r="A191" t="s">
        <v>204</v>
      </c>
      <c r="B191" t="s">
        <v>148</v>
      </c>
      <c r="C191" t="s">
        <v>63</v>
      </c>
      <c r="D191" t="str">
        <f t="shared" si="14"/>
        <v>théQuestion 6</v>
      </c>
      <c r="E191" s="3" t="s">
        <v>300</v>
      </c>
      <c r="F191" t="s">
        <v>143</v>
      </c>
      <c r="H191">
        <f>IF(F191='2. SAISIE DES DONNÉES'!$V$65,-1)+IF(F191='2. SAISIE DES DONNÉES'!$V$66,1)</f>
        <v>1</v>
      </c>
    </row>
    <row r="192" spans="1:8" ht="75">
      <c r="A192" t="s">
        <v>204</v>
      </c>
      <c r="B192" t="s">
        <v>142</v>
      </c>
      <c r="C192" t="s">
        <v>63</v>
      </c>
      <c r="D192" t="str">
        <f t="shared" si="14"/>
        <v>les bananesQuestion 6</v>
      </c>
      <c r="E192" s="3" t="s">
        <v>300</v>
      </c>
      <c r="F192" t="s">
        <v>141</v>
      </c>
      <c r="H192">
        <f>IF(F192='2. SAISIE DES DONNÉES'!$V$65,-1)+IF(F192='2. SAISIE DES DONNÉES'!$V$66,1)</f>
        <v>-1</v>
      </c>
    </row>
    <row r="193" spans="1:8" ht="75">
      <c r="A193" t="s">
        <v>204</v>
      </c>
      <c r="B193" t="s">
        <v>142</v>
      </c>
      <c r="C193" t="s">
        <v>63</v>
      </c>
      <c r="D193" t="str">
        <f t="shared" si="14"/>
        <v>les bananesQuestion 6</v>
      </c>
      <c r="E193" s="1" t="s">
        <v>300</v>
      </c>
      <c r="F193" t="s">
        <v>143</v>
      </c>
      <c r="H193">
        <f>IF(F193='2. SAISIE DES DONNÉES'!$V$65,-1)+IF(F193='2. SAISIE DES DONNÉES'!$V$66,1)</f>
        <v>1</v>
      </c>
    </row>
    <row r="194" spans="1:8" ht="60">
      <c r="A194" t="s">
        <v>206</v>
      </c>
      <c r="B194" t="s">
        <v>144</v>
      </c>
      <c r="C194" t="s">
        <v>65</v>
      </c>
      <c r="D194" t="str">
        <f t="shared" si="14"/>
        <v>cacaoQuestion 7</v>
      </c>
      <c r="E194" s="3" t="s">
        <v>301</v>
      </c>
      <c r="F194" t="s">
        <v>141</v>
      </c>
      <c r="H194">
        <f>IF(F194='2. SAISIE DES DONNÉES'!$V$65,-1)+IF(F194='2. SAISIE DES DONNÉES'!$V$66,1)</f>
        <v>-1</v>
      </c>
    </row>
    <row r="195" spans="1:8" ht="60">
      <c r="A195" t="s">
        <v>206</v>
      </c>
      <c r="B195" t="s">
        <v>144</v>
      </c>
      <c r="C195" t="s">
        <v>65</v>
      </c>
      <c r="D195" t="str">
        <f t="shared" ref="D195:D258" si="18">CONCATENATE(B195,C195)</f>
        <v>cacaoQuestion 7</v>
      </c>
      <c r="E195" s="3" t="s">
        <v>301</v>
      </c>
      <c r="F195" t="s">
        <v>143</v>
      </c>
      <c r="H195">
        <f>IF(F195='2. SAISIE DES DONNÉES'!$V$65,-1)+IF(F195='2. SAISIE DES DONNÉES'!$V$66,1)</f>
        <v>1</v>
      </c>
    </row>
    <row r="196" spans="1:8" ht="60">
      <c r="A196" t="s">
        <v>206</v>
      </c>
      <c r="B196" t="s">
        <v>147</v>
      </c>
      <c r="C196" t="s">
        <v>65</v>
      </c>
      <c r="D196" t="str">
        <f t="shared" si="18"/>
        <v>caféQuestion 7</v>
      </c>
      <c r="E196" s="3" t="s">
        <v>301</v>
      </c>
      <c r="F196" t="s">
        <v>141</v>
      </c>
      <c r="H196">
        <f>IF(F196='2. SAISIE DES DONNÉES'!$V$65,-1)+IF(F196='2. SAISIE DES DONNÉES'!$V$66,1)</f>
        <v>-1</v>
      </c>
    </row>
    <row r="197" spans="1:8" ht="60">
      <c r="A197" t="s">
        <v>206</v>
      </c>
      <c r="B197" t="s">
        <v>147</v>
      </c>
      <c r="C197" t="s">
        <v>65</v>
      </c>
      <c r="D197" t="str">
        <f t="shared" si="18"/>
        <v>caféQuestion 7</v>
      </c>
      <c r="E197" s="3" t="s">
        <v>301</v>
      </c>
      <c r="F197" t="s">
        <v>143</v>
      </c>
      <c r="H197">
        <f>IF(F197='2. SAISIE DES DONNÉES'!$V$65,-1)+IF(F197='2. SAISIE DES DONNÉES'!$V$66,1)</f>
        <v>1</v>
      </c>
    </row>
    <row r="198" spans="1:8" ht="60">
      <c r="A198" t="s">
        <v>206</v>
      </c>
      <c r="B198" t="s">
        <v>148</v>
      </c>
      <c r="C198" t="s">
        <v>65</v>
      </c>
      <c r="D198" t="str">
        <f t="shared" si="18"/>
        <v>théQuestion 7</v>
      </c>
      <c r="E198" s="3" t="s">
        <v>301</v>
      </c>
      <c r="F198" t="s">
        <v>141</v>
      </c>
      <c r="H198">
        <f>IF(F198='2. SAISIE DES DONNÉES'!$V$65,-1)+IF(F198='2. SAISIE DES DONNÉES'!$V$66,1)</f>
        <v>-1</v>
      </c>
    </row>
    <row r="199" spans="1:8" ht="60">
      <c r="A199" t="s">
        <v>206</v>
      </c>
      <c r="B199" t="s">
        <v>148</v>
      </c>
      <c r="C199" t="s">
        <v>65</v>
      </c>
      <c r="D199" t="str">
        <f t="shared" si="18"/>
        <v>théQuestion 7</v>
      </c>
      <c r="E199" s="3" t="s">
        <v>301</v>
      </c>
      <c r="F199" t="s">
        <v>143</v>
      </c>
      <c r="H199">
        <f>IF(F199='2. SAISIE DES DONNÉES'!$V$65,-1)+IF(F199='2. SAISIE DES DONNÉES'!$V$66,1)</f>
        <v>1</v>
      </c>
    </row>
    <row r="200" spans="1:8" ht="60">
      <c r="A200" t="s">
        <v>206</v>
      </c>
      <c r="B200" t="s">
        <v>142</v>
      </c>
      <c r="C200" t="s">
        <v>65</v>
      </c>
      <c r="D200" t="str">
        <f t="shared" si="18"/>
        <v>les bananesQuestion 7</v>
      </c>
      <c r="E200" s="1" t="s">
        <v>301</v>
      </c>
      <c r="F200" t="s">
        <v>141</v>
      </c>
      <c r="H200">
        <f>IF(F200='2. SAISIE DES DONNÉES'!$V$65,-1)+IF(F200='2. SAISIE DES DONNÉES'!$V$66,1)</f>
        <v>-1</v>
      </c>
    </row>
    <row r="201" spans="1:8" ht="60">
      <c r="A201" t="s">
        <v>206</v>
      </c>
      <c r="B201" t="s">
        <v>142</v>
      </c>
      <c r="C201" t="s">
        <v>65</v>
      </c>
      <c r="D201" t="str">
        <f t="shared" si="18"/>
        <v>les bananesQuestion 7</v>
      </c>
      <c r="E201" s="1" t="s">
        <v>301</v>
      </c>
      <c r="F201" t="s">
        <v>143</v>
      </c>
      <c r="H201">
        <f>IF(F201='2. SAISIE DES DONNÉES'!$V$65,-1)+IF(F201='2. SAISIE DES DONNÉES'!$V$66,1)</f>
        <v>1</v>
      </c>
    </row>
    <row r="202" spans="1:8" ht="30">
      <c r="A202" t="s">
        <v>206</v>
      </c>
      <c r="B202" t="s">
        <v>144</v>
      </c>
      <c r="C202" t="s">
        <v>66</v>
      </c>
      <c r="D202" t="str">
        <f t="shared" si="18"/>
        <v>cacaoQuestion 8</v>
      </c>
      <c r="E202" s="3" t="s">
        <v>275</v>
      </c>
      <c r="F202" t="s">
        <v>141</v>
      </c>
      <c r="H202">
        <f>IF(F202='2. SAISIE DES DONNÉES'!$V$65,-1)+IF(F202='2. SAISIE DES DONNÉES'!$V$66,1)</f>
        <v>-1</v>
      </c>
    </row>
    <row r="203" spans="1:8" ht="30">
      <c r="A203" t="s">
        <v>206</v>
      </c>
      <c r="B203" t="s">
        <v>144</v>
      </c>
      <c r="C203" t="s">
        <v>66</v>
      </c>
      <c r="D203" t="str">
        <f t="shared" si="18"/>
        <v>cacaoQuestion 8</v>
      </c>
      <c r="E203" s="3" t="s">
        <v>275</v>
      </c>
      <c r="F203" t="s">
        <v>143</v>
      </c>
      <c r="H203">
        <f>IF(F203='2. SAISIE DES DONNÉES'!$V$65,-1)+IF(F203='2. SAISIE DES DONNÉES'!$V$66,1)</f>
        <v>1</v>
      </c>
    </row>
    <row r="204" spans="1:8" ht="30">
      <c r="A204" t="s">
        <v>206</v>
      </c>
      <c r="B204" t="s">
        <v>147</v>
      </c>
      <c r="C204" t="s">
        <v>66</v>
      </c>
      <c r="D204" t="str">
        <f t="shared" si="18"/>
        <v>caféQuestion 8</v>
      </c>
      <c r="E204" s="3" t="s">
        <v>275</v>
      </c>
      <c r="F204" t="s">
        <v>141</v>
      </c>
      <c r="H204">
        <f>IF(F204='2. SAISIE DES DONNÉES'!$V$65,-1)+IF(F204='2. SAISIE DES DONNÉES'!$V$66,1)</f>
        <v>-1</v>
      </c>
    </row>
    <row r="205" spans="1:8" ht="30">
      <c r="A205" t="s">
        <v>206</v>
      </c>
      <c r="B205" t="s">
        <v>147</v>
      </c>
      <c r="C205" t="s">
        <v>66</v>
      </c>
      <c r="D205" t="str">
        <f t="shared" si="18"/>
        <v>caféQuestion 8</v>
      </c>
      <c r="E205" s="3" t="s">
        <v>275</v>
      </c>
      <c r="F205" t="s">
        <v>143</v>
      </c>
      <c r="H205">
        <f>IF(F205='2. SAISIE DES DONNÉES'!$V$65,-1)+IF(F205='2. SAISIE DES DONNÉES'!$V$66,1)</f>
        <v>1</v>
      </c>
    </row>
    <row r="206" spans="1:8" ht="30">
      <c r="A206" t="s">
        <v>206</v>
      </c>
      <c r="B206" t="s">
        <v>148</v>
      </c>
      <c r="C206" t="s">
        <v>66</v>
      </c>
      <c r="D206" t="str">
        <f t="shared" si="18"/>
        <v>théQuestion 8</v>
      </c>
      <c r="E206" s="3" t="s">
        <v>275</v>
      </c>
      <c r="F206" t="s">
        <v>141</v>
      </c>
      <c r="H206">
        <f>IF(F206='2. SAISIE DES DONNÉES'!$V$65,-1)+IF(F206='2. SAISIE DES DONNÉES'!$V$66,1)</f>
        <v>-1</v>
      </c>
    </row>
    <row r="207" spans="1:8" ht="30">
      <c r="A207" t="s">
        <v>206</v>
      </c>
      <c r="B207" t="s">
        <v>148</v>
      </c>
      <c r="C207" t="s">
        <v>66</v>
      </c>
      <c r="D207" t="str">
        <f t="shared" si="18"/>
        <v>théQuestion 8</v>
      </c>
      <c r="E207" s="3" t="s">
        <v>275</v>
      </c>
      <c r="F207" t="s">
        <v>143</v>
      </c>
      <c r="H207">
        <f>IF(F207='2. SAISIE DES DONNÉES'!$V$65,-1)+IF(F207='2. SAISIE DES DONNÉES'!$V$66,1)</f>
        <v>1</v>
      </c>
    </row>
    <row r="208" spans="1:8" ht="30">
      <c r="A208" t="s">
        <v>206</v>
      </c>
      <c r="B208" t="s">
        <v>142</v>
      </c>
      <c r="C208" t="s">
        <v>66</v>
      </c>
      <c r="D208" t="str">
        <f t="shared" si="18"/>
        <v>les bananesQuestion 8</v>
      </c>
      <c r="E208" s="1" t="s">
        <v>275</v>
      </c>
      <c r="F208" t="s">
        <v>141</v>
      </c>
      <c r="H208">
        <f>IF(F208='2. SAISIE DES DONNÉES'!$V$65,-1)+IF(F208='2. SAISIE DES DONNÉES'!$V$66,1)</f>
        <v>-1</v>
      </c>
    </row>
    <row r="209" spans="1:10" ht="30">
      <c r="A209" t="s">
        <v>206</v>
      </c>
      <c r="B209" t="s">
        <v>142</v>
      </c>
      <c r="C209" t="s">
        <v>66</v>
      </c>
      <c r="D209" t="str">
        <f t="shared" si="18"/>
        <v>les bananesQuestion 8</v>
      </c>
      <c r="E209" s="1" t="s">
        <v>275</v>
      </c>
      <c r="F209" t="s">
        <v>143</v>
      </c>
      <c r="H209">
        <f>IF(F209='2. SAISIE DES DONNÉES'!$V$65,-1)+IF(F209='2. SAISIE DES DONNÉES'!$V$66,1)</f>
        <v>1</v>
      </c>
    </row>
    <row r="210" spans="1:10" ht="45">
      <c r="A210" t="s">
        <v>206</v>
      </c>
      <c r="B210" t="s">
        <v>144</v>
      </c>
      <c r="C210" t="s">
        <v>68</v>
      </c>
      <c r="D210" t="str">
        <f t="shared" si="18"/>
        <v>cacaoQuestion 9</v>
      </c>
      <c r="E210" s="4" t="s">
        <v>276</v>
      </c>
      <c r="F210" t="s">
        <v>141</v>
      </c>
      <c r="H210">
        <f>IF(F210='2. SAISIE DES DONNÉES'!$V$65,-1)+IF(F210='2. SAISIE DES DONNÉES'!$V$66,1)</f>
        <v>-1</v>
      </c>
    </row>
    <row r="211" spans="1:10" ht="45">
      <c r="A211" t="s">
        <v>206</v>
      </c>
      <c r="B211" t="s">
        <v>144</v>
      </c>
      <c r="C211" t="s">
        <v>68</v>
      </c>
      <c r="D211" t="str">
        <f t="shared" si="18"/>
        <v>cacaoQuestion 9</v>
      </c>
      <c r="E211" s="4" t="s">
        <v>276</v>
      </c>
      <c r="F211" t="s">
        <v>143</v>
      </c>
      <c r="H211">
        <f>IF(F211='2. SAISIE DES DONNÉES'!$V$65,-1)+IF(F211='2. SAISIE DES DONNÉES'!$V$66,1)</f>
        <v>1</v>
      </c>
    </row>
    <row r="212" spans="1:10" ht="45">
      <c r="A212" t="s">
        <v>206</v>
      </c>
      <c r="B212" t="s">
        <v>147</v>
      </c>
      <c r="C212" t="s">
        <v>68</v>
      </c>
      <c r="D212" t="str">
        <f t="shared" si="18"/>
        <v>caféQuestion 9</v>
      </c>
      <c r="E212" s="4" t="s">
        <v>276</v>
      </c>
      <c r="F212" t="s">
        <v>141</v>
      </c>
      <c r="H212">
        <f>IF(F212='2. SAISIE DES DONNÉES'!$V$65,-1)+IF(F212='2. SAISIE DES DONNÉES'!$V$66,1)</f>
        <v>-1</v>
      </c>
    </row>
    <row r="213" spans="1:10" ht="45">
      <c r="A213" t="s">
        <v>206</v>
      </c>
      <c r="B213" t="s">
        <v>147</v>
      </c>
      <c r="C213" t="s">
        <v>68</v>
      </c>
      <c r="D213" t="str">
        <f t="shared" si="18"/>
        <v>caféQuestion 9</v>
      </c>
      <c r="E213" s="4" t="s">
        <v>276</v>
      </c>
      <c r="F213" t="s">
        <v>143</v>
      </c>
      <c r="H213">
        <f>IF(F213='2. SAISIE DES DONNÉES'!$V$65,-1)+IF(F213='2. SAISIE DES DONNÉES'!$V$66,1)</f>
        <v>1</v>
      </c>
    </row>
    <row r="214" spans="1:10" ht="45">
      <c r="A214" t="s">
        <v>206</v>
      </c>
      <c r="B214" t="s">
        <v>148</v>
      </c>
      <c r="C214" t="s">
        <v>68</v>
      </c>
      <c r="D214" t="str">
        <f t="shared" si="18"/>
        <v>théQuestion 9</v>
      </c>
      <c r="E214" s="4" t="s">
        <v>277</v>
      </c>
      <c r="F214" t="s">
        <v>141</v>
      </c>
      <c r="H214">
        <f>IF(F214='2. SAISIE DES DONNÉES'!$V$65,-1)+IF(F214='2. SAISIE DES DONNÉES'!$V$66,1)</f>
        <v>-1</v>
      </c>
    </row>
    <row r="215" spans="1:10" ht="45">
      <c r="A215" t="s">
        <v>206</v>
      </c>
      <c r="B215" t="s">
        <v>148</v>
      </c>
      <c r="C215" t="s">
        <v>68</v>
      </c>
      <c r="D215" t="str">
        <f t="shared" si="18"/>
        <v>théQuestion 9</v>
      </c>
      <c r="E215" s="4" t="s">
        <v>276</v>
      </c>
      <c r="F215" t="s">
        <v>143</v>
      </c>
      <c r="H215">
        <f>IF(F215='2. SAISIE DES DONNÉES'!$V$65,-1)+IF(F215='2. SAISIE DES DONNÉES'!$V$66,1)</f>
        <v>1</v>
      </c>
    </row>
    <row r="216" spans="1:10" ht="45">
      <c r="A216" t="s">
        <v>206</v>
      </c>
      <c r="B216" t="s">
        <v>142</v>
      </c>
      <c r="C216" t="s">
        <v>68</v>
      </c>
      <c r="D216" t="str">
        <f t="shared" si="18"/>
        <v>les bananesQuestion 9</v>
      </c>
      <c r="E216" s="1" t="s">
        <v>278</v>
      </c>
      <c r="F216" t="s">
        <v>141</v>
      </c>
      <c r="H216">
        <f>IF(F216='2. SAISIE DES DONNÉES'!$V$65,-1)+IF(F216='2. SAISIE DES DONNÉES'!$V$66,1)</f>
        <v>-1</v>
      </c>
    </row>
    <row r="217" spans="1:10" ht="45">
      <c r="A217" t="s">
        <v>206</v>
      </c>
      <c r="B217" t="s">
        <v>142</v>
      </c>
      <c r="C217" t="s">
        <v>68</v>
      </c>
      <c r="D217" t="str">
        <f t="shared" si="18"/>
        <v>les bananesQuestion 9</v>
      </c>
      <c r="E217" s="1" t="s">
        <v>278</v>
      </c>
      <c r="F217" t="s">
        <v>143</v>
      </c>
      <c r="H217">
        <f>IF(F217='2. SAISIE DES DONNÉES'!$V$65,-1)+IF(F217='2. SAISIE DES DONNÉES'!$V$66,1)</f>
        <v>1</v>
      </c>
    </row>
    <row r="218" spans="1:10" ht="30">
      <c r="A218" t="s">
        <v>204</v>
      </c>
      <c r="B218" t="s">
        <v>140</v>
      </c>
      <c r="C218" t="s">
        <v>55</v>
      </c>
      <c r="D218" t="str">
        <f t="shared" si="18"/>
        <v>GénéralQuestion 1</v>
      </c>
      <c r="E218" s="3" t="s">
        <v>205</v>
      </c>
      <c r="F218" t="s">
        <v>141</v>
      </c>
      <c r="G218" s="1" t="s">
        <v>302</v>
      </c>
      <c r="H218">
        <f>IF(F218='2. SAISIE DES DONNÉES'!$V$65,-1)+IF(F218='2. SAISIE DES DONNÉES'!$V$66,1)</f>
        <v>-1</v>
      </c>
      <c r="J218"/>
    </row>
    <row r="219" spans="1:10" ht="30">
      <c r="A219" t="s">
        <v>204</v>
      </c>
      <c r="B219" t="s">
        <v>140</v>
      </c>
      <c r="C219" t="s">
        <v>55</v>
      </c>
      <c r="D219" t="str">
        <f t="shared" si="18"/>
        <v>GénéralQuestion 1</v>
      </c>
      <c r="E219" s="3" t="s">
        <v>205</v>
      </c>
      <c r="F219" t="s">
        <v>143</v>
      </c>
      <c r="G219" s="1" t="s">
        <v>303</v>
      </c>
      <c r="H219">
        <f>IF(F219='2. SAISIE DES DONNÉES'!$V$65,-1)+IF(F219='2. SAISIE DES DONNÉES'!$V$66,1)</f>
        <v>1</v>
      </c>
      <c r="J219"/>
    </row>
    <row r="220" spans="1:10" ht="30">
      <c r="A220" t="s">
        <v>206</v>
      </c>
      <c r="B220" t="s">
        <v>140</v>
      </c>
      <c r="C220" t="s">
        <v>69</v>
      </c>
      <c r="D220" t="str">
        <f t="shared" si="18"/>
        <v>GénéralQuestion 10</v>
      </c>
      <c r="E220" s="3" t="s">
        <v>207</v>
      </c>
      <c r="F220" t="s">
        <v>141</v>
      </c>
      <c r="G220" s="1" t="s">
        <v>304</v>
      </c>
      <c r="H220">
        <f>IF(F220='2. SAISIE DES DONNÉES'!$V$65,-1)+IF(F220='2. SAISIE DES DONNÉES'!$V$66,1)</f>
        <v>-1</v>
      </c>
      <c r="J220"/>
    </row>
    <row r="221" spans="1:10" ht="30">
      <c r="A221" t="s">
        <v>206</v>
      </c>
      <c r="B221" t="s">
        <v>140</v>
      </c>
      <c r="C221" t="s">
        <v>69</v>
      </c>
      <c r="D221" t="str">
        <f t="shared" si="18"/>
        <v>GénéralQuestion 10</v>
      </c>
      <c r="E221" s="3" t="s">
        <v>207</v>
      </c>
      <c r="F221" t="s">
        <v>143</v>
      </c>
      <c r="G221" s="1" t="s">
        <v>305</v>
      </c>
      <c r="H221">
        <f>IF(F221='2. SAISIE DES DONNÉES'!$V$65,-1)+IF(F221='2. SAISIE DES DONNÉES'!$V$66,1)</f>
        <v>1</v>
      </c>
      <c r="J221"/>
    </row>
    <row r="222" spans="1:10" ht="45">
      <c r="A222" t="s">
        <v>206</v>
      </c>
      <c r="B222" t="s">
        <v>140</v>
      </c>
      <c r="C222" t="s">
        <v>70</v>
      </c>
      <c r="D222" t="str">
        <f t="shared" si="18"/>
        <v>GénéralQuestion 11</v>
      </c>
      <c r="E222" s="3" t="s">
        <v>281</v>
      </c>
      <c r="F222" t="s">
        <v>141</v>
      </c>
      <c r="G222" s="1" t="s">
        <v>306</v>
      </c>
      <c r="H222">
        <f>IF(F222='2. SAISIE DES DONNÉES'!$V$65,-1)+IF(F222='2. SAISIE DES DONNÉES'!$V$66,1)</f>
        <v>-1</v>
      </c>
      <c r="J222"/>
    </row>
    <row r="223" spans="1:10" ht="45">
      <c r="A223" t="s">
        <v>206</v>
      </c>
      <c r="B223" t="s">
        <v>140</v>
      </c>
      <c r="C223" t="s">
        <v>70</v>
      </c>
      <c r="D223" t="str">
        <f t="shared" si="18"/>
        <v>GénéralQuestion 11</v>
      </c>
      <c r="E223" s="3" t="s">
        <v>281</v>
      </c>
      <c r="F223" t="s">
        <v>143</v>
      </c>
      <c r="G223" s="1" t="s">
        <v>307</v>
      </c>
      <c r="H223">
        <f>IF(F223='2. SAISIE DES DONNÉES'!$V$65,-1)+IF(F223='2. SAISIE DES DONNÉES'!$V$66,1)</f>
        <v>1</v>
      </c>
      <c r="J223"/>
    </row>
    <row r="224" spans="1:10" ht="75">
      <c r="A224" t="s">
        <v>206</v>
      </c>
      <c r="B224" t="s">
        <v>140</v>
      </c>
      <c r="C224" t="s">
        <v>71</v>
      </c>
      <c r="D224" t="str">
        <f t="shared" si="18"/>
        <v>GénéralQuestion 12</v>
      </c>
      <c r="E224" s="4" t="s">
        <v>282</v>
      </c>
      <c r="F224" t="s">
        <v>141</v>
      </c>
      <c r="G224" s="1" t="s">
        <v>308</v>
      </c>
      <c r="H224">
        <f>IF(F224='2. SAISIE DES DONNÉES'!$V$65,-1)+IF(F224='2. SAISIE DES DONNÉES'!$V$66,1)</f>
        <v>-1</v>
      </c>
      <c r="J224"/>
    </row>
    <row r="225" spans="1:10" ht="75">
      <c r="A225" t="s">
        <v>206</v>
      </c>
      <c r="B225" t="s">
        <v>140</v>
      </c>
      <c r="C225" t="s">
        <v>71</v>
      </c>
      <c r="D225" t="str">
        <f t="shared" si="18"/>
        <v>GénéralQuestion 12</v>
      </c>
      <c r="E225" s="4" t="s">
        <v>282</v>
      </c>
      <c r="F225" t="s">
        <v>143</v>
      </c>
      <c r="G225" s="1" t="s">
        <v>309</v>
      </c>
      <c r="H225">
        <f>IF(F225='2. SAISIE DES DONNÉES'!$V$65,-1)+IF(F225='2. SAISIE DES DONNÉES'!$V$66,1)</f>
        <v>1</v>
      </c>
      <c r="J225"/>
    </row>
    <row r="226" spans="1:10" ht="60">
      <c r="A226" t="s">
        <v>206</v>
      </c>
      <c r="B226" t="s">
        <v>140</v>
      </c>
      <c r="C226" t="s">
        <v>72</v>
      </c>
      <c r="D226" t="str">
        <f t="shared" si="18"/>
        <v>GénéralQuestion 13</v>
      </c>
      <c r="E226" s="3" t="s">
        <v>284</v>
      </c>
      <c r="F226" t="s">
        <v>141</v>
      </c>
      <c r="G226" s="1" t="s">
        <v>310</v>
      </c>
      <c r="H226">
        <f>IF(F226='2. SAISIE DES DONNÉES'!$V$65,-1)+IF(F226='2. SAISIE DES DONNÉES'!$V$66,1)</f>
        <v>-1</v>
      </c>
      <c r="I226" t="s">
        <v>311</v>
      </c>
      <c r="J226" s="1" t="s">
        <v>218</v>
      </c>
    </row>
    <row r="227" spans="1:10" ht="60">
      <c r="A227" t="s">
        <v>206</v>
      </c>
      <c r="B227" t="s">
        <v>140</v>
      </c>
      <c r="C227" t="s">
        <v>72</v>
      </c>
      <c r="D227" t="str">
        <f t="shared" si="18"/>
        <v>GénéralQuestion 13</v>
      </c>
      <c r="E227" s="3" t="s">
        <v>284</v>
      </c>
      <c r="F227" t="s">
        <v>143</v>
      </c>
      <c r="G227" s="1" t="s">
        <v>312</v>
      </c>
      <c r="H227">
        <f>IF(F227='2. SAISIE DES DONNÉES'!$V$65,-1)+IF(F227='2. SAISIE DES DONNÉES'!$V$66,1)</f>
        <v>1</v>
      </c>
      <c r="I227" t="s">
        <v>313</v>
      </c>
      <c r="J227" s="1" t="s">
        <v>219</v>
      </c>
    </row>
    <row r="228" spans="1:10" ht="120">
      <c r="A228" t="s">
        <v>224</v>
      </c>
      <c r="B228" t="s">
        <v>140</v>
      </c>
      <c r="C228" t="s">
        <v>78</v>
      </c>
      <c r="D228" t="str">
        <f t="shared" si="18"/>
        <v>GénéralQuestion 14</v>
      </c>
      <c r="E228" s="3" t="s">
        <v>225</v>
      </c>
      <c r="F228" t="s">
        <v>166</v>
      </c>
      <c r="G228" s="1" t="s">
        <v>314</v>
      </c>
      <c r="H228">
        <f>IF(F228='2. SAISIE DES DONNÉES'!$V$65,-1)+IF(F228='2. SAISIE DES DONNÉES'!$V$66,1)</f>
        <v>0</v>
      </c>
      <c r="J228"/>
    </row>
    <row r="229" spans="1:10" ht="45">
      <c r="A229" t="s">
        <v>224</v>
      </c>
      <c r="B229" t="s">
        <v>140</v>
      </c>
      <c r="C229" t="s">
        <v>81</v>
      </c>
      <c r="D229" t="str">
        <f t="shared" si="18"/>
        <v>GénéralQuestion 15</v>
      </c>
      <c r="E229" s="3" t="s">
        <v>229</v>
      </c>
      <c r="F229" t="s">
        <v>170</v>
      </c>
      <c r="G229" s="1" t="s">
        <v>315</v>
      </c>
      <c r="H229">
        <f>IF(F229='2. SAISIE DES DONNÉES'!$V$65,-1)+IF(F229='2. SAISIE DES DONNÉES'!$V$66,1)</f>
        <v>0</v>
      </c>
      <c r="J229"/>
    </row>
    <row r="230" spans="1:10" ht="60.75" thickBot="1">
      <c r="A230" t="s">
        <v>224</v>
      </c>
      <c r="B230" t="s">
        <v>140</v>
      </c>
      <c r="C230" t="s">
        <v>84</v>
      </c>
      <c r="D230" t="str">
        <f t="shared" si="18"/>
        <v>GénéralQuestion 16</v>
      </c>
      <c r="E230" s="3" t="s">
        <v>231</v>
      </c>
      <c r="F230" t="s">
        <v>175</v>
      </c>
      <c r="G230" s="1" t="s">
        <v>316</v>
      </c>
      <c r="H230">
        <f>IF(F230='2. SAISIE DES DONNÉES'!$V$65,-1)+IF(F230='2. SAISIE DES DONNÉES'!$V$66,1)</f>
        <v>0</v>
      </c>
      <c r="J230"/>
    </row>
    <row r="231" spans="1:10" ht="60">
      <c r="A231" t="s">
        <v>224</v>
      </c>
      <c r="B231" t="s">
        <v>140</v>
      </c>
      <c r="C231" t="s">
        <v>87</v>
      </c>
      <c r="D231" t="str">
        <f t="shared" si="18"/>
        <v>GénéralQuestion 17</v>
      </c>
      <c r="E231" s="5" t="s">
        <v>233</v>
      </c>
      <c r="F231" t="s">
        <v>179</v>
      </c>
      <c r="G231" s="1" t="s">
        <v>317</v>
      </c>
      <c r="H231">
        <f>IF(F231='2. SAISIE DES DONNÉES'!$V$65,-1)+IF(F231='2. SAISIE DES DONNÉES'!$V$66,1)</f>
        <v>0</v>
      </c>
      <c r="J231"/>
    </row>
    <row r="232" spans="1:10" ht="45">
      <c r="A232" t="s">
        <v>224</v>
      </c>
      <c r="B232" t="s">
        <v>140</v>
      </c>
      <c r="C232" t="s">
        <v>90</v>
      </c>
      <c r="D232" t="str">
        <f t="shared" si="18"/>
        <v>GénéralQuestion 18</v>
      </c>
      <c r="E232" s="3" t="s">
        <v>235</v>
      </c>
      <c r="F232" t="s">
        <v>182</v>
      </c>
      <c r="G232" s="1" t="s">
        <v>318</v>
      </c>
      <c r="H232">
        <f>IF(F232='2. SAISIE DES DONNÉES'!$V$65,-1)+IF(F232='2. SAISIE DES DONNÉES'!$V$66,1)</f>
        <v>0</v>
      </c>
      <c r="J232"/>
    </row>
    <row r="233" spans="1:10" ht="60">
      <c r="A233" t="s">
        <v>224</v>
      </c>
      <c r="B233" t="s">
        <v>140</v>
      </c>
      <c r="C233" t="s">
        <v>93</v>
      </c>
      <c r="D233" t="str">
        <f t="shared" si="18"/>
        <v>GénéralQuestion 19</v>
      </c>
      <c r="E233" s="3" t="s">
        <v>237</v>
      </c>
      <c r="F233" t="s">
        <v>185</v>
      </c>
      <c r="G233" s="1" t="s">
        <v>319</v>
      </c>
      <c r="H233">
        <f>IF(F233='2. SAISIE DES DONNÉES'!$V$65,-1)+IF(F233='2. SAISIE DES DONNÉES'!$V$66,1)</f>
        <v>0</v>
      </c>
      <c r="J233"/>
    </row>
    <row r="234" spans="1:10" ht="60">
      <c r="A234" t="s">
        <v>204</v>
      </c>
      <c r="B234" t="s">
        <v>140</v>
      </c>
      <c r="C234" t="s">
        <v>57</v>
      </c>
      <c r="D234" t="str">
        <f t="shared" si="18"/>
        <v>GénéralQuestion 2</v>
      </c>
      <c r="E234" s="3" t="s">
        <v>286</v>
      </c>
      <c r="F234" t="s">
        <v>141</v>
      </c>
      <c r="G234" s="1" t="s">
        <v>320</v>
      </c>
      <c r="H234">
        <f>IF(F234='2. SAISIE DES DONNÉES'!$V$65,-1)+IF(F234='2. SAISIE DES DONNÉES'!$V$66,1)</f>
        <v>-1</v>
      </c>
      <c r="J234"/>
    </row>
    <row r="235" spans="1:10" ht="60">
      <c r="A235" t="s">
        <v>204</v>
      </c>
      <c r="B235" t="s">
        <v>140</v>
      </c>
      <c r="C235" t="s">
        <v>57</v>
      </c>
      <c r="D235" t="str">
        <f t="shared" si="18"/>
        <v>GénéralQuestion 2</v>
      </c>
      <c r="E235" s="3" t="s">
        <v>286</v>
      </c>
      <c r="F235" t="s">
        <v>143</v>
      </c>
      <c r="G235" s="1" t="s">
        <v>321</v>
      </c>
      <c r="H235">
        <f>IF(F235='2. SAISIE DES DONNÉES'!$V$65,-1)+IF(F235='2. SAISIE DES DONNÉES'!$V$66,1)</f>
        <v>1</v>
      </c>
      <c r="I235" t="s">
        <v>313</v>
      </c>
      <c r="J235" s="1" t="s">
        <v>210</v>
      </c>
    </row>
    <row r="236" spans="1:10" ht="60">
      <c r="A236" t="s">
        <v>224</v>
      </c>
      <c r="B236" t="s">
        <v>140</v>
      </c>
      <c r="C236" t="s">
        <v>99</v>
      </c>
      <c r="D236" t="str">
        <f t="shared" si="18"/>
        <v>GénéralQuestion 20</v>
      </c>
      <c r="E236" s="3" t="s">
        <v>242</v>
      </c>
      <c r="F236" t="s">
        <v>188</v>
      </c>
      <c r="G236" s="1" t="s">
        <v>322</v>
      </c>
      <c r="H236">
        <f>IF(F236='2. SAISIE DES DONNÉES'!$V$65,-1)+IF(F236='2. SAISIE DES DONNÉES'!$V$66,1)</f>
        <v>0</v>
      </c>
      <c r="I236" t="s">
        <v>323</v>
      </c>
      <c r="J236" s="1" t="s">
        <v>219</v>
      </c>
    </row>
    <row r="237" spans="1:10" ht="60">
      <c r="A237" t="s">
        <v>224</v>
      </c>
      <c r="B237" t="s">
        <v>140</v>
      </c>
      <c r="C237" t="s">
        <v>101</v>
      </c>
      <c r="D237" t="str">
        <f t="shared" si="18"/>
        <v>GénéralQuestion 21</v>
      </c>
      <c r="E237" s="3" t="s">
        <v>244</v>
      </c>
      <c r="F237" t="s">
        <v>190</v>
      </c>
      <c r="G237" s="1" t="s">
        <v>324</v>
      </c>
      <c r="H237">
        <f>IF(F237='2. SAISIE DES DONNÉES'!$V$65,-1)+IF(F237='2. SAISIE DES DONNÉES'!$V$66,1)</f>
        <v>0</v>
      </c>
      <c r="I237" t="s">
        <v>325</v>
      </c>
      <c r="J237" s="1" t="s">
        <v>222</v>
      </c>
    </row>
    <row r="238" spans="1:10" ht="60">
      <c r="A238" t="s">
        <v>224</v>
      </c>
      <c r="B238" t="s">
        <v>140</v>
      </c>
      <c r="C238" t="s">
        <v>103</v>
      </c>
      <c r="D238" t="str">
        <f t="shared" si="18"/>
        <v>GénéralQuestion 22</v>
      </c>
      <c r="E238" s="3" t="s">
        <v>287</v>
      </c>
      <c r="F238" t="s">
        <v>191</v>
      </c>
      <c r="G238" s="1" t="s">
        <v>326</v>
      </c>
      <c r="H238">
        <f>IF(F238='2. SAISIE DES DONNÉES'!$V$65,-1)+IF(F238='2. SAISIE DES DONNÉES'!$V$66,1)</f>
        <v>0</v>
      </c>
      <c r="J238"/>
    </row>
    <row r="239" spans="1:10" ht="105">
      <c r="A239" t="s">
        <v>224</v>
      </c>
      <c r="B239" t="s">
        <v>140</v>
      </c>
      <c r="C239" t="s">
        <v>105</v>
      </c>
      <c r="D239" t="str">
        <f t="shared" si="18"/>
        <v>GénéralQuestion 23</v>
      </c>
      <c r="E239" s="3" t="s">
        <v>288</v>
      </c>
      <c r="F239" t="s">
        <v>192</v>
      </c>
      <c r="G239" s="1" t="s">
        <v>327</v>
      </c>
      <c r="H239">
        <f>IF(F239='2. SAISIE DES DONNÉES'!$V$65,-1)+IF(F239='2. SAISIE DES DONNÉES'!$V$66,1)</f>
        <v>0</v>
      </c>
      <c r="J239"/>
    </row>
    <row r="240" spans="1:10" ht="45">
      <c r="A240" t="s">
        <v>224</v>
      </c>
      <c r="B240" t="s">
        <v>140</v>
      </c>
      <c r="C240" t="s">
        <v>107</v>
      </c>
      <c r="D240" t="str">
        <f t="shared" si="18"/>
        <v>GénéralQuestion 24a</v>
      </c>
      <c r="E240" s="3" t="s">
        <v>248</v>
      </c>
      <c r="F240" t="s">
        <v>193</v>
      </c>
      <c r="G240" s="1" t="s">
        <v>328</v>
      </c>
      <c r="H240">
        <f>IF(F240='2. SAISIE DES DONNÉES'!$V$65,-1)+IF(F240='2. SAISIE DES DONNÉES'!$V$66,1)</f>
        <v>0</v>
      </c>
      <c r="J240"/>
    </row>
    <row r="241" spans="1:10" ht="90">
      <c r="A241" t="s">
        <v>224</v>
      </c>
      <c r="B241" t="s">
        <v>140</v>
      </c>
      <c r="C241" t="s">
        <v>109</v>
      </c>
      <c r="D241" t="str">
        <f t="shared" si="18"/>
        <v>GénéralQuestion 24b</v>
      </c>
      <c r="E241" s="3" t="s">
        <v>289</v>
      </c>
      <c r="F241" t="s">
        <v>194</v>
      </c>
      <c r="G241" s="1" t="s">
        <v>329</v>
      </c>
      <c r="H241">
        <f>IF(F241='2. SAISIE DES DONNÉES'!$V$65,-1)+IF(F241='2. SAISIE DES DONNÉES'!$V$66,1)</f>
        <v>0</v>
      </c>
      <c r="J241"/>
    </row>
    <row r="242" spans="1:10" ht="60">
      <c r="A242" t="s">
        <v>224</v>
      </c>
      <c r="B242" t="s">
        <v>140</v>
      </c>
      <c r="C242" t="s">
        <v>112</v>
      </c>
      <c r="D242" t="str">
        <f t="shared" si="18"/>
        <v>GénéralQuestion 25</v>
      </c>
      <c r="E242" s="3" t="s">
        <v>250</v>
      </c>
      <c r="F242" t="s">
        <v>290</v>
      </c>
      <c r="G242" s="1" t="s">
        <v>330</v>
      </c>
      <c r="H242">
        <f>IF(F242='2. SAISIE DES DONNÉES'!$V$65,-1)+IF(F242='2. SAISIE DES DONNÉES'!$V$66,1)</f>
        <v>0</v>
      </c>
      <c r="J242"/>
    </row>
    <row r="243" spans="1:10" ht="30">
      <c r="A243" t="s">
        <v>224</v>
      </c>
      <c r="B243" t="s">
        <v>140</v>
      </c>
      <c r="C243" t="s">
        <v>114</v>
      </c>
      <c r="D243" t="str">
        <f t="shared" si="18"/>
        <v>GénéralQuestion 26</v>
      </c>
      <c r="E243" s="56" t="s">
        <v>251</v>
      </c>
      <c r="G243" s="1" t="s">
        <v>251</v>
      </c>
      <c r="H243">
        <f>IF(F243='2. SAISIE DES DONNÉES'!$V$65,-1)+IF(F243='2. SAISIE DES DONNÉES'!$V$66,1)</f>
        <v>0</v>
      </c>
      <c r="J243"/>
    </row>
    <row r="244" spans="1:10" ht="45">
      <c r="A244" t="s">
        <v>224</v>
      </c>
      <c r="B244" t="s">
        <v>140</v>
      </c>
      <c r="C244" t="s">
        <v>116</v>
      </c>
      <c r="D244" t="str">
        <f t="shared" si="18"/>
        <v>GénéralQuestion 27</v>
      </c>
      <c r="E244" s="56" t="s">
        <v>292</v>
      </c>
      <c r="G244" s="1" t="s">
        <v>292</v>
      </c>
      <c r="H244">
        <f>IF(F244='2. SAISIE DES DONNÉES'!$V$65,-1)+IF(F244='2. SAISIE DES DONNÉES'!$V$66,1)</f>
        <v>0</v>
      </c>
      <c r="I244" t="s">
        <v>144</v>
      </c>
      <c r="J244" s="1" t="s">
        <v>210</v>
      </c>
    </row>
    <row r="245" spans="1:10" ht="45">
      <c r="A245" t="s">
        <v>224</v>
      </c>
      <c r="B245" t="s">
        <v>140</v>
      </c>
      <c r="C245" t="s">
        <v>120</v>
      </c>
      <c r="D245" t="str">
        <f t="shared" si="18"/>
        <v>GénéralQuestion 29</v>
      </c>
      <c r="E245" s="56" t="s">
        <v>293</v>
      </c>
      <c r="G245" s="1" t="s">
        <v>293</v>
      </c>
      <c r="H245">
        <f>IF(F245='2. SAISIE DES DONNÉES'!$V$65,-1)+IF(F245='2. SAISIE DES DONNÉES'!$V$66,1)</f>
        <v>0</v>
      </c>
      <c r="I245" t="s">
        <v>144</v>
      </c>
      <c r="J245" s="1" t="s">
        <v>215</v>
      </c>
    </row>
    <row r="246" spans="1:10" ht="75">
      <c r="A246" t="s">
        <v>224</v>
      </c>
      <c r="B246" t="s">
        <v>140</v>
      </c>
      <c r="C246" t="s">
        <v>118</v>
      </c>
      <c r="D246" t="str">
        <f t="shared" si="18"/>
        <v>GénéralQuestion 28</v>
      </c>
      <c r="E246" s="56" t="s">
        <v>254</v>
      </c>
      <c r="G246" s="1" t="s">
        <v>254</v>
      </c>
      <c r="H246">
        <f>IF(F246='2. SAISIE DES DONNÉES'!$V$65,-1)+IF(F246='2. SAISIE DES DONNÉES'!$V$66,1)</f>
        <v>0</v>
      </c>
      <c r="I246" t="s">
        <v>144</v>
      </c>
      <c r="J246" s="1" t="s">
        <v>220</v>
      </c>
    </row>
    <row r="247" spans="1:10" ht="60">
      <c r="A247" t="s">
        <v>204</v>
      </c>
      <c r="B247" t="s">
        <v>140</v>
      </c>
      <c r="C247" t="s">
        <v>255</v>
      </c>
      <c r="D247" t="str">
        <f t="shared" si="18"/>
        <v>GénéralQuestion 3</v>
      </c>
      <c r="E247" s="3" t="s">
        <v>256</v>
      </c>
      <c r="F247" t="s">
        <v>141</v>
      </c>
      <c r="G247" s="1" t="s">
        <v>331</v>
      </c>
      <c r="H247">
        <f>IF(F247='2. SAISIE DES DONNÉES'!$V$65,-1)+IF(F247='2. SAISIE DES DONNÉES'!$V$66,1)</f>
        <v>-1</v>
      </c>
      <c r="I247" t="s">
        <v>311</v>
      </c>
      <c r="J247" s="1" t="s">
        <v>223</v>
      </c>
    </row>
    <row r="248" spans="1:10" ht="60">
      <c r="A248" t="s">
        <v>204</v>
      </c>
      <c r="B248" t="s">
        <v>140</v>
      </c>
      <c r="C248" t="s">
        <v>255</v>
      </c>
      <c r="D248" t="str">
        <f t="shared" si="18"/>
        <v>GénéralQuestion 3</v>
      </c>
      <c r="E248" s="3" t="s">
        <v>256</v>
      </c>
      <c r="F248" t="s">
        <v>143</v>
      </c>
      <c r="G248" s="1" t="s">
        <v>332</v>
      </c>
      <c r="H248">
        <f>IF(F248='2. SAISIE DES DONNÉES'!$V$65,-1)+IF(F248='2. SAISIE DES DONNÉES'!$V$66,1)</f>
        <v>1</v>
      </c>
      <c r="J248"/>
    </row>
    <row r="249" spans="1:10" ht="90">
      <c r="A249" t="s">
        <v>224</v>
      </c>
      <c r="B249" t="s">
        <v>140</v>
      </c>
      <c r="C249" t="s">
        <v>125</v>
      </c>
      <c r="D249" t="str">
        <f t="shared" si="18"/>
        <v>GénéralQuestion 31</v>
      </c>
      <c r="E249" s="56" t="s">
        <v>294</v>
      </c>
      <c r="G249" s="1" t="s">
        <v>294</v>
      </c>
      <c r="H249">
        <f>IF(F249='2. SAISIE DES DONNÉES'!$V$65,-1)+IF(F249='2. SAISIE DES DONNÉES'!$V$66,1)</f>
        <v>0</v>
      </c>
      <c r="J249"/>
    </row>
    <row r="250" spans="1:10" ht="75">
      <c r="A250" t="s">
        <v>224</v>
      </c>
      <c r="B250" t="s">
        <v>140</v>
      </c>
      <c r="C250" t="s">
        <v>127</v>
      </c>
      <c r="D250" t="str">
        <f t="shared" si="18"/>
        <v>GénéralQuestion 32</v>
      </c>
      <c r="E250" s="56" t="s">
        <v>295</v>
      </c>
      <c r="G250" s="1" t="s">
        <v>295</v>
      </c>
      <c r="H250">
        <f>IF(F250='2. SAISIE DES DONNÉES'!$V$65,-1)+IF(F250='2. SAISIE DES DONNÉES'!$V$66,1)</f>
        <v>0</v>
      </c>
      <c r="J250"/>
    </row>
    <row r="251" spans="1:10" ht="75">
      <c r="A251" t="s">
        <v>224</v>
      </c>
      <c r="B251" t="s">
        <v>140</v>
      </c>
      <c r="C251" t="s">
        <v>129</v>
      </c>
      <c r="D251" t="str">
        <f t="shared" si="18"/>
        <v>GénéralQuestion 33</v>
      </c>
      <c r="E251" s="56" t="s">
        <v>259</v>
      </c>
      <c r="G251" s="1" t="s">
        <v>259</v>
      </c>
      <c r="H251">
        <f>IF(F251='2. SAISIE DES DONNÉES'!$V$65,-1)+IF(F251='2. SAISIE DES DONNÉES'!$V$66,1)</f>
        <v>0</v>
      </c>
      <c r="J251"/>
    </row>
    <row r="252" spans="1:10" ht="60">
      <c r="A252" t="s">
        <v>224</v>
      </c>
      <c r="B252" t="s">
        <v>140</v>
      </c>
      <c r="C252" t="s">
        <v>123</v>
      </c>
      <c r="D252" t="str">
        <f t="shared" si="18"/>
        <v>GénéralQuestion 30</v>
      </c>
      <c r="E252" s="1" t="s">
        <v>296</v>
      </c>
      <c r="G252" s="1" t="s">
        <v>296</v>
      </c>
      <c r="H252">
        <f>IF(F252='2. SAISIE DES DONNÉES'!$V$65,-1)+IF(F252='2. SAISIE DES DONNÉES'!$V$66,1)</f>
        <v>0</v>
      </c>
      <c r="J252"/>
    </row>
    <row r="253" spans="1:10" ht="60">
      <c r="A253" t="s">
        <v>224</v>
      </c>
      <c r="B253" t="s">
        <v>140</v>
      </c>
      <c r="C253" t="s">
        <v>132</v>
      </c>
      <c r="D253" t="str">
        <f t="shared" si="18"/>
        <v>GénéralQuestion 34</v>
      </c>
      <c r="E253" s="1" t="s">
        <v>261</v>
      </c>
      <c r="G253" s="1" t="s">
        <v>261</v>
      </c>
      <c r="H253">
        <f>IF(F253='2. SAISIE DES DONNÉES'!$V$65,-1)+IF(F253='2. SAISIE DES DONNÉES'!$V$66,1)</f>
        <v>0</v>
      </c>
      <c r="J253"/>
    </row>
    <row r="254" spans="1:10" ht="60">
      <c r="A254" t="s">
        <v>224</v>
      </c>
      <c r="B254" t="s">
        <v>140</v>
      </c>
      <c r="C254" t="s">
        <v>134</v>
      </c>
      <c r="D254" t="str">
        <f t="shared" si="18"/>
        <v>GénéralQuestion 35</v>
      </c>
      <c r="E254" s="1" t="s">
        <v>263</v>
      </c>
      <c r="G254" s="1" t="s">
        <v>263</v>
      </c>
      <c r="H254">
        <f>IF(F254='2. SAISIE DES DONNÉES'!$V$65,-1)+IF(F254='2. SAISIE DES DONNÉES'!$V$66,1)</f>
        <v>0</v>
      </c>
      <c r="I254" t="s">
        <v>144</v>
      </c>
      <c r="J254" s="1" t="s">
        <v>230</v>
      </c>
    </row>
    <row r="255" spans="1:10" ht="45">
      <c r="A255" t="s">
        <v>224</v>
      </c>
      <c r="B255" t="s">
        <v>140</v>
      </c>
      <c r="C255" t="s">
        <v>136</v>
      </c>
      <c r="D255" t="str">
        <f t="shared" si="18"/>
        <v>GénéralQuestion 36</v>
      </c>
      <c r="E255" s="1" t="s">
        <v>297</v>
      </c>
      <c r="G255" s="1" t="s">
        <v>297</v>
      </c>
      <c r="H255">
        <f>IF(F255='2. SAISIE DES DONNÉES'!$V$65,-1)+IF(F255='2. SAISIE DES DONNÉES'!$V$66,1)</f>
        <v>0</v>
      </c>
      <c r="I255" t="s">
        <v>144</v>
      </c>
      <c r="J255" s="1" t="s">
        <v>240</v>
      </c>
    </row>
    <row r="256" spans="1:10" ht="60">
      <c r="A256" t="s">
        <v>224</v>
      </c>
      <c r="B256" t="s">
        <v>140</v>
      </c>
      <c r="C256" t="s">
        <v>138</v>
      </c>
      <c r="D256" t="str">
        <f t="shared" si="18"/>
        <v>GénéralQuestion 37</v>
      </c>
      <c r="E256" s="1" t="s">
        <v>265</v>
      </c>
      <c r="G256" s="1" t="s">
        <v>265</v>
      </c>
      <c r="H256">
        <f>IF(F256='2. SAISIE DES DONNÉES'!$V$65,-1)+IF(F256='2. SAISIE DES DONNÉES'!$V$66,1)</f>
        <v>0</v>
      </c>
      <c r="I256" t="s">
        <v>144</v>
      </c>
      <c r="J256" s="1" t="s">
        <v>220</v>
      </c>
    </row>
    <row r="257" spans="1:8" ht="45">
      <c r="A257" t="s">
        <v>204</v>
      </c>
      <c r="B257" t="s">
        <v>140</v>
      </c>
      <c r="C257" t="s">
        <v>59</v>
      </c>
      <c r="D257" t="str">
        <f t="shared" si="18"/>
        <v>GénéralQuestion 3a</v>
      </c>
      <c r="E257" s="1" t="s">
        <v>266</v>
      </c>
      <c r="F257" t="s">
        <v>141</v>
      </c>
      <c r="G257" s="1" t="s">
        <v>333</v>
      </c>
      <c r="H257">
        <f>IF(F257='2. SAISIE DES DONNÉES'!$V$65,-1)+IF(F257='2. SAISIE DES DONNÉES'!$V$66,1)</f>
        <v>-1</v>
      </c>
    </row>
    <row r="258" spans="1:8" ht="45">
      <c r="A258" t="s">
        <v>204</v>
      </c>
      <c r="B258" t="s">
        <v>140</v>
      </c>
      <c r="C258" t="s">
        <v>59</v>
      </c>
      <c r="D258" t="str">
        <f t="shared" si="18"/>
        <v>GénéralQuestion 3a</v>
      </c>
      <c r="E258" s="1" t="s">
        <v>266</v>
      </c>
      <c r="F258" t="s">
        <v>143</v>
      </c>
      <c r="G258" s="1" t="s">
        <v>334</v>
      </c>
      <c r="H258">
        <f>IF(F258='2. SAISIE DES DONNÉES'!$V$65,-1)+IF(F258='2. SAISIE DES DONNÉES'!$V$66,1)</f>
        <v>1</v>
      </c>
    </row>
    <row r="259" spans="1:8" ht="45">
      <c r="A259" t="s">
        <v>204</v>
      </c>
      <c r="B259" t="s">
        <v>140</v>
      </c>
      <c r="C259" t="s">
        <v>60</v>
      </c>
      <c r="D259" t="str">
        <f t="shared" ref="D259:D271" si="19">CONCATENATE(B259,C259)</f>
        <v>GénéralQuestion 3b</v>
      </c>
      <c r="E259" s="1" t="s">
        <v>267</v>
      </c>
      <c r="F259" t="s">
        <v>141</v>
      </c>
      <c r="G259" s="1" t="s">
        <v>335</v>
      </c>
      <c r="H259">
        <f>IF(F259='2. SAISIE DES DONNÉES'!$V$65,-1)+IF(F259='2. SAISIE DES DONNÉES'!$V$66,1)</f>
        <v>-1</v>
      </c>
    </row>
    <row r="260" spans="1:8" ht="45">
      <c r="A260" t="s">
        <v>204</v>
      </c>
      <c r="B260" t="s">
        <v>140</v>
      </c>
      <c r="C260" t="s">
        <v>61</v>
      </c>
      <c r="D260" t="str">
        <f t="shared" si="19"/>
        <v>GénéralQuestion 4</v>
      </c>
      <c r="E260" s="1" t="s">
        <v>298</v>
      </c>
      <c r="F260" t="s">
        <v>141</v>
      </c>
      <c r="G260" s="1"/>
    </row>
    <row r="261" spans="1:8" ht="45">
      <c r="A261" t="s">
        <v>204</v>
      </c>
      <c r="B261" t="s">
        <v>140</v>
      </c>
      <c r="C261" t="s">
        <v>61</v>
      </c>
      <c r="D261" t="str">
        <f t="shared" si="19"/>
        <v>GénéralQuestion 4</v>
      </c>
      <c r="E261" s="1" t="s">
        <v>298</v>
      </c>
      <c r="F261" t="s">
        <v>143</v>
      </c>
      <c r="G261" s="1"/>
    </row>
    <row r="262" spans="1:8" ht="45">
      <c r="A262" t="s">
        <v>204</v>
      </c>
      <c r="B262" t="s">
        <v>140</v>
      </c>
      <c r="C262" t="s">
        <v>62</v>
      </c>
      <c r="D262" t="str">
        <f t="shared" si="19"/>
        <v>GénéralQuestion 5</v>
      </c>
      <c r="E262" s="3" t="s">
        <v>299</v>
      </c>
      <c r="F262" t="s">
        <v>141</v>
      </c>
    </row>
    <row r="263" spans="1:8" ht="45">
      <c r="A263" t="s">
        <v>204</v>
      </c>
      <c r="B263" t="s">
        <v>140</v>
      </c>
      <c r="C263" t="s">
        <v>62</v>
      </c>
      <c r="D263" t="str">
        <f t="shared" si="19"/>
        <v>GénéralQuestion 5</v>
      </c>
      <c r="E263" s="3" t="s">
        <v>299</v>
      </c>
      <c r="F263" t="s">
        <v>143</v>
      </c>
    </row>
    <row r="264" spans="1:8" ht="75">
      <c r="A264" t="s">
        <v>204</v>
      </c>
      <c r="B264" t="s">
        <v>140</v>
      </c>
      <c r="C264" t="s">
        <v>63</v>
      </c>
      <c r="D264" t="str">
        <f t="shared" si="19"/>
        <v>GénéralQuestion 6</v>
      </c>
      <c r="E264" s="3" t="s">
        <v>300</v>
      </c>
      <c r="F264" t="s">
        <v>141</v>
      </c>
    </row>
    <row r="265" spans="1:8" ht="75">
      <c r="A265" t="s">
        <v>204</v>
      </c>
      <c r="B265" t="s">
        <v>140</v>
      </c>
      <c r="C265" t="s">
        <v>63</v>
      </c>
      <c r="D265" t="str">
        <f t="shared" si="19"/>
        <v>GénéralQuestion 6</v>
      </c>
      <c r="E265" s="3" t="s">
        <v>300</v>
      </c>
      <c r="F265" t="s">
        <v>143</v>
      </c>
    </row>
    <row r="266" spans="1:8" ht="60">
      <c r="A266" t="s">
        <v>206</v>
      </c>
      <c r="B266" t="s">
        <v>140</v>
      </c>
      <c r="C266" t="s">
        <v>65</v>
      </c>
      <c r="D266" t="str">
        <f t="shared" si="19"/>
        <v>GénéralQuestion 7</v>
      </c>
      <c r="E266" s="3" t="s">
        <v>301</v>
      </c>
      <c r="F266" t="s">
        <v>141</v>
      </c>
    </row>
    <row r="267" spans="1:8" ht="60">
      <c r="A267" t="s">
        <v>206</v>
      </c>
      <c r="B267" t="s">
        <v>140</v>
      </c>
      <c r="C267" t="s">
        <v>65</v>
      </c>
      <c r="D267" t="str">
        <f t="shared" si="19"/>
        <v>GénéralQuestion 7</v>
      </c>
      <c r="E267" s="3" t="s">
        <v>301</v>
      </c>
      <c r="F267" t="s">
        <v>143</v>
      </c>
    </row>
    <row r="268" spans="1:8" ht="30">
      <c r="A268" t="s">
        <v>206</v>
      </c>
      <c r="B268" t="s">
        <v>140</v>
      </c>
      <c r="C268" t="s">
        <v>66</v>
      </c>
      <c r="D268" t="str">
        <f t="shared" si="19"/>
        <v>GénéralQuestion 8</v>
      </c>
      <c r="E268" s="3" t="s">
        <v>275</v>
      </c>
      <c r="F268" t="s">
        <v>141</v>
      </c>
    </row>
    <row r="269" spans="1:8" ht="30">
      <c r="A269" t="s">
        <v>206</v>
      </c>
      <c r="B269" t="s">
        <v>140</v>
      </c>
      <c r="C269" t="s">
        <v>66</v>
      </c>
      <c r="D269" t="str">
        <f t="shared" si="19"/>
        <v>GénéralQuestion 8</v>
      </c>
      <c r="E269" s="3" t="s">
        <v>275</v>
      </c>
      <c r="F269" t="s">
        <v>143</v>
      </c>
    </row>
    <row r="270" spans="1:8" ht="45">
      <c r="A270" t="s">
        <v>206</v>
      </c>
      <c r="B270" t="s">
        <v>140</v>
      </c>
      <c r="C270" t="s">
        <v>68</v>
      </c>
      <c r="D270" t="str">
        <f t="shared" si="19"/>
        <v>GénéralQuestion 9</v>
      </c>
      <c r="E270" s="4" t="s">
        <v>276</v>
      </c>
      <c r="F270" t="s">
        <v>141</v>
      </c>
    </row>
    <row r="271" spans="1:8" ht="45">
      <c r="A271" t="s">
        <v>206</v>
      </c>
      <c r="B271" t="s">
        <v>140</v>
      </c>
      <c r="C271" t="s">
        <v>68</v>
      </c>
      <c r="D271" t="str">
        <f t="shared" si="19"/>
        <v>GénéralQuestion 9</v>
      </c>
      <c r="E271" s="4" t="s">
        <v>276</v>
      </c>
      <c r="F271" t="s">
        <v>143</v>
      </c>
    </row>
  </sheetData>
  <sheetProtection algorithmName="SHA-512" hashValue="MFclolMkVT9bW+fbqdGbrhOZ43W9VFgtctoPBCLEvAuVd9rWNq42LPWe4hqaeZKQvYFpVZfIsqVCo+Kvpfcbdw==" saltValue="X4pSqpD/q0sH4f5bbTin5g==" spinCount="100000" sheet="1" objects="1" scenarios="1"/>
  <autoFilter ref="A1:F271" xr:uid="{760DB80A-DAAE-428E-B25D-D9386DF28C4D}"/>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7E0036CE6A3541B3AB760440CA990C" ma:contentTypeVersion="18" ma:contentTypeDescription="Create a new document." ma:contentTypeScope="" ma:versionID="cf06eb217b5315de2cccc0d10b652f1d">
  <xsd:schema xmlns:xsd="http://www.w3.org/2001/XMLSchema" xmlns:xs="http://www.w3.org/2001/XMLSchema" xmlns:p="http://schemas.microsoft.com/office/2006/metadata/properties" xmlns:ns2="e73622c4-136b-4675-95da-e5d26a46cb91" xmlns:ns3="d237e1cb-b423-4f78-bee9-d36b9b38daee" targetNamespace="http://schemas.microsoft.com/office/2006/metadata/properties" ma:root="true" ma:fieldsID="87214cc7aafd47132a27f04e54467e1c" ns2:_="" ns3:_="">
    <xsd:import namespace="e73622c4-136b-4675-95da-e5d26a46cb91"/>
    <xsd:import namespace="d237e1cb-b423-4f78-bee9-d36b9b38da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_Flow_SignoffStatu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622c4-136b-4675-95da-e5d26a46cb9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cf124d5-ef80-4202-9aa5-f4a130a4a7c4}" ma:internalName="TaxCatchAll" ma:showField="CatchAllData" ma:web="e73622c4-136b-4675-95da-e5d26a46cb9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37e1cb-b423-4f78-bee9-d36b9b38da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c7e46e6-79dd-420e-99dc-c75ba4a29b0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73622c4-136b-4675-95da-e5d26a46cb91" xsi:nil="true"/>
    <lcf76f155ced4ddcb4097134ff3c332f xmlns="d237e1cb-b423-4f78-bee9-d36b9b38daee">
      <Terms xmlns="http://schemas.microsoft.com/office/infopath/2007/PartnerControls"/>
    </lcf76f155ced4ddcb4097134ff3c332f>
    <_Flow_SignoffStatus xmlns="d237e1cb-b423-4f78-bee9-d36b9b38daee" xsi:nil="true"/>
    <SharedWithUsers xmlns="e73622c4-136b-4675-95da-e5d26a46cb91">
      <UserInfo>
        <DisplayName/>
        <AccountId xsi:nil="true"/>
        <AccountType/>
      </UserInfo>
    </SharedWithUsers>
    <MediaLengthInSeconds xmlns="d237e1cb-b423-4f78-bee9-d36b9b38daee" xsi:nil="true"/>
  </documentManagement>
</p:properties>
</file>

<file path=customXml/itemProps1.xml><?xml version="1.0" encoding="utf-8"?>
<ds:datastoreItem xmlns:ds="http://schemas.openxmlformats.org/officeDocument/2006/customXml" ds:itemID="{3103E6E1-2F03-4541-B09C-26E54B6C6EF7}"/>
</file>

<file path=customXml/itemProps2.xml><?xml version="1.0" encoding="utf-8"?>
<ds:datastoreItem xmlns:ds="http://schemas.openxmlformats.org/officeDocument/2006/customXml" ds:itemID="{B3495350-FDA8-4E96-904D-3208380F3247}"/>
</file>

<file path=customXml/itemProps3.xml><?xml version="1.0" encoding="utf-8"?>
<ds:datastoreItem xmlns:ds="http://schemas.openxmlformats.org/officeDocument/2006/customXml" ds:itemID="{4B49FD97-DF2A-4A05-9B5A-B6DBED3E2154}"/>
</file>

<file path=docProps/app.xml><?xml version="1.0" encoding="utf-8"?>
<Properties xmlns="http://schemas.openxmlformats.org/officeDocument/2006/extended-properties" xmlns:vt="http://schemas.openxmlformats.org/officeDocument/2006/docPropsVTypes">
  <Application>Microsoft Excel Online</Application>
  <Manager/>
  <Company>Rainforest Alliance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Fabian Calvo</dc:creator>
  <cp:keywords/>
  <dc:description/>
  <cp:lastModifiedBy>Felix Krussmann</cp:lastModifiedBy>
  <cp:revision/>
  <dcterms:created xsi:type="dcterms:W3CDTF">2019-11-14T18:49:30Z</dcterms:created>
  <dcterms:modified xsi:type="dcterms:W3CDTF">2023-05-09T09:49:30Z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0x0101008B7E0036CE6A3541B3AB760440CA990C</vt:lpwstr>
  </property>
  <property fmtid="{D5CDD505-2E9C-101B-9397-08002B2CF9AE}" pid="3" name="MediaServiceImageTags">
    <vt:lpwstr/>
  </property>
  <property fmtid="{D5CDD505-2E9C-101B-9397-08002B2CF9AE}" pid="4" name="Order">
    <vt:r8>32872300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