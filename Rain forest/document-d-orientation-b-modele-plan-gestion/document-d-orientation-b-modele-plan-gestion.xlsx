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workbookPr autoCompressPictures="0" defaultThemeVersion="166925"/>
  <mc:AlternateContent xmlns:mc="http://schemas.openxmlformats.org/markup-compatibility/2006">
    <mc:Choice Requires="x15">
      <x15ac:absPath xmlns:x15ac="http://schemas.microsoft.com/office/spreadsheetml/2010/11/ac" url="https://raorg.sharepoint.com/sites/ReimagineCertification/Shared Documents/7. Roll out &amp; Implementation/06. Communications/3. Translations/5.0 PROOFREADING FOLDER SUZANNE/0.0 FRENCH TRANSLATIONS/"/>
    </mc:Choice>
  </mc:AlternateContent>
  <xr:revisionPtr revIDLastSave="25" documentId="8_{F854DE1F-B73B-495A-A5DA-B0FEE1D2B7B2}" xr6:coauthVersionLast="46" xr6:coauthVersionMax="47" xr10:uidLastSave="{7B1B8AD2-4FC3-45DF-A024-139F1085563E}"/>
  <bookViews>
    <workbookView xWindow="-110" yWindow="-110" windowWidth="19420" windowHeight="10420" tabRatio="710" firstSheet="2" activeTab="2" xr2:uid="{00000000-000D-0000-FFFF-FFFF00000000}"/>
  </bookViews>
  <sheets>
    <sheet name="summary" sheetId="1" state="hidden" r:id="rId1"/>
    <sheet name="NEW integrated RA (S + L)" sheetId="2" state="hidden" r:id="rId2"/>
    <sheet name="Page de couverture" sheetId="18" r:id="rId3"/>
    <sheet name="Overview and guidance" sheetId="4" state="hidden" r:id="rId4"/>
    <sheet name="Indiv. cert. Risk Assessment" sheetId="5" state="hidden" r:id="rId5"/>
    <sheet name="Risk assessment l1" sheetId="6" state="hidden" r:id="rId6"/>
    <sheet name="Sheet2" sheetId="7" state="hidden" r:id="rId7"/>
    <sheet name="Group risk assessment L0" sheetId="8" state="hidden" r:id="rId8"/>
    <sheet name="Document d’orientation" sheetId="3" r:id="rId9"/>
    <sheet name="Exemple" sheetId="17" r:id="rId10"/>
    <sheet name="Modèle" sheetId="9" r:id="rId11"/>
    <sheet name="Modèle (à imprimer)" sheetId="15" r:id="rId12"/>
    <sheet name="Basic Risk Assessment DATASHEET" sheetId="11" state="hidden" r:id="rId13"/>
    <sheet name="Dropdown lists" sheetId="12" state="hidden" r:id="rId14"/>
  </sheets>
  <definedNames>
    <definedName name="_xlnm._FilterDatabase" localSheetId="12" hidden="1">'Basic Risk Assessment DATASHEET'!$A$1:$K$132</definedName>
    <definedName name="_xlnm._FilterDatabase" localSheetId="1" hidden="1">'NEW integrated RA (S + L)'!$A$2:$J$147</definedName>
    <definedName name="_xlnm.Print_Area" localSheetId="11">'Modèle (à imprimer)'!$A$1:$G$23</definedName>
    <definedName name="_xlnm.Print_Area" localSheetId="2">'Page de couverture'!$A$1:$M$32</definedName>
    <definedName name="Z_59B363CD_3DDC_B04B_9DA2_AD720BF8C467_.wvu.Cols" localSheetId="4" hidden="1">'Indiv. cert. Risk Assessment'!$A:$A</definedName>
    <definedName name="Z_59B363CD_3DDC_B04B_9DA2_AD720BF8C467_.wvu.FilterData" localSheetId="12" hidden="1">'Basic Risk Assessment DATASHEET'!$A$1:$K$132</definedName>
    <definedName name="Z_59B363CD_3DDC_B04B_9DA2_AD720BF8C467_.wvu.FilterData" localSheetId="1" hidden="1">'NEW integrated RA (S + L)'!$A$2:$J$147</definedName>
    <definedName name="Z_59B363CD_3DDC_B04B_9DA2_AD720BF8C467_.wvu.Rows" localSheetId="5" hidden="1">'Risk assessment l1'!$9:$11</definedName>
    <definedName name="Z_C2C56F38_527D_46F3_8E7F_3C5092082195_.wvu.Cols" localSheetId="4" hidden="1">'Indiv. cert. Risk Assessment'!$A:$A</definedName>
    <definedName name="Z_C2C56F38_527D_46F3_8E7F_3C5092082195_.wvu.FilterData" localSheetId="12" hidden="1">'Basic Risk Assessment DATASHEET'!$A$1:$K$132</definedName>
    <definedName name="Z_C2C56F38_527D_46F3_8E7F_3C5092082195_.wvu.FilterData" localSheetId="1" hidden="1">'NEW integrated RA (S + L)'!$A$2:$J$147</definedName>
    <definedName name="Z_C2C56F38_527D_46F3_8E7F_3C5092082195_.wvu.Rows" localSheetId="5" hidden="1">'Risk assessment l1'!$9:$11</definedName>
  </definedNames>
  <calcPr calcId="191028"/>
  <customWorkbookViews>
    <customWorkbookView name="Russell Gilbert - Personal View" guid="{59B363CD-3DDC-B04B-9DA2-AD720BF8C467}" mergeInterval="0" personalView="1" yWindow="54" windowWidth="1609" windowHeight="1051" tabRatio="710" activeSheetId="3"/>
    <customWorkbookView name="Yseult Ensor - Personal View" guid="{C2C56F38-527D-46F3-8E7F-3C5092082195}" mergeInterval="0" personalView="1" maximized="1" xWindow="-11" yWindow="-11" windowWidth="1942" windowHeight="1042" tabRatio="710"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1" i="11" l="1"/>
  <c r="F52" i="11"/>
  <c r="J52" i="11"/>
  <c r="F51" i="11"/>
  <c r="J98" i="11"/>
  <c r="F98" i="11"/>
  <c r="J97" i="11"/>
  <c r="F97" i="11"/>
  <c r="F96" i="11"/>
  <c r="F75" i="11"/>
  <c r="F76" i="11"/>
  <c r="F67" i="11"/>
  <c r="F53" i="11"/>
  <c r="F35"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9" i="11"/>
  <c r="J50"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6" i="11"/>
  <c r="F37" i="11"/>
  <c r="F38" i="11"/>
  <c r="F39" i="11"/>
  <c r="F40" i="11"/>
  <c r="F41" i="11"/>
  <c r="F42" i="11"/>
  <c r="F43" i="11"/>
  <c r="F44" i="11"/>
  <c r="F45" i="11"/>
  <c r="F46" i="11"/>
  <c r="F47" i="11"/>
  <c r="F48" i="11"/>
  <c r="F49" i="11"/>
  <c r="F50" i="11"/>
  <c r="F54" i="11"/>
  <c r="F55" i="11"/>
  <c r="F56" i="11"/>
  <c r="F57" i="11"/>
  <c r="F58" i="11"/>
  <c r="F59" i="11"/>
  <c r="F60" i="11"/>
  <c r="F61" i="11"/>
  <c r="F62" i="11"/>
  <c r="F63" i="11"/>
  <c r="F64" i="11"/>
  <c r="F65" i="11"/>
  <c r="F66" i="11"/>
  <c r="F68" i="11"/>
  <c r="F69" i="11"/>
  <c r="F70" i="11"/>
  <c r="F71" i="11"/>
  <c r="F72" i="11"/>
  <c r="F73" i="11"/>
  <c r="F74" i="11"/>
  <c r="F77" i="11"/>
  <c r="F78" i="11"/>
  <c r="F79" i="11"/>
  <c r="F80" i="11"/>
  <c r="F81" i="11"/>
  <c r="F82" i="11"/>
  <c r="F83" i="11"/>
  <c r="F84" i="11"/>
  <c r="F85" i="11"/>
  <c r="F86" i="11"/>
  <c r="F87" i="11"/>
  <c r="F88" i="11"/>
  <c r="F89" i="11"/>
  <c r="F90" i="11"/>
  <c r="F91" i="11"/>
  <c r="F92" i="11"/>
  <c r="F93" i="11"/>
  <c r="F94" i="11"/>
  <c r="F95"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3" i="11"/>
  <c r="O64" i="6"/>
  <c r="P64" i="6" s="1"/>
  <c r="O61" i="6"/>
  <c r="P61" i="6" s="1"/>
  <c r="P58" i="6" s="1"/>
  <c r="O57" i="6"/>
  <c r="P57" i="6" s="1"/>
  <c r="O45" i="6"/>
  <c r="P45" i="6"/>
  <c r="O43" i="6"/>
  <c r="P43" i="6"/>
  <c r="O38" i="6"/>
  <c r="P38" i="6"/>
  <c r="O32" i="6"/>
  <c r="P32" i="6" s="1"/>
  <c r="P19" i="6" s="1"/>
  <c r="O18" i="6"/>
  <c r="P18" i="6"/>
  <c r="O16" i="6"/>
  <c r="P16" i="6"/>
  <c r="O10" i="6"/>
  <c r="P10" i="6"/>
  <c r="M7" i="6"/>
  <c r="P6" i="1"/>
  <c r="Q6" i="1"/>
  <c r="R6" i="1" s="1"/>
  <c r="P5" i="1"/>
  <c r="Q5" i="1"/>
  <c r="R5" i="1" s="1"/>
  <c r="K8" i="1"/>
  <c r="K6" i="1"/>
  <c r="K10" i="1"/>
  <c r="K11" i="1"/>
  <c r="K9" i="1"/>
  <c r="K7" i="1"/>
  <c r="K5" i="1"/>
  <c r="K4" i="1"/>
  <c r="K3" i="1"/>
  <c r="K2" i="1"/>
  <c r="P11" i="1"/>
  <c r="Q11" i="1"/>
  <c r="R11" i="1" s="1"/>
  <c r="P7" i="1"/>
  <c r="Q7" i="1"/>
  <c r="R7" i="1" s="1"/>
  <c r="P9" i="1"/>
  <c r="Q9" i="1" s="1"/>
  <c r="R9" i="1" s="1"/>
  <c r="P10" i="1"/>
  <c r="Q10" i="1" s="1"/>
  <c r="R10" i="1" s="1"/>
  <c r="P8" i="1"/>
  <c r="Q8" i="1" s="1"/>
  <c r="R8" i="1" s="1"/>
  <c r="P3" i="1"/>
  <c r="Q3" i="1" s="1"/>
  <c r="R3" i="1" s="1"/>
  <c r="P4" i="1"/>
  <c r="Q4" i="1" s="1"/>
  <c r="R4" i="1" s="1"/>
  <c r="P2" i="1"/>
  <c r="Q2" i="1"/>
  <c r="R2" i="1" s="1"/>
  <c r="P12" i="1"/>
  <c r="Q12" i="1"/>
  <c r="R12" i="1" s="1"/>
  <c r="P13" i="6" l="1"/>
  <c r="P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tc={D77DCAB9-A0FF-4DCB-AA30-8E42EAEBFD83}</author>
    <author>tc={B1906721-8D61-4664-8B67-8D8FA813BAF1}</author>
  </authors>
  <commentList>
    <comment ref="D124"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I think we should ask this for everyone - because it is likely that there are areas of natural ecosystems / natural vegetation cover that are not connected; to me this is one of the priorities where a lot could be gained, also looking at the question of Anneke "What are the priorities for groups". So I would delete the "other variable" here
</t>
      </text>
    </comment>
    <comment ref="F126" authorId="1" shapeId="0" xr:uid="{00000000-0006-0000-0100-000002000000}">
      <text>
        <t xml:space="preserve">[Threaded comment]
Your version of Excel allows you to read this threaded comment; however, any edits to it will get removed if the file is opened in a newer version of Excel. Learn more: https://go.microsoft.com/fwlink/?linkid=870924
Comment:
    To me this is part of the overall plan to comply with 4.2.3; i.e. those natural ecosystems/vegetation that doesn't contain local species should move towards those and can then be counted as "natural vegetation".
But I am wondering now, whether we shouldn't make this question then more broad, and leading to all management actions to reach 4.2.3; for example, we could ask "Do you expect to have percentages of natural vegetation that are close to 10/15%"; and then we coudl give examples like "identify areas that you could restore" etc. But it would be a bit double with the 4.2.4 - But I am now wondering whether this wouldn't be the cleaner option. Rens, happy to talk about this if you want!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tc={20AD0091-992C-4E2A-9B8F-2790C5B54A87}</author>
  </authors>
  <commentList>
    <comment ref="I10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All for now. But once the CC risk/impact screening has been automated and included only countries that fall into med or high risk categories need to fulfil these criteria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tc={D86FAB50-634A-4CDC-8C53-5B6E1B17CEE8}</author>
    <author>tc={5EE8AF6A-808A-4DED-AD6A-D677A866E58F}</author>
    <author>tc={6E9FE9EA-A14B-4934-808B-1A9E3C98243A}</author>
    <author>tc={DAB26FE6-4FDB-4EB8-B49D-D6C21318F750}</author>
    <author>tc={FD94C455-077A-4296-B815-6804B40ABE96}</author>
  </authors>
  <commentList>
    <comment ref="F66" authorId="0" shapeId="0" xr:uid="{00000000-0006-0000-0700-000001000000}">
      <text>
        <t xml:space="preserve">[Threaded comment]
Your version of Excel allows you to read this threaded comment; however, any edits to it will get removed if the file is opened in a newer version of Excel. Learn more: https://go.microsoft.com/fwlink/?linkid=870924
Comment:
    Questions that need to be verified at the level of the group members should be included in the internal inspection tool, not in this risk assessment
</t>
      </text>
    </comment>
    <comment ref="I69"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Group management does not have the list of under 18 aged group member workers or uner 18 family of group member workers. This could be potentially done in year 1 with under 18 children of group members.
Reply:
    meike totally agree - have changed</t>
      </text>
    </comment>
    <comment ref="F70" authorId="2" shapeId="0" xr:uid="{00000000-0006-0000-0700-000003000000}">
      <text>
        <t xml:space="preserve">[Threaded comment]
Your version of Excel allows you to read this threaded comment; however, any edits to it will get removed if the file is opened in a newer version of Excel. Learn more: https://go.microsoft.com/fwlink/?linkid=870924
Comment:
    question for internal inspection
</t>
      </text>
    </comment>
    <comment ref="F92" authorId="3" shapeId="0" xr:uid="{00000000-0006-0000-0700-000004000000}">
      <text>
        <t xml:space="preserve">[Threaded comment]
Your version of Excel allows you to read this threaded comment; however, any edits to it will get removed if the file is opened in a newer version of Excel. Learn more: https://go.microsoft.com/fwlink/?linkid=870924
Comment:
    do we need to specify what is 'significant'?
</t>
      </text>
    </comment>
    <comment ref="H128" authorId="4" shapeId="0" xr:uid="{00000000-0006-0000-0700-000005000000}">
      <text>
        <t xml:space="preserve">[Threaded comment]
Your version of Excel allows you to read this threaded comment; however, any edits to it will get removed if the file is opened in a newer version of Excel. Learn more: https://go.microsoft.com/fwlink/?linkid=870924
Comment:
    All for now. But once the CC risk/impact screening has been automated and included only countries that fall into med or high risk categories need to fulfil these criteria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Russell Gilbert</author>
  </authors>
  <commentList>
    <comment ref="D40" authorId="0" shapeId="0" xr:uid="{C1DD4C4C-1250-4393-AE7E-6AF25AD53C30}">
      <text>
        <r>
          <rPr>
            <b/>
            <sz val="9"/>
            <color indexed="81"/>
            <rFont val="Calibri"/>
            <family val="2"/>
          </rPr>
          <t>Russell Gilbert:</t>
        </r>
        <r>
          <rPr>
            <sz val="9"/>
            <color indexed="81"/>
            <rFont val="Calibri"/>
            <family val="2"/>
          </rPr>
          <t xml:space="preserve">
Cell should read "September 2020", however, it keeps reverting back to "Sep-20"</t>
        </r>
      </text>
    </comment>
  </commentList>
</comments>
</file>

<file path=xl/sharedStrings.xml><?xml version="1.0" encoding="utf-8"?>
<sst xmlns="http://schemas.openxmlformats.org/spreadsheetml/2006/main" count="4022" uniqueCount="1030">
  <si>
    <t>Score</t>
  </si>
  <si>
    <t>Level</t>
  </si>
  <si>
    <t>¬</t>
  </si>
  <si>
    <t>¬¬</t>
  </si>
  <si>
    <t>¬¬¬</t>
  </si>
  <si>
    <t>Question</t>
  </si>
  <si>
    <t>Requirements in standard</t>
  </si>
  <si>
    <t>Which CH type does this apply to?</t>
  </si>
  <si>
    <t>Other variables</t>
  </si>
  <si>
    <t>Issue</t>
  </si>
  <si>
    <t>Mitigation self-assessment – risk questions</t>
  </si>
  <si>
    <t>Answer parameter</t>
  </si>
  <si>
    <t xml:space="preserve">Country/sector  risk context applicability </t>
  </si>
  <si>
    <t xml:space="preserve">Mitigation actions to be included in the Management Plan </t>
  </si>
  <si>
    <t>Comments</t>
  </si>
  <si>
    <t>Management</t>
  </si>
  <si>
    <t>Group Certification</t>
  </si>
  <si>
    <t>Deforestation/ Native vegetation</t>
  </si>
  <si>
    <t>Do you expect production sites of group members to be shifting or expanding?</t>
  </si>
  <si>
    <t>no</t>
  </si>
  <si>
    <t xml:space="preserve">All </t>
  </si>
  <si>
    <t>No additional action needed</t>
  </si>
  <si>
    <t xml:space="preserve">Yes </t>
  </si>
  <si>
    <t>All</t>
  </si>
  <si>
    <t>Ensure that producers and workers know that natural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</si>
  <si>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AP: not sure if this question is needed - mitigation measures are basically implementing th standard on the new farm units. They will anyway have to implement the whole standard, not only the criteria related to native vegetation
RR: I think it is good to keep, to assess the risks of expanding to new areas</t>
  </si>
  <si>
    <t>Large</t>
  </si>
  <si>
    <t xml:space="preserve">Are production sites shifting or expanding? </t>
  </si>
  <si>
    <t>Ensure that workers know that natural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</si>
  <si>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AP: not sure if this question is needed - mitigation measures are basically implementing th standard on the new farm units. They will anyway have to implement the whole standard, not only the criteria related to native vegetation</t>
  </si>
  <si>
    <t>1.8 Traceability</t>
  </si>
  <si>
    <t>Intermediaries</t>
  </si>
  <si>
    <t>Do you/will you make use of intermediaries and/or subcontractors* in your supply chain?</t>
  </si>
  <si>
    <t>yes</t>
  </si>
  <si>
    <t>Set up a clear traceability flow, that includes the documented and physical traceability rules for all actors in your supply chain (farmers, subcontractors, intermediary, processing units, transport, collection centers, management etc.).
Train all actors on your traceability procedure. This includes the intermediaries and/or subcontractors.
Monitor traceability and record keeping at all actors.  
Monitoring intermediaries especially during the harvest period. For monitoring, verify calibration of scales and record keeping at intermediaries and cross-check with information of sales from a sample of producers.</t>
  </si>
  <si>
    <t xml:space="preserve">
Set up a clear traceability flow, that includes the documented and physical traceability rules for all actors in your supply chain (farmers, processing units, transport, collection centers, management etc.).
Train all actors on your traceability procedure.
Monitor traceability and record keeping at all actors.  
</t>
  </si>
  <si>
    <t>Subcontractors</t>
  </si>
  <si>
    <t>Do you/will you make use of subcontractors* in your supply chain?</t>
  </si>
  <si>
    <t xml:space="preserve">Set up a clear traceability flow, that includes the documented and physical traceability rules for all actors in your supply chain (processing units, transport, subcontractors, warehouse etc.).
Train all actors on your traceability procedure.
Monitor traceability and record keeping at all actors. For subcontractors, verifying if all subcontractors comply with the traceability procedure and all requirements in the standard that apply to them is part of the self-assessment.
</t>
  </si>
  <si>
    <t>No</t>
  </si>
  <si>
    <t xml:space="preserve">Set up a clear traceability flow, that includes the documented and physical traceability rules for all actors in your supply chain (processing units, transport, subcontractors, warehouse etc.).
Train all actors on your traceability procedure.
Monitor traceability and record keeping at all actors. </t>
  </si>
  <si>
    <t>Record keeping</t>
  </si>
  <si>
    <t>Do you expect farmers to have difficulties keeping (traceability) records?</t>
  </si>
  <si>
    <t>Include administrion/keeping of receipts in training plan.
The group supports the farmer to keep the receipts at the same place (ex: plastic folder)
Put up signs to encourage farmers to keep receipts
Monitor keeping of receipts</t>
  </si>
  <si>
    <t>AP: Do we mean records or receipts that they receive from the buying station/group? In the standard, farmers are not requested to keep records so not sure if 'record books' is needed.
If receipt, then 
- the group needs to find a system for the farmer to keep them at the same place (ex: plastic folder)
- remove the term 'record' to align with the standard and avoid confusion
Changed</t>
  </si>
  <si>
    <t>Product separation</t>
  </si>
  <si>
    <t>Do you/will you only handle RA certified product and only buy from RA certified producers?</t>
  </si>
  <si>
    <t>No further actions needed (apart from actions on compliance with the standard)</t>
  </si>
  <si>
    <t>Implement a system for identifying the products originating from certified producers by means of physical or visual identification and in the tracebaility documents (receipts, registry, etc.).
Example of visual identification can be tags on the bags during the product transportation and storage</t>
  </si>
  <si>
    <t>Do group members have access to different market outlets / different buyers for their certifiers product?</t>
  </si>
  <si>
    <t xml:space="preserve">Information on harvested volumes based on deliveries might not be reliable, therefore, put a system in place to get information on harvested volumes (this can be done by asking  producers directly through out the year or during internal inspections).
 Collect the information on harvested volume throughout the year (monthly basis) instead of once a year during internal inspections
</t>
  </si>
  <si>
    <t>AP: I would focus the mitigation action on getting the information on harvested volume through out the year (monthly basis) instead of once a year during internal inspections
Changed</t>
  </si>
  <si>
    <t>Anneke: how can you reduce this risk?</t>
  </si>
  <si>
    <t>Do group members often rely on farm operators to manage their farm?</t>
  </si>
  <si>
    <t>all</t>
  </si>
  <si>
    <t>Guarantee that the farm manager is the same year after year through the internal inspections and that they are aware of the traceability requirements. 
Check if farm operator also manages non-certified farms and if so, encourage to include them in the certified group as well. 
Always invite the farm operator to trainings (on traceability and other topics)</t>
  </si>
  <si>
    <t>AP: mitigation action could be to always invite the farm operator to trainings (on traceability and other topics), unless already in the standard
Changed</t>
  </si>
  <si>
    <t>Anneke: not the right place to put it in the risk assessment?</t>
  </si>
  <si>
    <t>Productivity &amp; profitability</t>
  </si>
  <si>
    <t>Optimum yield</t>
  </si>
  <si>
    <t>Is the average yield of the certified crop of the group members at or above the average yield for the crop in your country?</t>
  </si>
  <si>
    <t>Yes</t>
  </si>
  <si>
    <t>AP: is a definition of 'optimum yield' needed?
RR: Changed the formulation of the question</t>
  </si>
  <si>
    <t>Optmimum yield</t>
  </si>
  <si>
    <t>No/Don't know</t>
  </si>
  <si>
    <t>Train staff to recognise &amp; prioritise production constraints in field 
Identify the main productivity constraints in the field
Establish trials and business model farms to showcase impact of rejuvenation, fertilisation and good pest and disease control</t>
  </si>
  <si>
    <t>AP: production or productivity constraints?
RR: productivity, so also costs of production</t>
  </si>
  <si>
    <t>Access to inputs and knowledge</t>
  </si>
  <si>
    <t>Do all group members have access to agricultural inputs and adequate knowledge to optimize productivity?</t>
  </si>
  <si>
    <t>Identify the main needs among group members regarding inputs and knowledge.
Support group members with training on finance, business management and understanding production costs and net income (self-selected requirement 1.4.5)
If needed, facilitate accesss to financial services (e.g. loans for farm investments) (self-selected requirement 1.4.5)</t>
  </si>
  <si>
    <t>Living income</t>
  </si>
  <si>
    <t>Do you estimate that all group members earn a decent income with the production of the certified crop?</t>
  </si>
  <si>
    <t>Assess the total net income for a representative sample of group member households, using the Living Income benchmark (self-selected requirement 1.9.6)
Support group members with training on finance, business management and understanding production costs and net income (self-selected requirement 1.4.5)
If needed, facilitate accesss to financial services (e.g. loans for farm investments) (self-selected requirement 1.4.5)
Support group members to make informed decisions on income diversification strategies, e.g. other income generating activities, product upgrading (self-selected requirement 1.4.6)</t>
  </si>
  <si>
    <t>Farming practices</t>
  </si>
  <si>
    <t>2.6 Agrochemical management</t>
  </si>
  <si>
    <t>Pesticides use</t>
  </si>
  <si>
    <t>Use of prohibited agrochemicals</t>
  </si>
  <si>
    <t xml:space="preserve">Review the Agrochemicals Rainforest Alliance Prohibited List : 
Is it common practice in the region to use one or more of the agrochemicals from the Rainforest Alliance Prohibited List, including on the non-certified crops on the farm? </t>
  </si>
  <si>
    <t xml:space="preserve">In case use of banned pesticide use is found during the external audit, the CB may issue a non-certification. To avoid this, include in your management plan:
Group member training on the prohibition of the use of banned agrochemicals, and which ones those are. 
Group members training on the risk of using highly hazardous agrochemicals.
Verify use of banned agrochemicals in internal inspections. 
Monitoring of use of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</si>
  <si>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AP: I would separate the 2 questions, answering a Yes/No is confusing here.  
Changed</t>
  </si>
  <si>
    <t xml:space="preserve">Review the Agrochemicals Rainforest Alliance Prohibited List : 
do you use one or more of the agrochemicals from the Rainforest Alliance Prohibited List, including on the non-certified crops on the farm? </t>
  </si>
  <si>
    <t>In case use of prohibited pesticide use is found during the external audit, the CB may issue a non-certification. Farms that have used pesticides agrochemicals for the harvest to be certified cannot be included in the certification and have to wait for the next harvest cycle to apply again. If you haven't, then ensure ban of use of prohibited agrochemicals by implementing:
Get rid of all prohibited agrochemicals prohibited agrochemicals, and which ones those are. 
Staff training on the risk of using highly hazardous agrochemicals.
Verify use of prohibited agrochemicals in internal inspections. 
Monitoring of use of agrochemicals during application period.</t>
  </si>
  <si>
    <t>If you are certified by other standards, are there any RA banned agrochemicals that are not banned under these other standards?</t>
  </si>
  <si>
    <t xml:space="preserve">In case use of prohibited pesticide is found during the external audit, the CB may issue a non-certification. To avoid this, include in your management plan:
Group member training on the ban of the use of prohibited agrochemicals, and which ones those are. 
Group members training on the risk of using highly hazardous agrochemicals.
Verify use of prohibited agrochemicals in internal inspections. 
Monitoring of use of agrochemicals during application period.
Set up system to collect stocks of prohibited agrochemicals from the group members.
Note: farmers that have used prohibited agrochemicals for the harvest to be certified cannot be included in the certification and have to wait for the next harvest cycle to apply again. </t>
  </si>
  <si>
    <t>If you are certified by other standards, are there any Rainforest Alliance prohibited agrochemicals that are not banned under these other standards?</t>
  </si>
  <si>
    <t>In case use of prohibited pesticide use is found during the external audit, the CB may issue a non-certification. Farms that have used prohibited agrochemicals for the harvest to be certified cannot be included in the certification and have to wait for the next harvest cycle to apply again. If you haven't, then ensure ban of use of prohibited agrochemicals by implementing:
Get rid of all prohibited agrochemicals.
Staff training on the ban of the use of prohibited agrochemicals, and which ones those are. 
Staff training on the risk of using highly hazardous agrochemicals.
Verify use of prohibited agrochemicals in internal inspections. 
Monitoring of use of agrochemicals during application period.</t>
  </si>
  <si>
    <t>Amount of pesticide applications</t>
  </si>
  <si>
    <t>Is it common practice that producers firstly try biological, physical, and other non-chemical control methods for pest control before using agrochemicals?</t>
  </si>
  <si>
    <t xml:space="preserve">Pay special attention to compliance with chapter 2.5 of the Agricultural Standard. In case needed, contact a local university or extension service for development of the Integrated Pest Management procedure. Identify sources for the purchase of lower toxicity agrochemicals as well as non-chemical pest control products.
Make sure all members have the necessary knowledge and skills to apply Integrated Pest Management.
Train members on record keeping.
Monitor use of agrochemicals and application of IPM procedure by group members (including record keeping), during application time. 
</t>
  </si>
  <si>
    <t>Use of PPE</t>
  </si>
  <si>
    <t xml:space="preserve">
Is it common practice that group members or their workers use Personal Protective Equipment (PPE) for application of agrochemicals? </t>
  </si>
  <si>
    <t>AP: don't use the abbreviation PPE but the entire words
I would rephrase 'Is it common practice that workers of group members use PPE for application of agrochemicals? ' to 'Is it common practice that group members or their workers use PPE for application of agrochemicals? 
Changed</t>
  </si>
  <si>
    <t>Ensure availability of sufficient PPE for all those applying agrochemicals.
Develop and implement management policies on the correct use of PPE.
Make sure all those applying agrochemicals are trained on correct application of the agrochemicals and PPE.
Group members trained on the risk of using highly hazardous agrochemicals.
Explore the option of developing spray teams to replace agrochemical application by individual group members.
Monitor the use of PPEs during application time.</t>
  </si>
  <si>
    <t xml:space="preserve">AP: Remove the part 'for group', this question will only populate for group certification
Why 'training on banned agrochemicals' as a mitigation measure for this point? 
Changed </t>
  </si>
  <si>
    <t>Are all workers spraying agrochemicals using the correct  Personal Protective Equipment (PPE) at all times when they apply agrochemicals?</t>
  </si>
  <si>
    <t xml:space="preserve">No </t>
  </si>
  <si>
    <t>Make an assessment among the workers on the reasons for not using PPE. 
Use the outcomes of this assessment to define the measures.
Develop and implement management policies on the correct use of PPE.
Make sure all those applying agrochemicals are trained on correct application of the agrochemicals and PPE.
Ensure availability of sufficient PPE for all those applying agrochemicals.
Monitor the use of PPEs during application time.</t>
  </si>
  <si>
    <t>2.4 Soil conservation</t>
  </si>
  <si>
    <t>Erosion</t>
  </si>
  <si>
    <t>Are there any areas that have a slope steeper than 1m rise over 3m run over an area &gt;0.1ha?</t>
  </si>
  <si>
    <t>Implement measures to protect against erosion, including planting of native groundcover, contour planting, living barriers and drainage/dewatering systems.</t>
  </si>
  <si>
    <t xml:space="preserve">Make sure no gully forming is happening and that organic top layer is not washed </t>
  </si>
  <si>
    <t>Waterlogging</t>
  </si>
  <si>
    <t>Are there any areas within the farm / group member farms with long periods of standing water after rain?</t>
  </si>
  <si>
    <t>Implement measures to improve drainage through physical measures, digging drainage trenches, or improving soil structure to increase the soil’s potential to take up water and store it</t>
  </si>
  <si>
    <t>Is high ground water level a problem in certain areas?</t>
  </si>
  <si>
    <t>Assess whether the area is suitable for crop cultivation and consider what crops are suitable for these areas. 
In some cases: improve drainage and/or conserve protective vegetation</t>
  </si>
  <si>
    <t>Drought</t>
  </si>
  <si>
    <t>Is drought (becoming) a limiting factor for crop production?</t>
  </si>
  <si>
    <t xml:space="preserve">Keep soil covered to reduce evapotransperation.                                                
Assure deep-rooting crops are used.                                                                         
Consider mixed cropping, preferable with shrub / tree crops 
Provide shade
When irrigating: assure water losses are minimised and check if lime/salt crusts are found in upper layer. If so, consult a soil institute.                                                                                                      </t>
  </si>
  <si>
    <t>ALl</t>
  </si>
  <si>
    <t xml:space="preserve">Make sure soil structure is conserved to avoid compaction </t>
  </si>
  <si>
    <t>Working Conditions</t>
  </si>
  <si>
    <t>1.5 Grievance mechanism</t>
  </si>
  <si>
    <t>Grievance Mechanism</t>
  </si>
  <si>
    <t>Is information about the grievance mechanism and the assess and address committee visible and accessible to all workers?</t>
  </si>
  <si>
    <t>Check &amp; update public display regularly to make sure information is still correct, visible and accessible to all; including languages of local and temporary staff</t>
  </si>
  <si>
    <t xml:space="preserve">Grievance Mechanism </t>
  </si>
  <si>
    <t>Ensure that producers and workers have access to practical information in their language about how and where they can access the grievance mechanism and the assess and address committee when they have a grievance that they want to be resolved.</t>
  </si>
  <si>
    <t>3.1 A&amp;A</t>
  </si>
  <si>
    <t xml:space="preserve">Equal opportunities &amp; prevention of discrimination </t>
  </si>
  <si>
    <t xml:space="preserve">Are any of the following populations present on or near the farm or group:
- Migrant workers (foreign or from within the country)
- Specific ethnic minorities (any ethnicities which are not the largest ethnicity within the workforce)
-Indigenous people (where applicable)
-People that do not speak the dominant language in the country &amp; region </t>
  </si>
  <si>
    <t>Assess whether members of these populations are working on the farm or contracted by group members.
Make sure that group and farm management is aware of the kind of populations that are present and registers their specifics: kind of population, number (estimation), language and other where relevant</t>
  </si>
  <si>
    <t>Do hiring procedures follow rules and regulations to prevent discriminatory practices?</t>
  </si>
  <si>
    <t>Make sure all job vacancies are announced widely, in appropriate languages</t>
  </si>
  <si>
    <t>Workplace Violence and Harassment prevention</t>
  </si>
  <si>
    <t xml:space="preserve">Has the management taken any targeted action to prevent violence and harassment (including sexual harassment)? </t>
  </si>
  <si>
    <t xml:space="preserve">Workplace Violence and Harassment </t>
  </si>
  <si>
    <t xml:space="preserve"> Implement at least one of the following measures:
- Training of trainers, technical staff and other persons in direct contact with members and  workers on respectful behavior and concepts of workplace violence and harassment
- training of workers on the topic on respectful behavior and concepts of workplace violence and harassment
Please note: in most cases workplace violence and harassment will relate to experiences faced by women. However risks are also faced by men. Ensure your answers cover risks in relation to all workers regardless of gender.</t>
  </si>
  <si>
    <t>Age verification</t>
  </si>
  <si>
    <t>Is there a risk that farm group members are not validating hired workers' ages at the time they are appointed?</t>
  </si>
  <si>
    <t>Check with internal inspections the small farms' workers registration on year of birth</t>
  </si>
  <si>
    <t>1) Communicate to all farmers that have hired workers, how to verify the age of all new hires at the workplace, including those supplied by labour providers. 
2) Verification of age should be based on identity documents, school and medical records or other verifiable forms of identification proof. 
3) Check with internal inspection the data in the workers list</t>
  </si>
  <si>
    <t>Does the site require proof of age and retain documentation when hiring workers?</t>
  </si>
  <si>
    <t>Medium &amp; High
According to RA risk maps on Child Labor</t>
  </si>
  <si>
    <t xml:space="preserve">Conduct a review once per year to verify that there are identity documents on file for all workers under the age of 18; </t>
  </si>
  <si>
    <t>AP:'Country/sector risk context applicability' =&gt;  specify that we are using the child labor risk maps (not visible for the producer but needed for technology)</t>
  </si>
  <si>
    <t>Low</t>
  </si>
  <si>
    <t>1) Verify the ages of all young workers on site while respecting children’s protection and privacy rights 
2) Develop and implement a system to verify the identity and age of all new hires at the workplace, including those supplied by labour providers. 
3) Ensure the system bases its decisions on verifiable forms of identification proof, including identity documents, school and medical records. Include in the age verification system school enrolment &amp; status. 
4) Ensure information about age from which children can work and circumstances under which are clearly communicated to staff and workers.</t>
  </si>
  <si>
    <t xml:space="preserve">                     </t>
  </si>
  <si>
    <t>Hazardous work</t>
  </si>
  <si>
    <t>Has the group management listed any tasks, processes or other working conditions that could be hazardous to young workers?</t>
  </si>
  <si>
    <t xml:space="preserve">Low </t>
  </si>
  <si>
    <t>Communicate this list to all group members that hire young workers</t>
  </si>
  <si>
    <t>List the tasks and processes that involve hazardous working conditions ; communicate this to all group members</t>
  </si>
  <si>
    <t>1) List the hazardous tasks / processes. 
2) Communicate this list to all group members and; 
3) through training and child labor monitoring, ensure members are aware that workers younger than 18 cannot perform these hazardous tasks. 
4) check with internal inspections</t>
  </si>
  <si>
    <t xml:space="preserve">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
</t>
  </si>
  <si>
    <t>Farm has formally registered workers aged under the age of 18</t>
  </si>
  <si>
    <t xml:space="preserve">Has the farm management listed any tasks, processes or other working conditions taking place on the farm that could be hazardous to young workers? </t>
  </si>
  <si>
    <t xml:space="preserve">List the hazardous tasks / processes and ensure all supervisors are aware that workers younger than 18 cannot perform these. </t>
  </si>
  <si>
    <t>AP: 'Farm has formally registered workers aged under the age of 18' is part of the profile completion 1 (or do we expect the producer to answer that in the risk assessment tool)?
RR: Is that indeed included in profile completion 1? I would not agree to put it in profile completion, since this can change at any time...</t>
  </si>
  <si>
    <t xml:space="preserve">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</si>
  <si>
    <t>1) Develop a list of tasks and work processes – aligned with relevant national policy or law - that under 18s are banned from performing. Ensure the list covers jobs that involve hazardous substances, dangerous equipment, working at height, and/ or heavy lifting. The list of tasks should also make clear that young workers are prohibited from performing work at night.
2) Review the list every season to ensure list is up to date with national law and policy  
3) Conduct a health and safety review/risk assessment of all major farm activities to identify the major hazards, plus proposed steps to remove or reduce exposure for young workers [e.g. remove dangers of machinery, sharp tools, harmful substances, work at height, carrying heavy loads, working at height and working at night). 
4) Ensure all supervisors are aware of the hazardous tasks list and which tasks young workers are allowed to perform. 
5) conduct awareness with your workers, especially those working in teams with young workers, about what tasks young workers are allowed to perform and from which age</t>
  </si>
  <si>
    <t>Education</t>
  </si>
  <si>
    <t>Is there a risk that school-going aged children of group staff, or group members, or children of workers, do not attend school within a safe walking / traveling distance? (Use the map of the group area to assess this)</t>
  </si>
  <si>
    <t xml:space="preserve"> 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</si>
  <si>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AP: why not group members' children? 
Changed</t>
  </si>
  <si>
    <t xml:space="preserve">Education </t>
  </si>
  <si>
    <t>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</si>
  <si>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Families living on-site</t>
  </si>
  <si>
    <t xml:space="preserve">Are children living on-site and of school-going age going to school within safe walking distance or at reasonable traveling distance using safe transport? </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</si>
  <si>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t>
  </si>
  <si>
    <t>AP: is 'Families living on-site?' part of profile completion 1 (or do we expect the producer to answer that in the risk assessment tool)?
RR: Yes, so only if they indicated this with YES in the profile completion 1, this question appears in the risk assessment</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</si>
  <si>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t>
  </si>
  <si>
    <t xml:space="preserve">Coordinate with the local school and request to be informed should any of the children living on site drop out or attend very irregularly [ensure this process is aligned with national law on data protection] </t>
  </si>
  <si>
    <t xml:space="preserve">Family workers </t>
  </si>
  <si>
    <t xml:space="preserve">Is there a risk that under-18s perform work on the farm?
</t>
  </si>
  <si>
    <t>Set up child labour monitoring process 
1)Appoint member of staff to supervise the work of all under 18s registered as working on the farm and to monitor the under 18s health and school attendance
2)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3) Follow the RA Remediation tool when removing children from child labor, ensuring care is taken to minimise damage to families when they miss out on income. Supervisors and workers are informed about policy of hiring young workers, including the age from which children can be hired individually, in accordance with the Rainforest Alliance Standard as well as the national law.</t>
  </si>
  <si>
    <t>Supervisors and workers are informed about policy of hiring young workers, including the age from which children can be hired individually, in accordance with the Rainforest Alliance Standard as well as the national law.</t>
  </si>
  <si>
    <t>Appoint child labor monitors [sufficient to provide an effective degree of coverage and visibility across farm] to maintain oversight over children’s working, health and school attendance patterns and to maintain awareness of the group child labor policy across inspectors, farmers, young worker supervisors and hired workers themselves.</t>
  </si>
  <si>
    <t>Inform supervisors and workers about policy of hiring young workers, including the age from which children can be hired individually, in accordance with the Rainforest Alliance Standard as well as the national law.</t>
  </si>
  <si>
    <t>Is there a risk that under-18s perform work on any of the farms within the group?</t>
  </si>
  <si>
    <t>1) Inform members about the policy regarding family child work, including the age from which children can support their parents, and from which age children can be hired individually to conduct light work, in accordance with the Rainforest Alliance Standard as well as the national law. 
2) Explain the assess and address model to members to promote transparency about child labor risks and support solutions to mitigate the risk</t>
  </si>
  <si>
    <t>Appoint child labor monitors [sufficient to provide an effective degree of coverage and visibility across farms in the producer group] to maintain oversight over children’s working, health and school attendance patterns and to maintain awareness of the group child labor policy across inspectors, farmers, young worker supervisors and hired workers themselves.</t>
  </si>
  <si>
    <t>Labour providers</t>
  </si>
  <si>
    <t>Is it likely that group members use labour providers to recruit workers?</t>
  </si>
  <si>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groups members are working (if any) and under what conditions. </t>
  </si>
  <si>
    <t>Medium &amp; High
According to RA risk maps on Forced Labor</t>
  </si>
  <si>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 members are working (if any) and under what conditions.
 4. Verify whether the workers recruited through labor providers are treated equally with other workers and provided the same information about their protections under the RA standard. </t>
  </si>
  <si>
    <t>Does the farm/group management  use labour providers to recruit any workers?</t>
  </si>
  <si>
    <t xml:space="preserve">yes </t>
  </si>
  <si>
    <t>1. Make sure that the labor providers used are licensed or certified by the appropriate government authority, if one exists.</t>
  </si>
  <si>
    <t>1. Ensure that farms have written contracts with each labor provider, requiring that labor providers abide by RA worker protection standards. 
2. When possible, farms should directly contract workers who are recruited by labor providers. 
3. For workers whose direct employer is a labor provider, check the Assess &amp; Address monitoring system periodically with some of these workers to ensure that their pay, working conditions, etc. are as promised by the labor provider. 
4. Make sure that the workers recruited through labor providers are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</si>
  <si>
    <t>Wage payment practices</t>
  </si>
  <si>
    <t>Is it likely that group members pay their workers by volume/piece rate?</t>
  </si>
  <si>
    <t>Training/awareness raising of group members on how to assure that workers receive a fair payment</t>
  </si>
  <si>
    <t>Are workers paid by volume/piece rate?</t>
  </si>
  <si>
    <t xml:space="preserve">1. Farm-group management must ensure that workers have written or verbal contracts in place according to requirement 3.3.
2. When calculated by volume, workers' pay must equal at least the minimum wage based on a 48-hour working week or national legal working hours limit. 
3. Deductions from wages for costs such as employer-provided housing or food must only be taken with workers' consent. 
4. Ensure that personnel responsible for wage payment are correctly trained in calculations and requirements. </t>
  </si>
  <si>
    <t xml:space="preserve">Freedom of movement </t>
  </si>
  <si>
    <t>Are there security guards on the farm?</t>
  </si>
  <si>
    <t>1.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3. Train security guards on rights of workers, eg that workers living on the farm have the right of movement on and off the farm outside working hours.</t>
  </si>
  <si>
    <t>AP: (I am not a specialist but) reading the mitigation measures, it seems that if the answer is Yes, they are in an illegal situation (restricting freedom of movement)??
Changed question and included other measure</t>
  </si>
  <si>
    <t>Prison/military labor</t>
  </si>
  <si>
    <t>Are any workers recruited/provided to the farm/group by military or prison officials?</t>
  </si>
  <si>
    <t>1. Military officials mobilizing military personnel to perform agricultural labor is a form of forced labor.  Make sure that farms do not utilize this type of labor.
2. Enusre that any prisoners working on the farm have freely provided their consent to work. 
3. Ensure that prison labors are treated the same as all other workers with respect to contracts, pay, working conditions, and all other worker protections in the RA standard.</t>
  </si>
  <si>
    <t>Deposit or document retention</t>
  </si>
  <si>
    <t>Do workers give any money (such as deposits) or documents (such as passports) to farm management or labor providers?</t>
  </si>
  <si>
    <t>1. Enusre that workers are not required to pay any type of deposit or provide any personal document to management, other than to confirm identity at the time of hiring.
2. In instances where workers prefer to provide documents or other belongings to management for safe keeping, ensure that workers have permanent, unrestricted access to these locations.</t>
  </si>
  <si>
    <t>1.6 Gender</t>
  </si>
  <si>
    <t xml:space="preserve">Gender Commitment from Leadership </t>
  </si>
  <si>
    <t>Has the group/farm management already been taking actions to address gender and/or women empowerment for at least more than a year?</t>
  </si>
  <si>
    <t>Continue the actions</t>
  </si>
  <si>
    <t>Formulate a policy on gender equality and women’s empowerment to be shared with the rest of the group.
Group/farm management to take a training course on gender, for example the RA gender training module on line. 
Stakeholder mapping of gender related organizations that could help to incorporate gender within group</t>
  </si>
  <si>
    <t>Female representation in group</t>
  </si>
  <si>
    <t xml:space="preserve">Are female members representing at least 25%  of the total number of group members? </t>
  </si>
  <si>
    <t>AP: this is already in the standard. I would put 'no action'
Changed</t>
  </si>
  <si>
    <t xml:space="preserve">Keep record of group members per gender 
Make an assessment of the reasons why female membership is limited, by interviewing female members and non members and consulting the policy on membership and document those. </t>
  </si>
  <si>
    <t>Representation in higher level functions</t>
  </si>
  <si>
    <t>Are women currently equally represented (in relation to the total % of female members or workers) amongst trainers, supervisors, management staff and/or other high level functions within the group or farm management?</t>
  </si>
  <si>
    <t>AP: same here, records of staff per gender is in the standard
Changed</t>
  </si>
  <si>
    <t>Keep records of all staff positions per gender and type of position 
Establish a minimum quota for female trainers, supervisors, management staff and other high level functions.  (For groups or farms with more than 50% of female members or workers, the female representation should at least be 50%, be doesn't need to be higher than 50%)
Organize training targeted at female farmers or workers that is needed to be eligible as a trainer, supervisor or other high level function 
Make sure job announcements reach male AND female farmers and workers and that job requirements are achievable for female farmers and workers
Give training to management staff involved in recruitment on unconscious bias and methodologies to prevent gender based discriminatory practices</t>
  </si>
  <si>
    <t>Female farmers participation in trainings</t>
  </si>
  <si>
    <t>Are female workers/group members currently equally participating (compared to the total % of female members or workers)  in trainings?</t>
  </si>
  <si>
    <t>Keep records of training participants per gender and monitor the continuity of the equal participation of female workers and members</t>
  </si>
  <si>
    <t>Female farmers particication in trainings</t>
  </si>
  <si>
    <t>Keep records of training participants per gender
Check with female members and workers what are the potential hindrances of their participation in trainings
Conduct trainings at days/times/locations where women can easily attend and send personal invitations</t>
  </si>
  <si>
    <t>3.4 Living Wage</t>
  </si>
  <si>
    <t>Payment of Living Wage</t>
  </si>
  <si>
    <t>Does the farm management keep records of the data that need to be inserted in the Rainforest Alliance Salary Matrix Tool? Data that need to be inserted are:  type of unit against which payments are made, overtime payments, bonus payments, payments in kind, etc. These data need to be specified per type of worker, and per gender.</t>
  </si>
  <si>
    <t>No further actions needed as a preparation to assess the total remunerations of workers against the Living Wage benchmark (3.4.1).</t>
  </si>
  <si>
    <t>To be checked. 
The more detailed questions on the LW assessment should be included in the guidance for the LW tool
AP: this means that the producer needs to receive the living wage tool before to answer that question (keep in mind for certification process)
RR: I agree. Maybe we should leave this out for now. It is mainly an assessment of the feasiblity to work with the LW tool....</t>
  </si>
  <si>
    <t>Set up a system for collecting the necessary data about piece-rate payments (if applicable), additional financial payments(over-time wor, bonuses); additional in-kind benefits provided to workers (food donations, health care services, housing); disaggregated by types of workers, and gender, to be able to assess the total remuneration of workers against the LW benchmark (3.4.1)</t>
  </si>
  <si>
    <t>3.7 Housing</t>
  </si>
  <si>
    <t>Are there any variations in the climate regime or high labor intensive periods that would require you to take adaptive measures in the housing conditions provided to the workers?</t>
  </si>
  <si>
    <t>For climate reasons:  check the risks for flooding, leakages, heat, etc. of the housing. Take measures to improve.
For amount of labor coming in: check if there is enough space for all workers, is there enough ventilation; is there sufficient separation of housing by gender. Take the measures to improve</t>
  </si>
  <si>
    <t>Environment</t>
  </si>
  <si>
    <t>4.1.3 / 4.1.4 HCV assessment</t>
  </si>
  <si>
    <t>HCVA</t>
  </si>
  <si>
    <t>Is the farm located closer than 5 km to an Intact Forest Landscape?</t>
  </si>
  <si>
    <t xml:space="preserve">List all activities by farmers (and any resident staff) that involve tree felling, clearing or burning of vegetation, cattle-grazing, and hunting/collection in the wider landscape outside the farm, and stop or redirect any activity that may degrade the structure or species composition of an IFL. </t>
  </si>
  <si>
    <t xml:space="preserve">
RR: For groups this should be part of the improvement, year 3, since HCV assessment is an improvement for groups. Or do we change this as a core for groups as well? </t>
  </si>
  <si>
    <t>AP: 'intact forest landscape' ? Makes it confusing if we are using terms that are not part of the standard - RR: needs to be in, because this is the HCV risk assessment part</t>
  </si>
  <si>
    <t>Is the farm  located in or closer than 2 km to a designated Protected Area (PA), a Key Biodiversity Area (KBA), a Ramsar site or a UNESCO World Heritage site</t>
  </si>
  <si>
    <t>Make sure the main conservation attributes of the area are not threatened, i.e. the values for which the area has been protected or classified as a PA, KBA or Ramsar site</t>
  </si>
  <si>
    <t>AP: Makes it confusing if we are using terms that are not part of the standard RR: needs to be in, because this is the HCV risk assment part</t>
  </si>
  <si>
    <t xml:space="preserve">Do local communities have any legal or customary rights on the farm? </t>
  </si>
  <si>
    <t>a) Map local community land uses on the farm in a participatory and inclusive way with the affected community; 
b) Identify and mitigate any direct and indirect impacts from farming activities on these resources, or on habitat that support these resources;
c) Formalise agreements with communities on the use and management of such areas using Free, Prior and Informed Consent principles, and document the process.</t>
  </si>
  <si>
    <t>Do you use communal lands for purposes related to production or processing of the certified crop, e.g. timber collection?</t>
  </si>
  <si>
    <t>a) Identify and describe all current or planned practices related with farming or processing of the certified crops, such as drying, building sheds, etc. that use resources from communal lands; 
b) Evaluate if these activities impact on the vegetation structure or on the community’s land-uses;
c) Seek ways to reduce negative impacts and avoid relying on the resources of communal lands when expanding or diversifying farming activities</t>
  </si>
  <si>
    <t xml:space="preserve"> larger than 10,000 hectares</t>
  </si>
  <si>
    <t>Have you answered yes to questions on Intact Forst Landscapes (IFL), Key Biodiversity Areas (KBAs) (etc.) or customary rights of communities?</t>
  </si>
  <si>
    <t>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(covers basic needs of indigenous and local people which are supplied by natural
ecosystems) , develop your management and monitoring plan in collaboration with the affected communities.</t>
  </si>
  <si>
    <t xml:space="preserve">Can this be automatized? We know the size, and the answers to the previous questions. Henriette: We know the size, but we don't necessarily know the answer to the previous questions, as it will not be automized, right?
</t>
  </si>
  <si>
    <t>AP: I wouldn't use any abbreviation in this tool
Changed</t>
  </si>
  <si>
    <t xml:space="preserve">4.2 Conservation and enhancement of natural ecoystems and native Vegetation </t>
  </si>
  <si>
    <t>multiple areas of natural ecosystem</t>
  </si>
  <si>
    <t>Ecosystem Connectivity</t>
  </si>
  <si>
    <t xml:space="preserve">Are the areas of natural ecosystem and natural vegetation cover connected by landscape corridors? </t>
  </si>
  <si>
    <t>Plan to connect existing ecosystem fragments with habitat or landscape corridors. 
Maintain and enhance buffer zones around existing ecosystem fragments to prevent encroachment of farm activities and enforce agrochemical "non-application zones".</t>
  </si>
  <si>
    <t>AP: 
- is 'multiple areas of natural ecosystem' part of profile completion 1 (or do we expect the producer to answer that in the risk assessment tool)?
- do we mean Areas of natural ecosystems within the group members' property? If not, I don't see how the mitigation measure is possible for a group</t>
  </si>
  <si>
    <t>natural  vegetation</t>
  </si>
  <si>
    <t xml:space="preserve">Do you expect all on-farm natural ecosystems, including hedges, tree lines, riparian buffers, and forest, to contain locally adapted vegetation? </t>
  </si>
  <si>
    <t>Maintain existing natural vegetation; Ensure that the total farm area with natural vegetation meets the criteria in 4.2.2-4.2.6</t>
  </si>
  <si>
    <t>Change native into natural?</t>
  </si>
  <si>
    <t>Don't know</t>
  </si>
  <si>
    <t xml:space="preserve">Investigate whether all on-farm natural ecosystems, including hedges, tree lines, riparian buffers, and forest, contain locally adapted vegetation. If not identify appropriate species that can be planted to increase the proportion of natural vegetation in on-farm natural ecosystems including forests, riparian buffers, hedges, and tree lines. </t>
  </si>
  <si>
    <t>natural vegetation</t>
  </si>
  <si>
    <t xml:space="preserve">Identify appropriate natural species that can be planted to increase the proportion of natural vegetation in on-farm natural ecosystems including forests, riparian buffers, hedges, and tree lines. </t>
  </si>
  <si>
    <t>Please select the natural eco-systems that you have on your farm: on-site forest, on-site wetlands, on-farm grassland/rangeland or non-natural desert,  permanently fallow land, multiple areas of natural ecosystem.</t>
  </si>
  <si>
    <t>Drop down with multiplpe answers possible</t>
  </si>
  <si>
    <t>Determines if next questions apply</t>
  </si>
  <si>
    <t>Group</t>
  </si>
  <si>
    <t>Please select the natural eco-systems that you expect to be on the geographical area of your sites and group members: on-site forest, on-site wetlands, on-site grassland/rangeland or non-natural desert,  permanently fallow land, multiple areas of natural ecosystem.</t>
  </si>
  <si>
    <t>On-site forest</t>
  </si>
  <si>
    <t>Forests</t>
  </si>
  <si>
    <t xml:space="preserve">Does the forest resemble natural forest in terms of canopy cover, forest strata, and the presence of vines or lianas? See document titiled Guidance on Implementing 4.1-4.3 for more information on measuring forest quality.
</t>
  </si>
  <si>
    <t>AP: is 'on site forest' a data part of profile completion 1 (or do we expect the producer to answer that in the risk assessment tool)?</t>
  </si>
  <si>
    <t>Plan to manage canopy cover, forest strata, and presence of vines or lianas (e.g., by creating openings, planting additional species, and restricting harvesting or grazing as neccessary) to facilitate natural forest regeneration and growth. See document titled Guidance on Implementing 4.1-4.3 for more details on managing on-farm forests.</t>
  </si>
  <si>
    <t>"Are there on-site forests, and do these resemble natural forests…"</t>
  </si>
  <si>
    <t xml:space="preserve"> on-farm wetlands</t>
  </si>
  <si>
    <t>Waterways, Water Sources, and Wetlands</t>
  </si>
  <si>
    <t xml:space="preserve">Do wetlands store or convey flood waters at any time of the year?
</t>
  </si>
  <si>
    <t>Plan to delineate and manage wetland and active floodplain, and ensure that production or processing activities do not encroach into the floodplain</t>
  </si>
  <si>
    <t>on-farm wetlands</t>
  </si>
  <si>
    <t>AP: is 'on farm wetland' part of profile completion 1 (or do we expect the producer to answer that in the risk assessment tool)?</t>
  </si>
  <si>
    <t>on-farm grassland/rangeland or non-natural desert</t>
  </si>
  <si>
    <t>Grassland, Rangeland, and Non-natural Desert</t>
  </si>
  <si>
    <t>Do grassland/rangeland or non-natural desert areas contain large bare areas that are at risk of eroding into nearby waterways?</t>
  </si>
  <si>
    <t>Plant additional native groundcover (grasses, shrubs, trees) and implement measures to protect against erosion.</t>
  </si>
  <si>
    <t>AP: is 'on-farm grassland/rangeland or non-natural desert' part of profile completion 1 (or do we expect the producer to answer that in the risk assessment tool)?</t>
  </si>
  <si>
    <t>Monitor the area for erosion and implement erosion control measures as neccessary. Conserve and enhance any existing native vegetation.</t>
  </si>
  <si>
    <t xml:space="preserve"> permanently fallow land</t>
  </si>
  <si>
    <t>Fallow Land</t>
  </si>
  <si>
    <t xml:space="preserve">Are trees regenerating naturally on permanently fallow land?
</t>
  </si>
  <si>
    <t>AP: is 'permanentlhy fallow land' part of profile completion 1 (or do we expect the producer to answer that in the risk assessment tool)?</t>
  </si>
  <si>
    <t>permanently fallow land</t>
  </si>
  <si>
    <t xml:space="preserve">Re-vegetate fallow land by planting native grass, shrub, and tree species in accordance with an appropriate successional regime </t>
  </si>
  <si>
    <t xml:space="preserve">Climate Change </t>
  </si>
  <si>
    <t>Climate change risks</t>
  </si>
  <si>
    <t>Are management, supervisors, and/or technical staff trained in assessing the risks and impacts that climate change poses to livelihoods and production systems?</t>
  </si>
  <si>
    <t>Training/awareness raising on climate change risks and their impacts on agricultural production systems and livelihoods more broadly.</t>
  </si>
  <si>
    <t>Have management, supervisors, and/or technical staff identified the most significant climate change threats/risks/impacts (current and projected) on livelihood resources and farming systems?</t>
  </si>
  <si>
    <t>Carry out the RA climate change risk assesment to identify and describe the most significant climate risks based on RA CC risk assessment tool.
a) Develop a farm map identifying most at risk areas based on identified climate impacts;    
 b) Develop mitigation strategies to address identified risk as they relate to other standard criteria e.g. soil management;   
c) Develop mitigation strategies to address identified risk as they relate to other livelihood strategies i.e. opportunties for diversification so that people are managing risk by planning for and investing in the future.</t>
  </si>
  <si>
    <t>Link with the CCA risk assessment tool</t>
  </si>
  <si>
    <t>`</t>
  </si>
  <si>
    <t xml:space="preserve">Do management, supervisors, and /or technical staff have access to relevant climate change information, skills and services to develop and employ adaptation strategies?  </t>
  </si>
  <si>
    <t>Awareness raising about available information to improve adaptive capacity and resilience, early warning systems, support tools and importance of equal rights to access resources.</t>
  </si>
  <si>
    <t>Are emergency measures to deal with extreme weather events and their potential impacts (i.e. evacuation plan) developed and in place?</t>
  </si>
  <si>
    <t>Based on risk map and where appicable develop an emergency response plan for household and/wider community locations e.g. households located on steep slopes at risk of landslides.</t>
  </si>
  <si>
    <t>Suggested additional questions on productivity and profitability</t>
  </si>
  <si>
    <t>DOCUMENT D’ORIENTATION B</t>
  </si>
  <si>
    <t>Modèle de Plan de gestion</t>
  </si>
  <si>
    <t>Version 1  </t>
  </si>
  <si>
    <t>Décharge de responsabilité concernant la traduction </t>
  </si>
  <si>
    <t>Pour toute question liée à la signification précise des informations contenues dans la traduction, veuillez vous référer à la version officielle en anglais pour en obtenir la clarification. Toute divergence ou différence dans la signification engendrée par la traduction n’est pas contraignante et n’a pas d’effet sur la certification ou les audits.</t>
  </si>
  <si>
    <t>Plus d'informations ? </t>
  </si>
  <si>
    <r>
      <rPr>
        <sz val="10"/>
        <color theme="1"/>
        <rFont val="Century Gothic"/>
        <family val="2"/>
      </rPr>
      <t>Pour en savoir plus sur Rainforest Alliance, veuillez visiter </t>
    </r>
    <r>
      <rPr>
        <sz val="10"/>
        <color rgb="FF1A52C2"/>
        <rFont val="Century Gothic"/>
        <family val="2"/>
      </rPr>
      <t>www.rainforest-alliance.org</t>
    </r>
    <r>
      <rPr>
        <sz val="10"/>
        <color theme="1"/>
        <rFont val="Century Gothic"/>
        <family val="2"/>
      </rPr>
      <t> ou contacter </t>
    </r>
    <r>
      <rPr>
        <sz val="10"/>
        <color rgb="FF1A52C2"/>
        <rFont val="Century Gothic"/>
        <family val="2"/>
      </rPr>
      <t>info@ra.org</t>
    </r>
    <r>
      <rPr>
        <sz val="10"/>
        <color theme="1"/>
        <rFont val="Century Gothic"/>
        <family val="2"/>
      </rPr>
      <t> </t>
    </r>
  </si>
  <si>
    <t>Nom du document :</t>
  </si>
  <si>
    <t>Code du document :</t>
  </si>
  <si>
    <t>Version :</t>
  </si>
  <si>
    <t>Document d’orientation B : Modèle de Plan de gestion</t>
  </si>
  <si>
    <t>SA-G-SD-3-V1FR</t>
  </si>
  <si>
    <t>Date de la première publication :</t>
  </si>
  <si>
    <t>Date de révision :</t>
  </si>
  <si>
    <t>Valable à partir du :</t>
  </si>
  <si>
    <t>Expire le :</t>
  </si>
  <si>
    <t>28 février 2021</t>
  </si>
  <si>
    <t>N/A</t>
  </si>
  <si>
    <t>Jusqu’à nouvel ordre</t>
  </si>
  <si>
    <t xml:space="preserve">Élaboré par : 
</t>
  </si>
  <si>
    <t xml:space="preserve">Approuvé par : </t>
  </si>
  <si>
    <t>Département Standards and Assurance de Rainforest Alliance</t>
  </si>
  <si>
    <t>Directeur des Standards and Assurance</t>
  </si>
  <si>
    <t>Lié à :</t>
  </si>
  <si>
    <t>SA-S-SD-1-V1.1FR Norme pour l’agriculture durable 2020 de Rainforest Alliance, Exigences pour les exploitations agricoles (1.1.2, 1.3.2, 1.3.3, 1.3.4, 1.6.2, 1.6.3, 3.3.1, 4.4.2, 5.1.2, 5.1.4, 5.1.5, 5.6.1, 6.1.3, 6.1.4)
SA-S-SD-3-V1.1FR Annexe 2 : Outil d’évaluation des capacités de gestion de Rainforest Alliance
SA-S-SD-4-V1.1FR Annexe 3 : Outil d’évaluation des risques de Rainforest Alliance
SA-S-SD-5-V1.1FR Annexe 4 : Protocole de remédiation de Rainforest Alliance</t>
  </si>
  <si>
    <t>Remplace :</t>
  </si>
  <si>
    <t>NlA</t>
  </si>
  <si>
    <t xml:space="preserve">Applicable : </t>
  </si>
  <si>
    <t>Titulaires de certificats d’exploitations agricoles</t>
  </si>
  <si>
    <t>Pays/Région :</t>
  </si>
  <si>
    <t>Tous</t>
  </si>
  <si>
    <t>Produit agricole :</t>
  </si>
  <si>
    <t xml:space="preserve">Type de certification : </t>
  </si>
  <si>
    <t>© 2021 Rainforest Alliance. Tous droits réservés.</t>
  </si>
  <si>
    <t>Tous les produits agricoles du champ d’application du système de certification de Rainforest Alliance ; veuillez voir les Règles pour la certification.</t>
  </si>
  <si>
    <t>Certification de l’exploitation</t>
  </si>
  <si>
    <t>Initial Risk Assessment</t>
  </si>
  <si>
    <t>Initial GAP assessment</t>
  </si>
  <si>
    <t xml:space="preserve">GAP assessment: the GAP assessment is an assessment of the GAPs between the current state of a Certificate Holder (estate or group) and the requirements of the Rainforest Allianca. This assessment is based on the Rainforest Alliance standard. This assessment is not mandatory, however will help you identify the areas that need to be worked on and the amount of work needed still to be ready for the certification audit. </t>
  </si>
  <si>
    <t>Self Assessment</t>
  </si>
  <si>
    <t>Mitigation Actions</t>
  </si>
  <si>
    <t>Chapter</t>
  </si>
  <si>
    <t>Theme</t>
  </si>
  <si>
    <t xml:space="preserve">Which farmers does this apply to? </t>
  </si>
  <si>
    <t>Question applicable to (Group Management, medium/large estate management, group member during internal inspections)</t>
  </si>
  <si>
    <t>A. Management.</t>
  </si>
  <si>
    <t>Traceability</t>
  </si>
  <si>
    <t>All farm businesses</t>
  </si>
  <si>
    <t xml:space="preserve">Traceability procedure </t>
  </si>
  <si>
    <t>Do you/will you make use of intermediaries/subcontractors* in your supply chain?</t>
  </si>
  <si>
    <t>Set up a clear traceability flow, that includes the documented and physical traceability rules for all actors (subcontractors/intermediary, processing units, CH management etc.).
Train all actors on your traceability procedure.
Monitor traceability and record keeping at intermediaries/subcontractors (during the harvest period). (Part of the Internal inspection (TBD))</t>
  </si>
  <si>
    <t>Set up a clear traceability flow, that includes the documented and physical traceability rules for all actors (farmer, collection centers, CH management).</t>
  </si>
  <si>
    <t>B. Farming Practices</t>
  </si>
  <si>
    <t>Inputs</t>
  </si>
  <si>
    <t>Review the Rainforest Alliance list of banned agrochemicals. Do you use one or more of the agrochemicals from the pesticide watchlist?</t>
  </si>
  <si>
    <t>Set up an IPM.</t>
  </si>
  <si>
    <t>(RR:) Are you applying pesticides more than XX times per year? (Define per crop what is an expected number of times to apply pesticides per year)</t>
  </si>
  <si>
    <t>Define strategy to reduce use of pesticides. Stress use of PPE. High risk for MRL.</t>
  </si>
  <si>
    <t>4. Environment</t>
  </si>
  <si>
    <t>Steep Slopes</t>
  </si>
  <si>
    <t>Are there any areas that have a slope greater than 1m rise over 3m run over an area &gt;0.1ha?</t>
  </si>
  <si>
    <t>Implement measures to protect against erosion, including planting of native groundcover.</t>
  </si>
  <si>
    <t>No further action</t>
  </si>
  <si>
    <r>
      <t xml:space="preserve">C. Working Conditions </t>
    </r>
    <r>
      <rPr>
        <b/>
        <sz val="12"/>
        <color rgb="FFFF0000"/>
        <rFont val="Calibri"/>
        <family val="2"/>
        <scheme val="minor"/>
      </rPr>
      <t>(</t>
    </r>
    <r>
      <rPr>
        <b/>
        <sz val="12"/>
        <color rgb="FFFFC000"/>
        <rFont val="Calibri"/>
        <family val="2"/>
        <scheme val="minor"/>
      </rPr>
      <t>social chapter or "workers and communities" which was our proposal)</t>
    </r>
  </si>
  <si>
    <t xml:space="preserve">General </t>
  </si>
  <si>
    <t xml:space="preserve">There are 20 or more employees engaged at any point during the growing season </t>
  </si>
  <si>
    <t>Structure</t>
  </si>
  <si>
    <t>Does the farm have a trained committee/person in charge of the work around Assess and Address within the RA Standard? Is there a  trained Grievance Committee (criterion 1.5)? Is there a trained Gender Committee (1.6)?</t>
  </si>
  <si>
    <t xml:space="preserve">No further action </t>
  </si>
  <si>
    <t>No [to any]</t>
  </si>
  <si>
    <t xml:space="preserve">all </t>
  </si>
  <si>
    <t>Committee/person are (s)elected and committee set up; they participate in the A&amp;A online training module / gender online training module and / or grievance mechanism training module as applicable ensuring all committees are set up and trained.</t>
  </si>
  <si>
    <t>Skills/ capabilities</t>
  </si>
  <si>
    <t>Have supervisors and management experience / knowledge on dealing with cases of  child labour, forced labour, discrimination and workplace violence/harassment?</t>
  </si>
  <si>
    <t>No further actions</t>
  </si>
  <si>
    <t>Have supervisors and management experience / knowledge in dealing with cases of  child labour, forced labour, discrimination and workplace violence/harassment?</t>
  </si>
  <si>
    <t xml:space="preserve">Management representatives / supervisors undergo training on assess and address topics  </t>
  </si>
  <si>
    <t>Public communication about Grievance Mechanism and Assess and Address Committee and its responsibilities</t>
  </si>
  <si>
    <t>Discrimination</t>
  </si>
  <si>
    <t>Prevention of discrimination</t>
  </si>
  <si>
    <t>- Make sure all job vacancies are announced widely, in appropriate languages</t>
  </si>
  <si>
    <t>Medium, High</t>
  </si>
  <si>
    <t>- Conduct in-person training of managers and supervisors on unconscious bias and on avoiding any kind of discriminatory decision in relation to hiring, working conditions, pay, benefits, training, promotion, termination, redundancy
- develop procedures to prevent discrimination during hiring, between others: organize job interviews with more than one interviewer, preferibly of different genders; widespread announcement of job vacancies in appropriate languages; job description should not exclude certain groups of people</t>
  </si>
  <si>
    <t xml:space="preserve">Discrimination </t>
  </si>
  <si>
    <r>
      <t xml:space="preserve">If any of the following groups are present at the farm, have you taken actions to fairly represent them amongst management and supervisory staff? These groups could include: 
</t>
    </r>
    <r>
      <rPr>
        <strike/>
        <sz val="10"/>
        <color theme="1"/>
        <rFont val="Calibri"/>
        <family val="2"/>
        <scheme val="minor"/>
      </rPr>
      <t>-Women -</t>
    </r>
    <r>
      <rPr>
        <sz val="10"/>
        <color theme="1"/>
        <rFont val="Calibri"/>
        <family val="2"/>
        <scheme val="minor"/>
      </rPr>
      <t xml:space="preserve">&gt; </t>
    </r>
    <r>
      <rPr>
        <sz val="10"/>
        <color rgb="FFFF0000"/>
        <rFont val="Calibri"/>
        <family val="2"/>
        <scheme val="minor"/>
      </rPr>
      <t>will go to gender requirement</t>
    </r>
    <r>
      <rPr>
        <sz val="10"/>
        <color theme="1"/>
        <rFont val="Calibri"/>
        <family val="2"/>
        <scheme val="minor"/>
      </rPr>
      <t xml:space="preserve">
-Migrants (foreign or from within the country)
- Specific ethnic minority groups (any ethnicities which are not the largest ethnicity within the workforce)
-Indigenous groups (where applicable)
-Groups whose members do not speak the dominant language in the country &amp; region 
</t>
    </r>
  </si>
  <si>
    <t xml:space="preserve">If any of the following groups are present at the farm, have you taken actions to fairly represent them amongst management and supervisory staff? These groups could include: 
-Women -&gt; will go to gender requirement
-Migrants (foreign or from within the country)
- Specific ethnic minority groups (any ethnicities which are not the largest ethnicity within the workforce)
-Indigenous groups (where applicable)
-Groups whose members do not speak the dominant language in the country &amp; region </t>
  </si>
  <si>
    <t>publish vacancies for management and supervisory functions in a language(s) and in places accessible for all</t>
  </si>
  <si>
    <r>
      <t>If any of the following groups are present at the farm, have you taken actions to fairly represent them amongst management and supervisory staff? These groups could include: 
-</t>
    </r>
    <r>
      <rPr>
        <strike/>
        <sz val="10"/>
        <color theme="1"/>
        <rFont val="Calibri"/>
        <family val="2"/>
        <scheme val="minor"/>
      </rPr>
      <t xml:space="preserve">Women -&gt; </t>
    </r>
    <r>
      <rPr>
        <sz val="10"/>
        <color rgb="FFFF0000"/>
        <rFont val="Calibri"/>
        <family val="2"/>
        <scheme val="minor"/>
      </rPr>
      <t>will go to gender requirement</t>
    </r>
    <r>
      <rPr>
        <sz val="10"/>
        <color theme="1"/>
        <rFont val="Calibri"/>
        <family val="2"/>
        <scheme val="minor"/>
      </rPr>
      <t xml:space="preserve">
-Migrants (foreign or from within the country)
- Specific ethnic minority groups (any ethnicities which are not the largest ethnicity within the workforce)
-Indigenous groups (where applicable)
-Groups whose members do not speak the dominant language in the country &amp; region 
</t>
    </r>
  </si>
  <si>
    <t>- include unconscious bias and other anti discriminatory practices in the training and awareness raising of staff and management as required in 3.1.1 AND
- publish vacancies for management and supervisory functions in a language(s) and in places accessible for all</t>
  </si>
  <si>
    <t>Has management taken any targeted action to prevent workplace violence and harassment (including sexual harassment)?</t>
  </si>
  <si>
    <t>- do a risk scan of the workplace that will identify high risk areas (e.g. dark corridors, sections where people work on their own, etc.)</t>
  </si>
  <si>
    <t xml:space="preserve">Has management taken any targeted action to prevent workplace violence and harassment (including sexual harassment)? </t>
  </si>
  <si>
    <t xml:space="preserve"> Implement at least one of the following measures:
- Training for supervisors, safety guards and other staff in direct contact with workers on respectful behavior and concepts of workplace violence and harassment
- training of workers on the topic on respectful behavior and concepts of workplace violence and harassment
- do a risk scan of the workplace that will identify high risk areas and define actions to make them safer (e.g. dark corridors, sections where people work on their own, etc.)
Please note: in most cases workplace violence and harassment will relate to experiences faced by women. However risks are also faced by men. Ensure your answers cover risks in relation to all workers regardless of gender.</t>
  </si>
  <si>
    <t>Child labour</t>
  </si>
  <si>
    <t>High</t>
  </si>
  <si>
    <t xml:space="preserve">1) Conduct a review once per year to verify that there are identity documents on file for all workers under the age of 18; </t>
  </si>
  <si>
    <t>Lower, Med</t>
  </si>
  <si>
    <t>1) In line with core requirement 1.2.2, for hired young workers (15 - 17 years), the registry contains:
•	housing address
•	Name and address of parent(s) or legal guardian(s)
•	School registration
•	Type of work or tasks
•	The number of daily and weekly working hours.                                               2) Develop and implement a system to verify the identity and age of all new hires at the workplace, including those supplied by labour providers. Ensure the system bases its decisions on verifiable forms of identification proof. Include in the system school enrolment &amp; status. 3) Ensure information about age from which children can work and circumstances under which are clearly communicated to staff and workers.</t>
  </si>
  <si>
    <t>Verify the ages of all young workers on site while respecting children’s protection and privacy rights (see basic risk assessment)</t>
  </si>
  <si>
    <t xml:space="preserve">Have you listed any tasks, processes or other working conditions taking place on your farm that could be hazardous to young workers? </t>
  </si>
  <si>
    <t>Yes, please list</t>
  </si>
  <si>
    <t xml:space="preserve">Lower </t>
  </si>
  <si>
    <t xml:space="preserve">List the hazardous tasks/processes </t>
  </si>
  <si>
    <t xml:space="preserve">High </t>
  </si>
  <si>
    <t xml:space="preserve">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</si>
  <si>
    <t>Med, High</t>
  </si>
  <si>
    <t xml:space="preserve">In addition to above (row 46): 
1) Conduct a health and safety review/risk assessment of all major field activities to identify the major hazards, plus proposed steps to remove or reduce exposure for young workers [e.g. remove dangers of machinery, sharp tools, harmful substances, work at height, carrying heavy loads and workign at night ]. 3) Ensure all supervisors are aware of the hazardous tasks list and which tasks children are allowed to perform. 4) conduct awareness with your workers, especially those working in teams with young workers, about what tasks children are allowed to perform and from which age
</t>
  </si>
  <si>
    <t>Farm has formally registered workers aged under the age of 19</t>
  </si>
  <si>
    <t>Is the company / site taking any steps to protect under 18 year old workers / children of group members from  conducting hazardous tasks?</t>
  </si>
  <si>
    <t>Please list the steps; In addition to steps outlined in row 45, develop and implement Child Labor Monitoring System in accordance with A&amp;A Monitoring Guidance and steps outlined in row 56</t>
  </si>
  <si>
    <t>Farm has formally registered workers aged under the age of 20</t>
  </si>
  <si>
    <t>low</t>
  </si>
  <si>
    <t>Please list the steps</t>
  </si>
  <si>
    <t>Farm has formally registered workers aged under the age of 21</t>
  </si>
  <si>
    <t>In addition to steps outlined in row 46 and 47, set up child labor monitoring system in accordance with steps outlined in row 56 and Assess and Address monitoring guidance</t>
  </si>
  <si>
    <t>Farm has formally registered workers aged under the age of 22</t>
  </si>
  <si>
    <t>no further steps (beyond those outlined in row 46 and 47)</t>
  </si>
  <si>
    <t>Under 18s are employed, or there are workers with families living on the estate</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</si>
  <si>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 set up child labor monitoring system in accordance with Monitoring Guidance and steps outline in row 56</t>
  </si>
  <si>
    <t>Low, Medium</t>
  </si>
  <si>
    <t>High, Medium</t>
  </si>
  <si>
    <r>
      <t xml:space="preserve">Do workers bring their own children to the farm (to live or work)? </t>
    </r>
    <r>
      <rPr>
        <sz val="10"/>
        <color rgb="FFFF0000"/>
        <rFont val="Calibri"/>
        <family val="2"/>
        <scheme val="minor"/>
      </rPr>
      <t xml:space="preserve"> </t>
    </r>
  </si>
  <si>
    <t>Set up child labour monitoring process
1)Appoint  member of staff to supervise the work of all under 18s registered as working on the farm. 
2) Develop a process to record for each worker under the age of 18 a) their work designation for the week b) the expected hours of the work for that week  c) the specific location/section of the farm where they will work d) the name of the supervisor responsible for them.
3)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4) Follow the RA Remediation tool when removing children from child labor, ensuring care is taken to minimise damage to families when they miss out on income.</t>
  </si>
  <si>
    <t>Do workers bring their own children to the farm (to live or work)?</t>
  </si>
  <si>
    <t>Workers are informed about policy of hiring young workers, including the age from which children can be hired individually, in accordance with the Rainforest Alliance Standard as well as the national law.</t>
  </si>
  <si>
    <t>Workers are informed about policy of hiring young workers, including the age from which children can be hired individually, in accordance with the Rainforest Alliance Standard as well as the national law. Assess and Address Committee conducts periodic visits to randomly selected sections of the farm in order to verify that all workers -particularly those who visibly look under the age of 18 - are registered and on the company payroll</t>
  </si>
  <si>
    <t>Lower</t>
  </si>
  <si>
    <t xml:space="preserve">Forced labour </t>
  </si>
  <si>
    <t>All workplaces</t>
  </si>
  <si>
    <t>Farm management</t>
  </si>
  <si>
    <t>Does the farm use labour providers to recruit any workers?</t>
  </si>
  <si>
    <t xml:space="preserve">1. Farm must ensure that any labor providers used are licensed or certified by the appropriate government authority, if one exists.
</t>
  </si>
  <si>
    <t>1. Farms must have written contracts with each labor provider, requiring that labor providers abide by RA worker protection standards.
2. When possible, farms should directly contract workers who are recruited by labor providers.
3. For workers whose direct employer is a labor provider, the Assess &amp; Address monitoring system should check periodically with some of these workers to ensure that their pay, working conditions, etc. are as promised by the labor provider.
4. Workers recruited through labor providers should be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</si>
  <si>
    <t>No further action.</t>
  </si>
  <si>
    <t>1. Farms must ensure that workers have written or verbal contracts in place according to requirement 3.3.1.
2. When calculated by volume, workers' pay must equal at least the minimum wage based on a 48-hour working week or national legal working hours limit.
3. Deductions from wages for costs such as employer-provided housing or food must only be taken with workers' consent.
4. Workers must be paid at least monthly.
5. Workers must be provided pay slips showing hours worked (regular and overtime) and/or volume produced, calculation of wages and deductions, and wages paid.</t>
  </si>
  <si>
    <t>1. Management should confirm that personnel responsible for wage payment are correctly trained in calculations and requirements.
2. Management should make available personnel who speak the appropriate languages to explain/answer workers' questions about wage calculations and pay slips.
3. Management should assign responsibility to a member of staff to conduct a periodic review of pay records to identify instances of underpayment, delayed payment, and other inconsistencies.</t>
  </si>
  <si>
    <t>Are security guards present on the farm/group premises?</t>
  </si>
  <si>
    <t xml:space="preserve">1. Farms must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t>
  </si>
  <si>
    <t>1. The Assess &amp; Address monitoring system, working with other committees such as the Gender Committee, should periodically check with workers to see if they feel threatened by security guards.</t>
  </si>
  <si>
    <r>
      <t xml:space="preserve">Non-local workers are included among the workforce 
</t>
    </r>
    <r>
      <rPr>
        <sz val="10"/>
        <color rgb="FFFF0000"/>
        <rFont val="Calibri"/>
        <family val="2"/>
        <scheme val="minor"/>
      </rPr>
      <t>How will we know this; is it a question in the registry?</t>
    </r>
  </si>
  <si>
    <t>Are any workers recruited/provided to the farm by military or prison officials?</t>
  </si>
  <si>
    <t>No further actions.</t>
  </si>
  <si>
    <t>1. Military officials mobilizing military personnel to perform agricultural labor is a form of forced labor.  Farms must not utilize this type of labor.
2. Farms must ensure that any prisoners working on the farm have freely provided their consent to work. 
3. Prison labor must be treated the same as all other workers with respect to contracts, pay, working conditions, and all other worker protections in the RA standard.</t>
  </si>
  <si>
    <t>1. The Assess &amp; Address monitoring system should periodically check with prison laborers to ensure they are receiving the same treatment as other workers.</t>
  </si>
  <si>
    <t>1. Farms should not require workers to pay any type of deposit or provide any personal document to management, other than to confirm identity at the time of hiring.</t>
  </si>
  <si>
    <t>1. The Assess &amp; Address monitoring system, working with other committees such as the Grievance Committee, should periodically check with workers to see if they have had to pay deposits or hand over documents.
2. In instances where workers prefer to provide documents or other belongings to management for safe keeping, management must ensure that workers have permanent, unrestricted access to these locations.</t>
  </si>
  <si>
    <t>Living Wage</t>
  </si>
  <si>
    <t>Group management; medium/large estate management</t>
  </si>
  <si>
    <t>Does the business have a constant production level or are there peaks of production over a year (high and low production seasons)?</t>
  </si>
  <si>
    <t>If No, the business needs to set in place a system to start collecting the necessary data about types of workers.</t>
  </si>
  <si>
    <t>If there were variations in production levels during the year, what is the number of months per year with average production, high peaks, and low peaks?</t>
  </si>
  <si>
    <t>See above.</t>
  </si>
  <si>
    <t>Does your business hav a  piece-rate payments or periods of time, or a combination
of both type of structure?</t>
  </si>
  <si>
    <t>Yes/No</t>
  </si>
  <si>
    <t>If No, the business needs to set in place a system for collecting the necessary data about types of workers.</t>
  </si>
  <si>
    <t>What is the difference between this question and the question in row 82?</t>
  </si>
  <si>
    <r>
      <t xml:space="preserve">Do you know what is the total number of men and women who occupy each type of position (averaged throughout the year)? </t>
    </r>
    <r>
      <rPr>
        <sz val="10"/>
        <color rgb="FF000000"/>
        <rFont val="Calibri"/>
        <family val="2"/>
      </rPr>
      <t>-&gt; to gender</t>
    </r>
  </si>
  <si>
    <t>If no, business sets a system in place to collect gender disaggregated data on type of positions.</t>
  </si>
  <si>
    <t xml:space="preserve">Align with the gender questions. </t>
  </si>
  <si>
    <t>Do you keep record of the type of unit against which payments are made?  For example, the units for positions with piece-rate; payment schemes could be hectares, linear meters, production volume (e.g., boxes, kilograms), and others. For other positions, the unit of payment may be hour, day, week, or month.</t>
  </si>
  <si>
    <t>If No, business sets a system in place to collect data for the type of unit against which payments are made for all major types of workers.</t>
  </si>
  <si>
    <t>Does the farm collect data on the amount paid in local currency per unit worked for each type of position in the form of values based on gross wages paid per unit?</t>
  </si>
  <si>
    <t>Can the farm calculate the Average number of units that are worked in a day for each type of position (for high, low, and average periods, if applicable)?</t>
  </si>
  <si>
    <t>What do you want to achieve with this one? Is it that management should have records on payments?</t>
  </si>
  <si>
    <t>Does the farm collect data on Average hours per day worked for each type of position (for high, low, and average periods, if applicable)?</t>
  </si>
  <si>
    <t>Does the farm collect data on Average hours per week worked for each type of position (for high, low, and average periods, if applicable)</t>
  </si>
  <si>
    <t>Does the farm collect data on Average amount of monthly bonuses granted for each type of position if bonuses for performance or quality that depend directly on the worker exist?</t>
  </si>
  <si>
    <t>Does your company provide subsidizedor donated food services to workers?</t>
  </si>
  <si>
    <t>Does your company provide subsidized or donated food services to workers?</t>
  </si>
  <si>
    <t>As the living wage benchmark reports do not stipulate a specific amount for transportation from home to the workplace and vice versa, there is no explicit reference value for this benefit, so the average monthly amount paid by
the company to provide this service to each worker is included in the analysis</t>
  </si>
  <si>
    <t>Does your company provide donated health care services to workers? Does the medical service provided by the company cover all medical consultation expenses not covered by
public health entities?</t>
  </si>
  <si>
    <t>If the answer to all these questions is yes, then the reference amount associated with expenses for private medical services is factored into the calculations according to the living wage benchmark report for the area.</t>
  </si>
  <si>
    <t>Does your company donate packages of school supplies for the workers’ children?</t>
  </si>
  <si>
    <t xml:space="preserve">If the amount paid by the company for the purchase of school supplies is less than the reference value according to the living wage benchmark report for the area, the actual amount paid by the company (divided by 12 months) is included in the analysis. If the amount paid by the company is greater than the reference value according to the living wage benchmark report, it should be noted that the purchased items are in accordance with the official lists recommended by the relevant authorities (e.g., ministries of education). </t>
  </si>
  <si>
    <t xml:space="preserve">Does your company provide family housing for its workers?
 </t>
  </si>
  <si>
    <t>If Yes, only family homes provided by the company that comply with decent housing standards are included. The reference value for renting a decent home in the area is included in the Matrix. If the company covers the costs associated with maintenance
and public services, then the reference values for for renting a decent home in the
area is included in the Salary Matrix tool.</t>
  </si>
  <si>
    <t>Overlap</t>
  </si>
  <si>
    <t>Gender</t>
  </si>
  <si>
    <t>Gender Training for Leadership</t>
  </si>
  <si>
    <t>Have management, supervisors and/or internal inspectors been trained in the past year on gender equality?</t>
  </si>
  <si>
    <t xml:space="preserve">Train management, supervisors, internal inspectors annually on issues related to gender equality and women’s empowerment (maternity leave, sexual harassment…), AND/OR
train management, supervisors, internal inspectors on gender bias in hiring, promotion, and employee engagement, AND/OR
make gender-related trainings (e.g. sexual harassment, discrimination, gender equality or gender bias) a requirement for all management, supervisors, and internal inspectors
</t>
  </si>
  <si>
    <t>Has management undertaken significant action in the past to address gender equality and/or women empowerment?</t>
  </si>
  <si>
    <t xml:space="preserve">Formulation of a policy on gender equality and women’s empowerment which will be shared with the rest of the workers AND/OR
Stakeholder mapping of gender related (human rights) organizations that could support addressing gender within workers, AND/OR
Ensure that management and/or other high-level functions are accountable for meeting the gender plan targets
</t>
  </si>
  <si>
    <t>Are women currently represented significally in relation to their number amongst supervisors, management and other high level functions within the farm?</t>
  </si>
  <si>
    <t>-establish a minimum quota for female trainers, supervisors, management and other high level functions AND/OR
- organize professional training targeted at female workers to improve their opportunities for higher level jobs AND/OR
-make sure that job advertisement reach male AND female workers and that job requirements are achievable for female workers
- give in person training to management staff invovled in recruitment on unconscious bias and methodologies to prevent gender based discriminatory practices</t>
  </si>
  <si>
    <t>Do you know what is the total number of men and women who occupy each type of position (averaged throughout the year)?</t>
  </si>
  <si>
    <t>yes/no</t>
  </si>
  <si>
    <t>C. Environment</t>
  </si>
  <si>
    <t>Forests and Protected Areas 4.1</t>
  </si>
  <si>
    <t>Ensure that producers and workers know that native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</si>
  <si>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HCV</t>
  </si>
  <si>
    <t>Farmers that are within X km of a protected area</t>
  </si>
  <si>
    <t>High Conservation Value Areas (HCV)</t>
  </si>
  <si>
    <t>bla</t>
  </si>
  <si>
    <t>. Is the farm (or any farm in a group) located closer than 5 km to an Intact Forest Landscape?</t>
  </si>
  <si>
    <t>Yes/No --&gt; if yes --&gt;</t>
  </si>
  <si>
    <r>
      <t xml:space="preserve">List all activities by farmers (and any resident staff) that involve tree felling, clearing or burning of vegetation, cattle-grazing, and hunting/collection in the wider landscape outside the farm, </t>
    </r>
    <r>
      <rPr>
        <sz val="10"/>
        <color rgb="FFFF0000"/>
        <rFont val="Calibri"/>
        <family val="2"/>
        <scheme val="minor"/>
      </rPr>
      <t>and stop or redirect</t>
    </r>
    <r>
      <rPr>
        <sz val="10"/>
        <color theme="1"/>
        <rFont val="Calibri"/>
        <family val="2"/>
        <scheme val="minor"/>
      </rPr>
      <t xml:space="preserve"> any activity that may degrade the structure or species composition of an IFL. </t>
    </r>
  </si>
  <si>
    <t xml:space="preserve">TIFFANY: this is not MVP for geosaptial analysis, focus is on deforestation and PA </t>
  </si>
  <si>
    <t>Is the farm (or any farm in a group) located in or closer than 2 km to a designated Protected Area (PA), a Key Biodiversity Area (KBA), a Ramsar site or a UNESCO World Heritage site</t>
  </si>
  <si>
    <t>•	respect the borders and integrity of the area;
•	comply with all applicable legal requirements and provisions – general national legislation related to PAs and their buffer zones as well as any specific regulations for the area; 
•	do not threaten the main conservation attributes of the area, i.e. the values for which the area has been protected or classified as a PA, KBA or Ramsar site</t>
  </si>
  <si>
    <t>Do you use communal lands for purposes related to farming, e.g. cattle grazing, timber collection, or hunting?</t>
  </si>
  <si>
    <t>a) Identify and describe all current or planned practices related with farming, including for the certified crops, livestock, construction, etc that use resources from communal lands; 
b) Evaluate if farming-associated activities impact on the vegetation structure or on the community’s land-uses;
c) Seek ways to reduce negative impacts and avoid relying on the resources of communal lands when expanding or diversifying farming activities</t>
  </si>
  <si>
    <t>Is the farm, or farm group, larger than 10,000 hectares, and is the answer ‘Yes’ to questions 1, 2, or 3?</t>
  </si>
  <si>
    <t>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develop your management and monitoring plan in collaboration with the affected communities.</t>
  </si>
  <si>
    <t>Native Vegetation</t>
  </si>
  <si>
    <t xml:space="preserve">Native Vegetation </t>
  </si>
  <si>
    <t xml:space="preserve">Do all on-farm natural ecosystems, including hedges, tree lines, riparian buffers, and forest contain native vegetation? </t>
  </si>
  <si>
    <t>Maintain existing native vegetation; Ensure that the total farm area with native vegetation meets the criteria in 4.2.2-4.2.6</t>
  </si>
  <si>
    <t xml:space="preserve">Identify appropriate native species that can be planted to increase the proportion of native vegetation in on-farm natural ecosystems including forests, riparian buffers, hedges, and tree lines. </t>
  </si>
  <si>
    <t>Natural Ecosystems</t>
  </si>
  <si>
    <t>All CHs with on-farm forest</t>
  </si>
  <si>
    <t>Does the forest resemble natural forest in terms of canopy cover, forest strata, and the presence of vines or lianas? See document titiled Guidance on Implementing 4.1-4.3 for more information on measuring forest quality.</t>
  </si>
  <si>
    <t>All CHs with on-farm wetlands</t>
  </si>
  <si>
    <t>Do wetlands store or convey flood waters at any time of the year?</t>
  </si>
  <si>
    <t>All CHs with on-farm grassland/rangeland or non-natural desert</t>
  </si>
  <si>
    <t xml:space="preserve">Do grassland/rangeland or non-natural desert areas contain large bare areas that are at risk of eroding into nearby waterways? </t>
  </si>
  <si>
    <t>All CHs with permanently fallow land</t>
  </si>
  <si>
    <t>Are trees regenerating naturally on permanently fallow land?</t>
  </si>
  <si>
    <t>All CHs with multiple areas of natural ecosystem</t>
  </si>
  <si>
    <t>Are the areas of natural ecosystem connected by landscape corridors?</t>
  </si>
  <si>
    <t>Plan to connect existing ecosystem fragments with habitat or landscape corridors. Maintain and enhance buffer zones around existing ecosystem fragments to prevent encroachment of farm activities and enforce agrochemical "non-application zones".</t>
  </si>
  <si>
    <t>Deforestation/conversion</t>
  </si>
  <si>
    <t>Harvesting in Forests</t>
  </si>
  <si>
    <t>Is there any harvesting of forestry products, including wood and non-timber forestry products, from natural ecosystems on the group of farms?</t>
  </si>
  <si>
    <t>Describe the harvesting activities and include a plan for sustainable continuation of these practices. Identify any potential threats to the quality or spatial extent of the natural ecosystems resulting from harvesting practices.</t>
  </si>
  <si>
    <t>Are producers aware of the risks and impacts that climate change poses to livelihoods and production systems?</t>
  </si>
  <si>
    <t>Yes/No --&gt; if no --&gt;</t>
  </si>
  <si>
    <t>Awareness raising on climate change risks and their impacts on agriculutral production systems and livelihoods more broadly.</t>
  </si>
  <si>
    <t>Have producers identified the most significant climate change threats/risks/impacts (current and projected) on livelihood resources and farming systems?</t>
  </si>
  <si>
    <t>a) Carry out a climate change risk assesment to identify and describe the most significant cimate risks based on RA CC risk assessment tool.</t>
  </si>
  <si>
    <t>Does a risk managament plan exist and have the identified risks and impacts (current and projected) been taken into account?</t>
  </si>
  <si>
    <t>a) Develop a farm map identifying most at risk areas based on identified climate impacts;                               b) Develop mitigation strategies to address identified risk as they relate to other standard criteria e.g. soil management;                                                                                                                                                                           c) Develop mitigation strategies to address identified risk as they relate to other livelihood strategies i.e. opportunties for diversification so that people are managing risk by planning for and investing in the future.</t>
  </si>
  <si>
    <t xml:space="preserve">Do producers have access to relevant climate change information, skills and services to develop and employ adaptation strategies?  </t>
  </si>
  <si>
    <r>
      <rPr>
        <b/>
        <sz val="10"/>
        <color theme="1"/>
        <rFont val="Calibri"/>
        <family val="2"/>
        <scheme val="minor"/>
      </rPr>
      <t>Initial Risk Assessment</t>
    </r>
    <r>
      <rPr>
        <sz val="10"/>
        <color theme="1"/>
        <rFont val="Calibri"/>
        <family val="2"/>
        <scheme val="minor"/>
      </rPr>
      <t>: the initial risk assessment is a set of questions a group or estate management shall answer before implementation of the certification program in order to have an indication on topics that require special attendion during planning and implementation of the program. E.g. topics that need to be covered in the trainings, topics that require special attention during internal inspections etc. 
-What topics do we want to include in the initial risk assessment? 
-Who can provide the questions per topic?</t>
    </r>
  </si>
  <si>
    <t>Requirement</t>
  </si>
  <si>
    <t>Feeds into: internal inspections</t>
  </si>
  <si>
    <t>High/Medium/Low</t>
  </si>
  <si>
    <t>Feeds into: management plan</t>
  </si>
  <si>
    <t>Level 0</t>
  </si>
  <si>
    <t>Level 1</t>
  </si>
  <si>
    <t>Level 2</t>
  </si>
  <si>
    <t>Level 3</t>
  </si>
  <si>
    <r>
      <t xml:space="preserve">(1.3.5) Management conducts a risk assessment in relation to the criteria in this standard for their group/farm at least every three years, including at least the risks associated with:
</t>
    </r>
    <r>
      <rPr>
        <b/>
        <sz val="10"/>
        <color rgb="FFFF0000"/>
        <rFont val="Calibri"/>
        <family val="2"/>
        <scheme val="minor"/>
      </rPr>
      <t>-Traceability</t>
    </r>
    <r>
      <rPr>
        <b/>
        <sz val="10"/>
        <color theme="1"/>
        <rFont val="Calibri"/>
        <family val="2"/>
        <scheme val="minor"/>
      </rPr>
      <t xml:space="preserve">
- Social risks including child labor, forced labor and workplace harassment and violence
- Agrochemicals management
- Deforestation and biodiversity loss
- Economic fluctuations or shocks 
- Climate change, extreme weather, environmental hazards</t>
    </r>
  </si>
  <si>
    <t>(1.3.1) An internal inspection system is in place to assess compliance of group members with the Rainforest Alliance standard. 
...
- consecutive years:
     - scope of inspection is based on risk assessment and on previous inspections</t>
  </si>
  <si>
    <r>
      <t xml:space="preserve">(1.4.1) Management makes a management plan, describing improvement areas, actions to be taken, services to be delivered and usage of Premium. The management plan is based on at least, but not limited to, </t>
    </r>
    <r>
      <rPr>
        <b/>
        <sz val="10"/>
        <color rgb="FFFF0000"/>
        <rFont val="Calibri"/>
        <family val="2"/>
        <scheme val="minor"/>
      </rPr>
      <t xml:space="preserve">the internal inspection </t>
    </r>
    <r>
      <rPr>
        <b/>
        <sz val="10"/>
        <color theme="1"/>
        <rFont val="Calibri"/>
        <family val="2"/>
        <scheme val="minor"/>
      </rPr>
      <t>(1.3.1) and risk assessment (1.3.5). Actions are implemented, monitored, and documented. The management plan is updated at least every three years.</t>
    </r>
  </si>
  <si>
    <t>No PDCA: Lack of documentation (processes and policies). No structure or formalized organization.</t>
  </si>
  <si>
    <t>Reactive, but documented (PDCA): Documentation exists with an informal structure implementing the processes and policies. Implementation occurs in reaction to the system, as no planning was taken into account when policies and process were developed.</t>
  </si>
  <si>
    <t>Proactive (PDCA): Formal documentation and structure to implement policies and processes, stakeholder involvement and planning has been involved during the development of the policies and processes. Post-implementation, there was a lack of evaluation and learning.</t>
  </si>
  <si>
    <t>Continuous improvement (PDCA): Formal documentation and structure to implement policies and processes, stakeholder involvement and planning has been involved during the development of the policies and processes. Post-implementation, activities were checked, evaluated and monitored to ensure that learning and improvement takes place.</t>
  </si>
  <si>
    <t>This page has:</t>
  </si>
  <si>
    <t>A. Management (see capacity assessment tool?)</t>
  </si>
  <si>
    <t>Topic</t>
  </si>
  <si>
    <t>Question applicable to (Group Managemet, medium/large estate management, group member during internal inspections)</t>
  </si>
  <si>
    <t>If yes, should show in Mitigation Actions</t>
  </si>
  <si>
    <t>Supporting documents /  evidence:</t>
  </si>
  <si>
    <t>Selection</t>
  </si>
  <si>
    <t>Weighted</t>
  </si>
  <si>
    <t>Maximum</t>
  </si>
  <si>
    <t>A.</t>
  </si>
  <si>
    <t>Group management capacity</t>
  </si>
  <si>
    <t>Economic fluctuations or shocks</t>
  </si>
  <si>
    <t>CH management</t>
  </si>
  <si>
    <t>Do you/will you make use of intermediaries in your supply chain?</t>
  </si>
  <si>
    <t xml:space="preserve">Set up a clear traceability flow, that includes the documented and physical traceability rules for all actors (farmer, intermediary, CH management).
Train the intermediaries on traceability.
Monitor traicability and record keeping at intermediaries (during the harvest period). </t>
  </si>
  <si>
    <t xml:space="preserve">B.  </t>
  </si>
  <si>
    <t>Agrochemical management</t>
  </si>
  <si>
    <t>Farm level</t>
  </si>
  <si>
    <t>Review the Rainforest Alliance list of banned agrochemicals. Is it common practice in the region to use one or more of the agrochemicals from the banned pesticide list?</t>
  </si>
  <si>
    <t xml:space="preserve">Group member training on the prohibition of the use of banned agrochemicals, and which ones those are. 
Include verification on use of banned agrochemicals in internal inspections. 
Monitoring of use of banned agrochemicals during application period. 
Note: farmers that have used banned agrochemicals for the harvest to be certified cannot be included in the certification and have to wait for the next harvest cycle to apply again. </t>
  </si>
  <si>
    <t>C. Working Conditions</t>
  </si>
  <si>
    <t xml:space="preserve">C.  </t>
  </si>
  <si>
    <t>Group members</t>
  </si>
  <si>
    <t>If you hire labor (beyond family labor), are any of the workers from historically discriminated groups (indigenous communities, minorities, lower castes etc.)?</t>
  </si>
  <si>
    <t>Ensure that all workers receive equal pay for jobs of equal value.
Ensure that all workers understand the working conditions if needed by explaining in their own language.</t>
  </si>
  <si>
    <t>Is it possible that any of the group members hires labor (beyond family labor), are any of the workers from historically discriminated groups (indigenous communities, minorities, lower castes etc.)?</t>
  </si>
  <si>
    <t>Do you have any female workers beyond family labor?</t>
  </si>
  <si>
    <t>Ensure that a registry is kept, also if they are casual workers, indicating their sex.
Ensure that they understand the working conditions, including remuneration level and other benefits, if needed by explaining in their own language.</t>
  </si>
  <si>
    <t>Is it possible that any of the group members hires any female workers beyond family labor?</t>
  </si>
  <si>
    <t>Forced Labor</t>
  </si>
  <si>
    <t>Is it possible that there migrant workers (including seasonal and temporary) working on any of the farms?</t>
  </si>
  <si>
    <t>Ensure that migrant workers have safe place to keep their identity and other important documents, which is accessible to them at all times.</t>
  </si>
  <si>
    <t>Is it possible that there are workers on any of the farms who were recruited by a third-party labor provider?</t>
  </si>
  <si>
    <t>Maintain records of which workers were recruited by which labor provider. 
Ensure that written contracts are in place between the farm/group and each labor provider, specifying that providers must abide by all Rainforest Alliance standards and that the workers they recruit must not pay any recruitment fees.
Ensure that workers are always paid their wages directly, not indirectly through a third party.</t>
  </si>
  <si>
    <t>Is it possible that workers on any of the farms have paid a recruitment fee to labor providers or other actors in the recruitment chain?</t>
  </si>
  <si>
    <t>In the hiring process, integrate a process to ask workers whether they hold any recruitment-related debt.</t>
  </si>
  <si>
    <t>Is it possible that any workers are lacking a written contract, or documented verbal agreement?</t>
  </si>
  <si>
    <t>Group members work towards signing direct contracts/verbal agreements with permanent workers and workers who are employed for more than 3 consecutive months.</t>
  </si>
  <si>
    <t>Is it possible that any workers are directly employed by labor providers (contract signed between worker and labor provider)?</t>
  </si>
  <si>
    <t>Do hired workers receive food, housing, and/or transportation provided by the farmer/group management?</t>
  </si>
  <si>
    <t>Ensure that workers' contracts/records of verbal agreements specify the in-kind benefits they will receive and specific cost deductions that will be taken for them.  In-kind benefits must be in accordance with national law, and never exceed 30% of the total remuneration.</t>
  </si>
  <si>
    <t>@Lennie: It would.  But isn't that OK?  If this tool helps a farmer identify an actual gap, it also helps the farmer remediate that gap.</t>
  </si>
  <si>
    <t>Eliminate any restrictions on workers' freedom of movement outside their working hours. Allow workers to maintain possession of their mobile phones and other communication devices.</t>
  </si>
  <si>
    <t>Do workers ever wait longer than 1 month to be paid?</t>
  </si>
  <si>
    <t>Ensure that workers are paid regularly at scheduled intervals, at least monthly. Payments must be documented with a pay slip or other suitable wage record to allow verification.</t>
  </si>
  <si>
    <t>Do workers ever receive advances or loans from the farm/group?</t>
  </si>
  <si>
    <t>Ensure that advances/loans amount to no more than 1-2 months' salary and that repayment terms are reasonable (no higher than prevailing market interest rates), documented, and agreed by both parties.</t>
  </si>
  <si>
    <t>Child Labor</t>
  </si>
  <si>
    <t>Is pre-school education and/or day care freely available for children in this community?</t>
  </si>
  <si>
    <t>Check if pre-school age children are taken on to farms and if so, if there is a safe place for them to be.</t>
  </si>
  <si>
    <t>Talk to parents and guardings about risk of children being on farms and work with farm owners and local organisations to find suitable and safe places for children to be when parent’s work.</t>
  </si>
  <si>
    <t>Does this community lack sufficient primary and secondary schools to educate all children?</t>
  </si>
  <si>
    <t>As a longer-term measure, engage with external actors to obtain support to improve school access.</t>
  </si>
  <si>
    <t>If there are schools in the community, do they charge any formal or informal fees to enroll children, or are there costs associated with education including books, uniform, transport, etc.?</t>
  </si>
  <si>
    <t>As a longer-term measure, engage with external actors to obtain support for children whose families cannot afford these costs.</t>
  </si>
  <si>
    <t>If schools are available in the community, do parents keep children home from school in order to work or do household tasks; and/or do older children drop out of school to work?</t>
  </si>
  <si>
    <t>Raise awareness among workers/members/families of the importance of sending children to school and the Rainforest Alliance requirement against child labor.</t>
  </si>
  <si>
    <t>Is it considered normal in this community for children to work in farming?</t>
  </si>
  <si>
    <t>Harassement and Violence</t>
  </si>
  <si>
    <t>If you hire labor (beyond family labor), are there female workers between them who work without the presence of their partner or another relative who work with male workers?</t>
  </si>
  <si>
    <t>Ensure that female workers work together, if possible, with a female supervisor.</t>
  </si>
  <si>
    <t>If you hire labor (beyond family labor), are there young workers (below 21) who work without the presence of a family member?</t>
  </si>
  <si>
    <t>Ensure that young workers work in a safe environment, in a group, if possible with a female supervisor.</t>
  </si>
  <si>
    <t>Do you have female and/or young workers amongst your hired labor (beyond family labor) who work in an isolated environment?</t>
  </si>
  <si>
    <t>Ensure that they work in groups with at least several women, if possible with a female supervisor.</t>
  </si>
  <si>
    <t>Have all supervisors been trained on appropriate behavior and the procedures that are in place to address inappropriate behavior towards other workers?</t>
  </si>
  <si>
    <t>Company supervisors are trained to use appropriate disciplinary techniques and procedures. A policy is in place to suspend or terminate supervisors who do not adhere to these techniques and procedures.</t>
  </si>
  <si>
    <t>Does the farm/group hire security guards to protect the premises?</t>
  </si>
  <si>
    <t>Ensure that workers are able to come and go from the farm without intimidation from security guards.  Train security guards on proper conduct including a prohibition on threats and bribery.</t>
  </si>
  <si>
    <t>Do workers lack awareness of how they can raise concerns about any labor abuses?</t>
  </si>
  <si>
    <t>Distribute information within the group/farm and/or conduct trainings for workers on the use and functioning of the grievance mechanism and the presence and functions of the pp/committee for human rights issues.</t>
  </si>
  <si>
    <t>Do workers/member farmers lack awareness of the concepts of discrimination, forced labor, child labor, and workplace harassment and violence and the difference between acceptable and unacceptable behavior.</t>
  </si>
  <si>
    <t>Inform workers in their own language on concepts, acceptable behavior, rights and procedures in place regarding the four topics.</t>
  </si>
  <si>
    <t>C.</t>
  </si>
  <si>
    <t>Will the gender plan elaborated with the outcomes of this assessment be incorporated in the general management plan?</t>
  </si>
  <si>
    <t>Share the outcomes of this gender analysis with group/farm management. Elaborate the gender plan in coordination with group/farm management and have it incorporated in the general management plan</t>
  </si>
  <si>
    <t>Ensure that progress of the gender plan will be frequently discussed in the management meetings</t>
  </si>
  <si>
    <t>Does farm/group management understand the concepts of sex, gender,and gender equality?</t>
  </si>
  <si>
    <t>Organize awareness sessions with management on concepts and importance of gender equality and related issues</t>
  </si>
  <si>
    <t>Is monitoring with sex-disaggregated data carried out for (elected) leadership positions, participation in training, access to loans for farm investments, diversification, workers wages (SH) or for workers, workers wages, access to supervisory, f/m in workers union, f/m in supervisory or management positions... (M/LF)</t>
  </si>
  <si>
    <t>Introduce monitoring with sex-disaggregated data and make sure that the collected data are shared with the person/committee responsible for gender.</t>
  </si>
  <si>
    <t>Do men and women have an equal role in decision making?</t>
  </si>
  <si>
    <t>Raise awareness about importance to include more women (or men) in decision making positionsOrganize leadership trainings for womenFacilitate participation of women in meetings by adjusting location, timing, etc.</t>
  </si>
  <si>
    <t>Are supervisory and management jobs and other better paid jobs accessible for men and women?</t>
  </si>
  <si>
    <t>Ensure that job requirements can be fulfilled by both men and women where possibleOffer additional training on management, administration and other topics for women to facilitate their access to better paid jobs</t>
  </si>
  <si>
    <r>
      <t>CH management</t>
    </r>
    <r>
      <rPr>
        <sz val="10"/>
        <color rgb="FFFF0000"/>
        <rFont val="Calibri"/>
        <family val="2"/>
        <scheme val="minor"/>
      </rPr>
      <t>/group members</t>
    </r>
  </si>
  <si>
    <r>
      <t xml:space="preserve">Are trainings </t>
    </r>
    <r>
      <rPr>
        <sz val="10"/>
        <color rgb="FFFF0000"/>
        <rFont val="Calibri"/>
        <family val="2"/>
        <scheme val="minor"/>
      </rPr>
      <t>(for farmers and CH staff?)</t>
    </r>
    <r>
      <rPr>
        <sz val="10"/>
        <color theme="1"/>
        <rFont val="Calibri"/>
        <family val="2"/>
        <scheme val="minor"/>
      </rPr>
      <t xml:space="preserve"> considering the needs and interests of both men and women?</t>
    </r>
  </si>
  <si>
    <t>Do assessment for training and organize training on topics on basis of its outcomesFacilitate participation of women by adjusting location, timing, use of female facilitators, local language...Train women to become internal inspector or trainer</t>
  </si>
  <si>
    <t>Do women and men receive the same remuneration and benefits related to a job of equal value?</t>
  </si>
  <si>
    <t>Ensure that all workers have access to information about the wages and benefits that relateto different job types in their own languageEnsure that jobs of equal value receive equal pay and benefits</t>
  </si>
  <si>
    <t>Do women and men have the same access to farmers' cooperative? (SH)</t>
  </si>
  <si>
    <t>Promote members registration as a coupleUse agricultural activities as a criterion to become a member, instead of landownershipFacilitate female farmers registration by offering a reduction of memberships fee Approach female farmers personally to invite them to becomemember</t>
  </si>
  <si>
    <t>Do female and male workers have the same access to workers union? (M/LF)</t>
  </si>
  <si>
    <t>Promote female workers participation by training, awareness raising of male leaders and workers, personal invites, target setting</t>
  </si>
  <si>
    <t>Do female and male farmers have the same access to inputs and services like loans for agricultural investment, seedlings, information, etc.? (SH)</t>
  </si>
  <si>
    <t>Ensure that male and female farmers are aware of inputs and services being offered and know where and how to access themEnsure that measures are in place to facilitate access of female farmers to inputs and services taking into account their time poverty and lack of means of transport (time and place of reception, required documents, etc.)Monitor the reception of inputs and services with sex-disaggregated data, identify gaps</t>
  </si>
  <si>
    <t>Do female and male workers have the same access to inputs and services like training, health services, benefits</t>
  </si>
  <si>
    <t>Ensure that male and female farmers are aware of inputs and services being offered and know where and how to access themEnsure that measures are in place to facilitate access of female farmers to inputs and services taking into account their time poverty and lack of means of transport (time and place of reception, required documents, etc.). Monitor the reception of inputs and services with sex-disaggregated data, identify gaps.</t>
  </si>
  <si>
    <t xml:space="preserve">D. </t>
  </si>
  <si>
    <t>Deforestation and Biodiversity (Align with work of Tiffany)</t>
  </si>
  <si>
    <t>Group management</t>
  </si>
  <si>
    <t>Is there a map in place that outlines natural forests and other natural ecosystems (such as savanna, wetlands, peatlands), production areas, protected areas and set-aside land, and rivers?</t>
  </si>
  <si>
    <t>Concerning group members</t>
  </si>
  <si>
    <t xml:space="preserve">Is it probable that there producers that have borders to forests, protected areas and rivers? </t>
  </si>
  <si>
    <t>Awareness raising of the requirements related to these – no degradation of forests, protected areas and natural ecosystems, no-application zones of pesticides and riparian buffer zones?</t>
  </si>
  <si>
    <t>Is it likely producers are not aware that the should maintain natural vegetation on the farm?</t>
  </si>
  <si>
    <t xml:space="preserve">Awareness raising of producers on maintenance of natural vegetation on the farm. </t>
  </si>
  <si>
    <t>Is it likely that producers hunt on the farm?</t>
  </si>
  <si>
    <t xml:space="preserve">Awareness raising of producers on hunting requirements. </t>
  </si>
  <si>
    <t>Are there any endangered species in the area? And if so, do you think that farmers are aware of the endangered species there are and how to protect them?</t>
  </si>
  <si>
    <t>Awareness raising on endangered species and how to protect them.</t>
  </si>
  <si>
    <t>Main aspects based on AMEA guidelines:</t>
  </si>
  <si>
    <t>A. Organizational purpose and Governance practices</t>
  </si>
  <si>
    <t>B. Business management</t>
  </si>
  <si>
    <t>C. Member engagement and planning</t>
  </si>
  <si>
    <t>D. Human resource management</t>
  </si>
  <si>
    <t>E. Financial management</t>
  </si>
  <si>
    <t>F. Community and stakeholder engagement</t>
  </si>
  <si>
    <t>G. Member services and business activiies</t>
  </si>
  <si>
    <t>Red</t>
  </si>
  <si>
    <t>From the AMEA guidelines</t>
  </si>
  <si>
    <t>Yellow</t>
  </si>
  <si>
    <t>From the M4 tool</t>
  </si>
  <si>
    <t>Wit:</t>
  </si>
  <si>
    <t>From the NewForesight tool</t>
  </si>
  <si>
    <t>Beige:</t>
  </si>
  <si>
    <t>From the Adore tool</t>
  </si>
  <si>
    <t>Certification option (group or large estate)</t>
  </si>
  <si>
    <t xml:space="preserve">Which CHs does this apply to? </t>
  </si>
  <si>
    <t>All Farmer Groups</t>
  </si>
  <si>
    <t>Management capacity</t>
  </si>
  <si>
    <t xml:space="preserve">Based on the outcomes of the capacity assessment tool, have you identified areas to improve? If yes, please indicate which actions you want to take for the applicable areas of the 7 areas included in the Capacity Assessment Tool. </t>
  </si>
  <si>
    <t>Do you/will you make use of intermediaries* in your supply chain?</t>
  </si>
  <si>
    <t>Include all intermediaries in your traceability procedure. Train the intermediaries on traceability. Monitor traceability, calibration of scales and record keeping at intermediaries (during the harvest period) and cross-check with information of sales from a sample of producers. If intermediaires are paid according to weight bought in, mitigation should include regular verification of scales.</t>
  </si>
  <si>
    <t xml:space="preserve">Include record keeping in training plan.
Monitor record keeping. </t>
  </si>
  <si>
    <t>Do you expect farmers to have difficulties keeping records?</t>
  </si>
  <si>
    <t>All farmer organizations</t>
  </si>
  <si>
    <t>Implement a system for identifying the products originating from certified producers by means of physical or visual identification and in the tracebaility documents (receipts, registry, etc.).</t>
  </si>
  <si>
    <t>Yield estimation</t>
  </si>
  <si>
    <t>Is there an important pressure on the land? Do farmers often divide or sell their land?</t>
  </si>
  <si>
    <t xml:space="preserve">Include assessment of the certified area for each producer in the yearly internal inspections to ensure that the areas in the group member administration match the reality of the farms. </t>
  </si>
  <si>
    <t>Information on harvested volumes based on deliveries might not be reliable, therefore, put a system in place to get information on harvested volumes (this can be done by asking  producers directly through out the year or during internal inspections).</t>
  </si>
  <si>
    <t xml:space="preserve">Guarantee that the farm managers is the same year after year through the internal inspections and that they are aware of the traceability requirements. Check if farm operator also manages non-certified farms and if so, encourage to include them in the certified group as well. </t>
  </si>
  <si>
    <t>Does the certified product need to be aggregated for processing?</t>
  </si>
  <si>
    <t>Mixing with non-certified products might occur to guarantee minimum volume for processing. 
Group management to put a control system to regularly check that product separation is respected (also at subcontractor level).</t>
  </si>
  <si>
    <t>Use of banned inputs</t>
  </si>
  <si>
    <t>Review the Rainforest Alliance list of banned agrochemicals: 
Is it common practice in the region to use one or more of the agrochemicals from the banned pesticide list, including on the non-certified crops on the farm?</t>
  </si>
  <si>
    <t xml:space="preserve">Group member training on the prohibition of the use of banned agrochemicals, and which ones those are. 
Group members trained on the risk of using highly hazardous agrochemicals.
Include verification on use of banned agrochemicals in internal inspections. 
Monitoring of use of banned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</si>
  <si>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Review the Rainforest Alliance list of banned agrochemicals: 
Is it common practice in the region to use one or more of the agrochemicals from the banned pesticide list?</t>
  </si>
  <si>
    <t>No specific mitigation action</t>
  </si>
  <si>
    <t xml:space="preserve">Review the Rainforest Alliance list of banned agrochemicals: 
If you are certified by other standards, are there any RA banned agrochemicals that are not banned under these other standards?  
</t>
  </si>
  <si>
    <t xml:space="preserve">Group member training on the prohibition of the use of banned agrochemicals, and which ones those are. 
up member training on the prohibition of the use of banned agrochemicals, and which ones those are. 
Group members trained on the risk of using highly hazardous agrochemicals.
Include verification on use of banned agrochemicals in internal inspections. 
Monitoring of use of banned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</si>
  <si>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Does your group already have an effective IPM system for the certified crop in place, including the identification and monitoring of pests?</t>
  </si>
  <si>
    <t>Make sure all members have the necessary knowledge and skills to apply IPM.</t>
  </si>
  <si>
    <t>Develop the IPM strategy for your crop, including the development of a pest monitoring system and the establishment of action thresholds. (May need to contact local university or extension service.)
Make sure all members have the necessary knowledge and skills to apply IPM.
Train members on record keeping.
Identify sources for the purchase of lower toxicity agrochemicals as well as non-chemical pest control products.</t>
  </si>
  <si>
    <t>Pesticide residues</t>
  </si>
  <si>
    <t>Do you or your buyer regularly check samples of the crop for residues of agrochemicals (MRL)?</t>
  </si>
  <si>
    <t>Make sure there is a good traceability system back to the producer</t>
  </si>
  <si>
    <t>Make sure there is a good traceability system back to the farm units
Identify a laboratory for residue analysis and set up a sampling system and procedure</t>
  </si>
  <si>
    <t>Are all workers/farmers spraying agrochemicals using the correct PPE at all times when they apply agrochemicals?</t>
  </si>
  <si>
    <t>Ensure availability of sufficient PPE for all those applying agrochemicals.
Develop and implement management policies on the correct use of PPE.
Make sure all those applying agrochemicals are trained on correct application of the agrochemicals and PPE.
up member training on the prohibition of the use of banned agrochemicals, and which ones those are. 
Group members trained on the risk of using highly hazardous agrochemicals.
For group, explore the option of developing spray teams to replace agrochemical application by individual group members.</t>
  </si>
  <si>
    <t>Soil conservation</t>
  </si>
  <si>
    <t>Water management</t>
  </si>
  <si>
    <t>Soil fertility</t>
  </si>
  <si>
    <t>Nutrient deficiencies</t>
  </si>
  <si>
    <t>Is soil testing being done to determine fertilizer application?</t>
  </si>
  <si>
    <t>Determine appropriate fertilizer (both organic and inorganic) application schemes.</t>
  </si>
  <si>
    <t>See if soil testing can be introduced or if nutrient deficiency can be otherwise  determined by observation in crop or vegetation</t>
  </si>
  <si>
    <t>KM: I have copied this from Indiv CH for trader led groups - important that on sites with more than x no of workers, this rule also applies. What is the no of workers this should apply from?</t>
  </si>
  <si>
    <t xml:space="preserve">Are any of the following groups present on or near the farm or group:
- Migrant workers (foreign or from within the country)
- Specific ethnic minority groups (any ethnicities which are not the largest ethnicity within the workforce)
-Indigenous groups (where applicable)
-Groups whose members do not speak the dominant language in the country &amp; region 
</t>
  </si>
  <si>
    <t>Assess whether members of these groups are group members, or workers on the farm,  or working with group members, or contracted as group staff
If this is the case, include unconscious bias and other anti discriminatory practices in the training and awareness raising of staff and management as required in 3.1.1 AND
- publish vacancies for management and supervisory functions in a language(s) and in places accessible for all</t>
  </si>
  <si>
    <t>Wording to be adjusted (needs to be easy to understand). What do we mean with underrepresented?</t>
  </si>
  <si>
    <t xml:space="preserve">If any of the following groups are present on the farm, have you undertaken action to fairly represent them amongst management, as internal inspector, or other decision making functions? : 
-Women -&gt; will go to gender questions
-Migrant workers (foreign or from within the country)
- Specific ethnic minority groups (any ethnicities which are not the largest ethnicity within the workforce)
-Indigenous groups (where applicable)
-Groups whose members do not speak the dominant language in the country &amp; region </t>
  </si>
  <si>
    <t>medium, High</t>
  </si>
  <si>
    <t/>
  </si>
  <si>
    <t xml:space="preserve">Has the group's leadership taken any targeted action to prevent violence and harassment (including sexual harassment)? </t>
  </si>
  <si>
    <t>This is the only appropriate formulation  for this question  - even still risk of false answers is high</t>
  </si>
  <si>
    <t>Med &amp; High</t>
  </si>
  <si>
    <t xml:space="preserve"> Implement at least one of the following measures:
- Training of trainers, internal inspectors and other persons in direct contact with members and their workers on respectful behavior and concepts of workplace violence and harassment
- training of workers on the topic on respectful behavior and concepts of workplace violence and harassment
Please note: in most cases workplace violence and harassment will relate to experiences faced by women. However risks are also faced by men. Ensure your answers cover risks in relation to all workers regardless of gender.</t>
  </si>
  <si>
    <t>Are farmer members required to validate hired workers' ages at the time they are appointed?</t>
  </si>
  <si>
    <t xml:space="preserve">In line with core requirement 1.2.2, for hired young workers (15 - 17 years), the registry contains:
•	housing address
•	Name and address of parent(s) or legal guardian(s)
•	School registration
•	Type of work or tasks
•	The number of daily and weekly working hours.                                                                                                               </t>
  </si>
  <si>
    <t xml:space="preserve">This question is critical - while not focused on  external  risks - clarity and verifiability of  the question on age verification is of highest importance </t>
  </si>
  <si>
    <t xml:space="preserve">Communicate to all farmers, who report they hire labour, how to verify the age of all new hires at the workplace, including those supplied by labour providers, in line with Core Requirement 1.2.2. Verification of age should be based on identity documents, school and medical records or other verifiable forms of identification proof. In line with core requirement 1.2.2, for hired young workers (15 - 17 years), the registry should contains:
•	housing address
•	Name and address of parent(s) or legal guardian(s)
•	School registration
•	Type of work or tasks
•	The number of daily and weekly working hours.       </t>
  </si>
  <si>
    <t>a.For each under-18 year old worker, identify and record the name and contact information for their consenting family member.   b. For each under-18 year old worker, identify the responsible adult member who will be supervising and guiding the child in work (‘young worker supervisor’)
b.Where a high proportion of children and a low number of adults are part of the labor force, ensure the ratio of adult supervisors to workers younger than 18 meets national labor law requirements.</t>
  </si>
  <si>
    <t xml:space="preserve">List the tasks and processes that involve hazardous working conditions </t>
  </si>
  <si>
    <t xml:space="preserve">1) List the hazardous tasks / processes. 2) Communicate this list to all group members and; 3) through internal inspections and child labor monitoring, ensure members are aware that workers younger than 18 cannot perform these hazardous tasks. </t>
  </si>
  <si>
    <t xml:space="preserve">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
</t>
  </si>
  <si>
    <t xml:space="preserve">In addition to steps outlined in row 54: 1) Develop checklist to systematically monitor working conditions of under 18s, covering: protection against performing prohibited hazardous tasks, protection from harassment, abuse in the workplace. 2) Use this checklist at internal inspections; </t>
  </si>
  <si>
    <t>Is the group taking any steps to protect under 18 year old workers / children of group members from  conducting hazardous tasks?</t>
  </si>
  <si>
    <t xml:space="preserve">Please list the steps; In addition to steps outlined in row 53, develop and implement Child Labor Monitoring System in accordance with A&amp;A Monitoring Guidance and steps outlined in row 70 </t>
  </si>
  <si>
    <t>In addition to steps outlined in row 54 and 55, set up child labor monitoring system in accordance with steps outlined in row 70 and Assess and Address monitoring guidance</t>
  </si>
  <si>
    <t>no further steps (beyond those outlined in row 54)</t>
  </si>
  <si>
    <t xml:space="preserve">Do children of group staff, group members and group members' workers, of school-going age, attend school within a safe walking distance or at reasonable traveling distance using safe transport? </t>
  </si>
  <si>
    <t>1) Identify reasons why children do not go to school: a) distance to school b) quality of education/violence in school / absence of teacher c) costs associated with schooling; 3) based on the analysis, together with local department of education and local NGOs, develop ways to support access to education for children of group staff, members or members' workers; this could include satelite classrooms in villages currently without schools, setting up sustainable and safe transport for the youngest children; removing barriers to education (e.g. birth certificates, family income, learning materials through support from government/supply chain partners)  3) create awareness about importance of education with group members &amp; discuss ways with members how group can support children's education</t>
  </si>
  <si>
    <t xml:space="preserve">Ergon view: All  countries we are looking at  this stage offer some  free or heavily subsidized education option  -  risk is more in relation to accessibility as opposed to availability  or affordability </t>
  </si>
  <si>
    <t xml:space="preserve">Meike: there should be an option of don't know. The person filling in this information probably does not know exactly how far the schools are from all the farms...In the future maybe we can do something with automatization. </t>
  </si>
  <si>
    <t>1) Monitor school going behavior of members' children of school going age, through internal inspections and the assess and address monitoring; 2) The assess and address committee to establish contact with department of education to collaborate on drop-out cases / temporary absence / child labor cases when they happen</t>
  </si>
  <si>
    <t>Do under-18s perform work on any of the farms within the group?</t>
  </si>
  <si>
    <t xml:space="preserve"> A&amp;A committee to set up a child labour monitoring system including child labor monitors/child labor liaison officers. The plan should specify  1) how management will promote awareness (through child labor monitors as well as directly) on tasks that children are allowed to do and underage and hazardous child labor 2)  how frequent child labor monitors will monitor that children are only performing non-hazardous, age appropriate tasks that do not interfere with schooling and 3) what follow up steps will be taken when risk of child labor increases 4) what the remediation process involves when cases have been confirmed through the grievance mechanism. 
</t>
  </si>
  <si>
    <t>1) Members are informed about policy of family child work and hiring young workers, including the age from which children can support their parents and conduct light work, the age from which children can be hired individually, in accordance with the Rainforest Alliance Standard as well as the national law. 2) Assess and address model is cleary explained to promote transparency about child labor risks and support solutions to mitigate the risk</t>
  </si>
  <si>
    <t>When national law requirs medical screening tests for young workers before they start their employment contract, remind farmers of this requirement and verify this as part of internal inspections.</t>
  </si>
  <si>
    <t>Does the farm/group use labour providers to recruit any workers?</t>
  </si>
  <si>
    <t xml:space="preserve">1. In the case of a small farm, the name, contact, and, if labor provider is officially registered and the official registration number of the labor provider is recorded.
2. Farms that employ an average of 5 or more workers, and group management, must ensure that the labor provider is licensed or certified by the competent national authority, if applicable.
</t>
  </si>
  <si>
    <t>1. Farms employing an average of 5 or more workers and group management should have written contracts with each labor provider, requiring that labor providers abide by RA worker protection standards.
2. When possible, farms/groups should directly contract workers who are recruited by labor providers.
3. For workers whose direct employer is a labor provider, the Assess &amp; Address monitoring system should check periodically with some of these workers to ensure that their pay, working conditions, etc. are as promised by the labor provider.
4. Workers recruited through labor providers should be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Farms/groups should stop working with labor recruiters that do not meet these expectations.</t>
  </si>
  <si>
    <t>1. Farms/groups must ensure that workers have written or verbal contracts in place according to requirement 3.3.
2. When calculated by volume, workers' pay must equal at least the minimum wage based on a 48-hour working week or national legal working hours limit.
3. Deductions from wages for costs such as employer-provided housing or food must only be taken with workers' consent.
4. Farms that employ an average of 5 or more workers, and group management, must pay workers at least monthly and provide workers pay slips showing hours worked (regular and overtime) and/or volume produced, calculation of wages and deductions, and wages paid.</t>
  </si>
  <si>
    <t>1. Group management should confirm that personnel responsible for wage payment are correctly trained in calculations and requirements.</t>
  </si>
  <si>
    <t>1. Farms/groups should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t>
  </si>
  <si>
    <t>Non-local workers are included among the workforce 
How will we know this; is it a question in the registry?</t>
  </si>
  <si>
    <t>1. Farms/groups should not require workers to pay any type of deposit or provide any personal document to management, other than to confirm identity at the time of hiring.</t>
  </si>
  <si>
    <t>1. The Assess &amp; Address monitoring system, working with other committees such as the Grievance Committee, should periodically check with workers to see if they have had to pay deposits or hand over documents.
2. In instances where workers prefer to provide documents or other belongings to management for safe keeping, farm/group management must ensure that workers have permanent, unrestricted access to these locations.</t>
  </si>
  <si>
    <t xml:space="preserve">Shouldn't management keep these actions in place? </t>
  </si>
  <si>
    <t xml:space="preserve">Formulation of a policy on gender equality and women’s empowerment which will be shared with the rest of the group, AND/OR
Stakeholder mapping of gender related organizations that could help to incorporate gender within group, AND/OR
Ensure that management and/or other high-level functions are accountable for meeting the gender plan targets
</t>
  </si>
  <si>
    <t>Is a significant number of female farmers (co) member of the group?</t>
  </si>
  <si>
    <t>no further action needed</t>
  </si>
  <si>
    <t>- Develop measures to facilitate access of female farmers to the group (e.g. by lowering membership fees, by promoting co- registration with partner, by actively inviting female farmers to become a part, by installing a minimum quota, etc.) AND/OR
- Undertake measures to ensure that trainings and other services that are offered by the group are accessible for all female farmers</t>
  </si>
  <si>
    <t>Are female farmers currently represented significally in relation to their number amongst trainers, internal inspectors and/or other high level functions within the group</t>
  </si>
  <si>
    <t xml:space="preserve"> establish a minimum quota for female trainers and inspectors and other high level functions AND/OR
- organize training targeted at female farmers that is needed to be eligible as a trainer, inspector or other high level function AND/OR
- make sure job announcements reach male AND female farmers and that job requirements are achievable for female farmers AND/OR
- give training to management staff involved in recruitment on unconscious bias and methodologies to prevent gender based discriminatory practices</t>
  </si>
  <si>
    <t>Have management, supervisors, and/or internal inspectors been trained in the past year on gender equality?</t>
  </si>
  <si>
    <t>-Train management, supervisors, and/or internal inspectors annually on issues related to gender equality and women’s empowerment (maternity leave, sexual harassment…) AND/OR
make gender-related trainings (e.g. sexual harassment, discrimination, gender equality or gender bias) a requirement for all management, supervisors, and internal inspectors, AND/OR
partner with local NGOs to provide gender bias or gender equality training to management, supervisors, internal inspectors</t>
  </si>
  <si>
    <t>Analysis Geodata</t>
  </si>
  <si>
    <t>Deforestation</t>
  </si>
  <si>
    <t xml:space="preserve">Member provided envelope and the overlap with Deforestation country risk map showed risks </t>
  </si>
  <si>
    <t>Automatic</t>
  </si>
  <si>
    <t>?</t>
  </si>
  <si>
    <t>Identify farms located in the high and medium risk areas (red and orange) and include them in the Internal Inspection plan according to:
Farms in red area should be identified and if deforestation happened within the farm boundaries, the farm should be excluded from the certification 
For farms in orange area, verify if there are parts of them that fall within the red area and if so, identify whether deforestation happend within the boudaries, if yes, the farm should be excluded from the certification
For those producers that are orange or red, and it seems like they have not deforested, but are close to areas where there is still forest and/or where recent deforestation has happened: inform them that deforestation is not allowed, set up MoUs with them that they will not expand into the forest; organize awareness raising sessions</t>
  </si>
  <si>
    <t>Henriette: I thought we were going to discuss the follow up on the risk categories, and that it was not decided yet.</t>
  </si>
  <si>
    <t xml:space="preserve">Member provided geodata (point/polygon) and they overlap with deforestation country risk map </t>
  </si>
  <si>
    <t>Include in montintoring and internal inspection activities data from the analysis:
farms/farm units whose buffers/polygons overlap completely with deforested area should not be certified
Member to verify whether deforestation occurred inside farms/farm units whose buffers/polygons partly overlap with deforested area.</t>
  </si>
  <si>
    <t>Protected Areas</t>
  </si>
  <si>
    <t>Member provided points and they overlap with PA country risk map (for areas in which production is forbidden and for areas in which production is allowed under certain conditions)</t>
  </si>
  <si>
    <t>the follow ups of the member, are indicated per farm/farm unit in the table below. These are included in the management plan and should be checked in the internal inspections of the current year (if possible) or consecutive year after the audit. If the latter, the management plan must be updated because as a result of the audit, there could be farm/farm units that are excluded.
Farmers in no go Protected Area: are to be excluded from certification.
Farmers in area where certain production is allowed: verify whether regulations are met and management plan is in place. 
Farmers close to no go Protected Area: verify boundaries of farm and protected area do not overlap. With those farmers inform them that encroachment is not allowed (and inform them on the boundaries), set up MoUs that they won't encroach.</t>
  </si>
  <si>
    <t>HCVs 4.1</t>
  </si>
  <si>
    <t>Medium/Large Farms</t>
  </si>
  <si>
    <t>Is the farm (or any farm in a group) located closer than 5 km to an Intact Forest Landscape?</t>
  </si>
  <si>
    <t>no further action required</t>
  </si>
  <si>
    <t>Do not threaten the main conservation attributes of the area, i.e. the values for which the area has been protected or classified as a PA, KBA or Ramsar site</t>
  </si>
  <si>
    <t>`no further action required</t>
  </si>
  <si>
    <t>Medium/Large Farms that are larger than 10,000 hectares</t>
  </si>
  <si>
    <t>Have you answered yes to questions on IFLs, KBAs (etc.) or customary rights of communities?</t>
  </si>
  <si>
    <t>Can this be automatized? We know the size, and the answers to the previous questions. Henriette: We know the size, but we don't necessarily know the answer to the previous questions, as it will not be automized, right?</t>
  </si>
  <si>
    <t>Native Vegetation 4.2</t>
  </si>
  <si>
    <t>Natural Ecosystems 4.2</t>
  </si>
  <si>
    <t>Are management, supervisors, and/or internal inspectors aware of the risks and impacts that climate change poses to livelihoods and production systems?</t>
  </si>
  <si>
    <t>Have management, supervisors, and/or internal inspectors identified the most significant climate change threats/risks/impacts (current and projected) on livelihood resources and farming systems?</t>
  </si>
  <si>
    <t>a) Carry out a climate change risk assesment to identify and describe the most significant climate risks based on RA CC risk assessment tool.</t>
  </si>
  <si>
    <t xml:space="preserve">Do management, supervisors, and /or internal inpsectors have access to relevant climate change information, skills and services to develop and employ adaptation strategies?  </t>
  </si>
  <si>
    <r>
      <rPr>
        <b/>
        <sz val="14"/>
        <color rgb="FF175259"/>
        <rFont val="Century Gothic"/>
        <family val="2"/>
      </rPr>
      <t xml:space="preserve">À propos de ce document d’orientation </t>
    </r>
    <r>
      <rPr>
        <sz val="10"/>
        <color theme="1"/>
        <rFont val="Century Gothic"/>
        <family val="2"/>
      </rPr>
      <t xml:space="preserve">
Vous trouverez dans ce document d’orientation des informations sur les éléments suivants :</t>
    </r>
    <r>
      <rPr>
        <sz val="10"/>
        <color theme="1"/>
        <rFont val="Century Gothic"/>
        <family val="2"/>
      </rPr>
      <t xml:space="preserve"> 
</t>
    </r>
    <r>
      <rPr>
        <sz val="10"/>
        <color theme="1"/>
        <rFont val="Century Gothic"/>
        <family val="2"/>
      </rPr>
      <t>• L’utilisation du Plan de gestion, 
•</t>
    </r>
    <r>
      <rPr>
        <sz val="10"/>
        <color rgb="FF000000"/>
        <rFont val="Century Gothic"/>
        <family val="2"/>
      </rPr>
      <t xml:space="preserve"> Le contenu du Plan de gestion,
• Quand</t>
    </r>
    <r>
      <rPr>
        <sz val="10"/>
        <color theme="1"/>
        <rFont val="Century Gothic"/>
        <family val="2"/>
      </rPr>
      <t xml:space="preserve"> le Plan de gestion doit être mis à jour,
• Comment faire un Plan de gestion encore plus utile.</t>
    </r>
    <r>
      <rPr>
        <sz val="10"/>
        <color theme="1"/>
        <rFont val="Century Gothic"/>
        <family val="2"/>
      </rPr>
      <t xml:space="preserve"> 
</t>
    </r>
    <r>
      <rPr>
        <sz val="10"/>
        <color rgb="FF000000"/>
        <rFont val="Century Gothic"/>
        <family val="2"/>
      </rPr>
      <t xml:space="preserve">Un modèle de Plan de gestion </t>
    </r>
    <r>
      <rPr>
        <sz val="10"/>
        <color theme="1"/>
        <rFont val="Century Gothic"/>
        <family val="2"/>
      </rPr>
      <t>optionnel est proposé (feuille de travail 2) ainsi qu’un bref exemple d’utilisation du modèle (feuille de travail 3).</t>
    </r>
    <r>
      <rPr>
        <sz val="10"/>
        <color theme="1"/>
        <rFont val="Century Gothic"/>
        <family val="2"/>
      </rPr>
      <t xml:space="preserve">  
</t>
    </r>
    <r>
      <rPr>
        <b/>
        <sz val="14"/>
        <color rgb="FF175259"/>
        <rFont val="Century Gothic"/>
        <family val="2"/>
      </rPr>
      <t xml:space="preserve">Plan de gestion 
</t>
    </r>
    <r>
      <rPr>
        <b/>
        <sz val="10"/>
        <color theme="1"/>
        <rFont val="Century Gothic"/>
        <family val="2"/>
      </rPr>
      <t>Qu’est-ce que le Plan de gestion ?</t>
    </r>
    <r>
      <rPr>
        <b/>
        <sz val="10"/>
        <color theme="1"/>
        <rFont val="Century Gothic"/>
        <family val="2"/>
      </rPr>
      <t xml:space="preserve"> </t>
    </r>
    <r>
      <rPr>
        <sz val="10"/>
        <color theme="1"/>
        <rFont val="Century Gothic"/>
        <family val="2"/>
      </rPr>
      <t xml:space="preserve">
</t>
    </r>
    <r>
      <rPr>
        <sz val="10"/>
        <color rgb="FF000000"/>
        <rFont val="Century Gothic"/>
        <family val="2"/>
      </rPr>
      <t>Il s’agit d’un plan détaillé</t>
    </r>
    <r>
      <rPr>
        <sz val="10"/>
        <color theme="1"/>
        <rFont val="Century Gothic"/>
        <family val="2"/>
      </rPr>
      <t xml:space="preserve">, </t>
    </r>
    <r>
      <rPr>
        <sz val="10"/>
        <color rgb="FF000000"/>
        <rFont val="Century Gothic"/>
        <family val="2"/>
      </rPr>
      <t>mis au point par la direction de l’exploitation ou du groupe, définissant les objectifs que le titulaire de certificat doit atteindre pour être conforme aux exigences de la norme ainsi que les autres objectifs d’amélioration de la performance de l’exploitation. Le Plan de gestion intègre les actions nécessaires pour atteindre chacun de ces objectifs.</t>
    </r>
    <r>
      <rPr>
        <sz val="10"/>
        <color rgb="FF000000"/>
        <rFont val="Century Gothic"/>
        <family val="2"/>
      </rPr>
      <t xml:space="preserve"> Ces actions sont décrites en détail (avec des informations telles que le groupe cible, le calendrier, la fréquence, la personne responsable et le statut).</t>
    </r>
    <r>
      <rPr>
        <sz val="10"/>
        <color theme="1"/>
        <rFont val="Century Gothic"/>
        <family val="2"/>
      </rPr>
      <t xml:space="preserve">
</t>
    </r>
    <r>
      <rPr>
        <b/>
        <sz val="10"/>
        <color theme="1"/>
        <rFont val="Century Gothic"/>
        <family val="2"/>
      </rPr>
      <t xml:space="preserve">Quelle est l’utilisation du Plan de gestion ? </t>
    </r>
    <r>
      <rPr>
        <sz val="10"/>
        <color theme="1"/>
        <rFont val="Century Gothic"/>
        <family val="2"/>
      </rPr>
      <t xml:space="preserve">
</t>
    </r>
    <r>
      <rPr>
        <sz val="10"/>
        <color rgb="FF000000"/>
        <rFont val="Century Gothic"/>
        <family val="2"/>
      </rPr>
      <t xml:space="preserve">En fournissant </t>
    </r>
    <r>
      <rPr>
        <sz val="10"/>
        <color theme="1"/>
        <rFont val="Century Gothic"/>
        <family val="2"/>
      </rPr>
      <t>un panorama des objectifs et des actions détaillées pour atteindre ces objectifs, le Plan de gestion aide la direction à définir, planifier et atteindre ses objectifs.</t>
    </r>
    <r>
      <rPr>
        <sz val="10"/>
        <color theme="1"/>
        <rFont val="Century Gothic"/>
        <family val="2"/>
      </rPr>
      <t xml:space="preserve"> 
</t>
    </r>
    <r>
      <rPr>
        <b/>
        <sz val="10"/>
        <color theme="1"/>
        <rFont val="Century Gothic"/>
        <family val="2"/>
      </rPr>
      <t xml:space="preserve">Que doit comprendre le Plan de gestion ? </t>
    </r>
    <r>
      <rPr>
        <sz val="10"/>
        <color theme="1"/>
        <rFont val="Century Gothic"/>
        <family val="2"/>
      </rPr>
      <t xml:space="preserve">
</t>
    </r>
    <r>
      <rPr>
        <sz val="10"/>
        <color theme="1"/>
        <rFont val="Century Gothic"/>
        <family val="2"/>
      </rPr>
      <t xml:space="preserve">Le Plan de gestion doit à minima intégrer des objectifs et actions concernant les points suivants (s’ils s’appliquent au titulaire de certificat) : 
</t>
    </r>
    <r>
      <rPr>
        <sz val="10"/>
        <color theme="1"/>
        <rFont val="Century Gothic"/>
        <family val="2"/>
      </rPr>
      <t xml:space="preserve">· Évaluation des risques de l’exploitation (1.3.1, Annexe 3) 
· Auto-évaluation (1.4.4) 
· Outil d’évaluation des risques pour les exploitations agricoles (1.1.1, Annexe 2) 
· Inspection interne (1.4.1)  
· Protocole de résolution (5.1.4, Annexe 4)
· Matrice du sol (4.4.2, Document d’orientation K)
· Analyse des risques de santé et sécurité au travail (5.6.1) 
· Non-conformités de l’audit précédent
Les actions listées dans le Plan de gestion comprennent, mais sans s’y limiter, les mesures d’atténuation, les mesures de résolution, la fourniture de services aux membres/travailleurs du groupe tels que des formations ou des activités de sensibilisation, l’assistance technique, l’aide à la tenue des registres et l’accès aux intrants comme les jeunes plants. </t>
    </r>
    <r>
      <rPr>
        <sz val="10"/>
        <color theme="1"/>
        <rFont val="Century Gothic"/>
        <family val="2"/>
      </rPr>
      <t xml:space="preserve">Ces actions sont décrites en détail (notamment le groupe cible, le calendrier, la fréquence, la personne responsable et le statut).
</t>
    </r>
  </si>
  <si>
    <t xml:space="preserve">Compteur Intelligent obligatoire </t>
  </si>
  <si>
    <t>Gestion</t>
  </si>
  <si>
    <r>
      <rPr>
        <b/>
        <sz val="11"/>
        <color theme="1"/>
        <rFont val="Century Gothic"/>
        <family val="2"/>
      </rPr>
      <t>1.1.2</t>
    </r>
    <r>
      <rPr>
        <sz val="11"/>
        <color theme="1"/>
        <rFont val="Century Gothic"/>
        <family val="2"/>
      </rPr>
      <t xml:space="preserve"> La direction du groupe améliore ses capacités de gestion et inclut des actions dans le Plan de gestion.</t>
    </r>
    <r>
      <rPr>
        <sz val="11"/>
        <color theme="1"/>
        <rFont val="Century Gothic"/>
        <family val="2"/>
      </rPr>
      <t xml:space="preserve"> </t>
    </r>
  </si>
  <si>
    <r>
      <rPr>
        <b/>
        <sz val="10"/>
        <color theme="1"/>
        <rFont val="Century Gothic"/>
        <family val="2"/>
      </rPr>
      <t>1.6.3</t>
    </r>
    <r>
      <rPr>
        <sz val="10"/>
        <color theme="1"/>
        <rFont val="Century Gothic"/>
        <family val="2"/>
      </rPr>
      <t xml:space="preserve"> À partir de la première année, la personne/comité responsable :
</t>
    </r>
    <r>
      <rPr>
        <sz val="10"/>
        <color theme="1"/>
        <rFont val="Century Gothic"/>
        <family val="2"/>
      </rPr>
      <t xml:space="preserve"> </t>
    </r>
    <r>
      <rPr>
        <sz val="10"/>
        <color theme="1"/>
        <rFont val="Century Gothic"/>
        <family val="2"/>
      </rPr>
      <t>• Met en œuvre l’Outil d’évaluation approfondie des risques concernant les genres et le répète au moins tous les trois ans 
• Priorise au moins trois indicateurs provenant de l’Outil d’évaluation approfondie des risques concernant les genres avec leurs mesures d’atténuation respectives 
• Incorpore les mesures d’atténuation priorisées dans le Plan de gestion 
• Met en œuvre, fait le suivi et fournit un rapport annuel à la direction sur les mesures d’atténuation et les indicateurs</t>
    </r>
    <r>
      <rPr>
        <sz val="10"/>
        <color theme="1"/>
        <rFont val="Century Gothic"/>
        <family val="2"/>
      </rPr>
      <t xml:space="preserve">
 </t>
    </r>
  </si>
  <si>
    <t>Exigences de la norme pour le Plan de gestion</t>
  </si>
  <si>
    <t>Exigences principales</t>
  </si>
  <si>
    <t xml:space="preserve">Amélioration obligatoire </t>
  </si>
  <si>
    <t>Social</t>
  </si>
  <si>
    <r>
      <rPr>
        <b/>
        <sz val="10"/>
        <color rgb="FF000000"/>
        <rFont val="Century Gothic"/>
        <family val="2"/>
      </rPr>
      <t>1.3.2</t>
    </r>
    <r>
      <rPr>
        <sz val="10"/>
        <color rgb="FF000000"/>
        <rFont val="Century Gothic"/>
        <family val="2"/>
      </rPr>
      <t xml:space="preserve"> La direction élabore un Plan de gestion qui contient les buts et les actions et qui se base sur l’Evaluation des risques pour les exploitations agricoles (1.3.1) et l’auto-évaluation (1.4.4).</t>
    </r>
    <r>
      <rPr>
        <sz val="10"/>
        <color rgb="FF000000"/>
        <rFont val="Century Gothic"/>
        <family val="2"/>
      </rPr>
      <t xml:space="preserve"> </t>
    </r>
    <r>
      <rPr>
        <sz val="10"/>
        <color rgb="FF000000"/>
        <rFont val="Century Gothic"/>
        <family val="2"/>
      </rPr>
      <t>Pour les groupes, le Plan de gestion est en plus basé sur l’Outil d’évaluation des capacités de gestion (1.1.1) et l’inspection interne (1.4.1).</t>
    </r>
    <r>
      <rPr>
        <sz val="10"/>
        <color rgb="FF000000"/>
        <rFont val="Century Gothic"/>
        <family val="2"/>
      </rPr>
      <t xml:space="preserve"> </t>
    </r>
    <r>
      <rPr>
        <sz val="10"/>
        <color rgb="FF000000"/>
        <rFont val="Century Gothic"/>
        <family val="2"/>
      </rPr>
      <t>Le Plan de gestion est mis à jour annuellement.</t>
    </r>
  </si>
  <si>
    <r>
      <rPr>
        <b/>
        <sz val="10"/>
        <color theme="1"/>
        <rFont val="Century Gothic"/>
        <family val="2"/>
      </rPr>
      <t>5.1.5</t>
    </r>
    <r>
      <rPr>
        <sz val="10"/>
        <color theme="1"/>
        <rFont val="Century Gothic"/>
        <family val="2"/>
      </rPr>
      <t xml:space="preserve"> Au cours de l’année 1 de la certification, le comité/représentant de la direction : 
</t>
    </r>
    <r>
      <rPr>
        <sz val="10"/>
        <color theme="1"/>
        <rFont val="Century Gothic"/>
        <family val="2"/>
      </rPr>
      <t>• Applique l’Evaluation approfondie des risques pour les exploitations agricoles de l’Evaluation-et-Résolution 
• Inclut les mesures d’atténuation correspondantes dans le Plan de gestion (1.3.2) 
• Met en œuvre ces mesures</t>
    </r>
    <r>
      <rPr>
        <sz val="10"/>
        <color theme="1"/>
        <rFont val="Century Gothic"/>
        <family val="2"/>
      </rPr>
      <t xml:space="preserve"> </t>
    </r>
    <r>
      <rPr>
        <sz val="10"/>
        <color theme="1"/>
        <rFont val="Century Gothic"/>
        <family val="2"/>
      </rPr>
      <t>L’Evaluation approfondie des risques pour les exploitations agricoles de l’Evaluation-et-Résolution est répétée au moins tous les trois ans.</t>
    </r>
  </si>
  <si>
    <r>
      <rPr>
        <b/>
        <sz val="10"/>
        <color rgb="FF000000"/>
        <rFont val="Century Gothic"/>
        <family val="2"/>
      </rPr>
      <t xml:space="preserve">1.3.3 </t>
    </r>
    <r>
      <rPr>
        <sz val="10"/>
        <color rgb="FF000000"/>
        <rFont val="Century Gothic"/>
        <family val="2"/>
      </rPr>
      <t>La direction fournit aux membres du groupe des services basés sur le Plan de gestion.</t>
    </r>
    <r>
      <rPr>
        <sz val="10"/>
        <color rgb="FF000000"/>
        <rFont val="Century Gothic"/>
        <family val="2"/>
      </rPr>
      <t xml:space="preserve"> </t>
    </r>
    <r>
      <rPr>
        <sz val="10"/>
        <color rgb="FF000000"/>
        <rFont val="Century Gothic"/>
        <family val="2"/>
      </rPr>
      <t>Les services peuvent consister en de la formation, de l’aide technique, de l’aide dans la tenue des dossiers, de l’accès aux intrants (ex : jeunes plants), des activités de sensibilisation, etc. La direction documente les services fournis.</t>
    </r>
  </si>
  <si>
    <t>Environnement</t>
  </si>
  <si>
    <r>
      <rPr>
        <b/>
        <sz val="10"/>
        <color theme="1"/>
        <rFont val="Century Gothic"/>
        <family val="2"/>
      </rPr>
      <t xml:space="preserve">6.1.4 </t>
    </r>
    <r>
      <rPr>
        <sz val="10"/>
        <color theme="1"/>
        <rFont val="Century Gothic"/>
        <family val="2"/>
      </rPr>
      <t>La direction inclut les mesures d’atténuation provenant de l’Outil d’évaluation des risques pour les exploitations agricoles dans la section 1.3.1 en regard des Hautes valeurs de conservation dans le Plan de gestion (1.3.2).</t>
    </r>
    <r>
      <rPr>
        <sz val="10"/>
        <color theme="1"/>
        <rFont val="Century Gothic"/>
        <family val="2"/>
      </rPr>
      <t xml:space="preserve"> </t>
    </r>
    <r>
      <rPr>
        <sz val="10"/>
        <color theme="1"/>
        <rFont val="Century Gothic"/>
        <family val="2"/>
      </rPr>
      <t>La direction met en œuvre ces mesures.</t>
    </r>
  </si>
  <si>
    <r>
      <rPr>
        <b/>
        <sz val="10"/>
        <color rgb="FF000000"/>
        <rFont val="Century Gothic"/>
        <family val="2"/>
      </rPr>
      <t>1.3.4</t>
    </r>
    <r>
      <rPr>
        <sz val="10"/>
        <color rgb="FF000000"/>
        <rFont val="Century Gothic"/>
        <family val="2"/>
      </rPr>
      <t xml:space="preserve"> La direction fournit aux travailleurs des services basés sur le Plan de gestion.</t>
    </r>
    <r>
      <rPr>
        <sz val="10"/>
        <color rgb="FF000000"/>
        <rFont val="Century Gothic"/>
        <family val="2"/>
      </rPr>
      <t xml:space="preserve"> </t>
    </r>
    <r>
      <rPr>
        <sz val="10"/>
        <color rgb="FF000000"/>
        <rFont val="Century Gothic"/>
        <family val="2"/>
      </rPr>
      <t>Les services peuvent consister en de la formation, des activités de sensibilisation, etc. La direction documente les services fournis.</t>
    </r>
  </si>
  <si>
    <r>
      <rPr>
        <b/>
        <sz val="10"/>
        <color rgb="FF000000"/>
        <rFont val="Century Gothic"/>
        <family val="2"/>
      </rPr>
      <t xml:space="preserve">1.6.2 </t>
    </r>
    <r>
      <rPr>
        <sz val="10"/>
        <color rgb="FF000000"/>
        <rFont val="Century Gothic"/>
        <family val="2"/>
      </rPr>
      <t xml:space="preserve">La personne/comité responsable réalise les activités suivantes : 
</t>
    </r>
    <r>
      <rPr>
        <sz val="10"/>
        <color rgb="FF000000"/>
        <rFont val="Century Gothic"/>
        <family val="2"/>
      </rPr>
      <t>• Met en œuvre les mesures d’atténuation concernant l’égalité des genres en suivant l’Evaluation des risques pour les exploitations agricoles ou l’Evaluation des risques de la chaîne d’approvisionnement et inclut ces mesures dans le Plan de gestion.</t>
    </r>
    <r>
      <rPr>
        <b/>
        <sz val="14"/>
        <color rgb="FF175259"/>
        <rFont val="Century Gothic"/>
        <family val="2"/>
      </rPr>
      <t xml:space="preserve"> </t>
    </r>
  </si>
  <si>
    <t>Revenu et Responsabilité partagée</t>
  </si>
  <si>
    <r>
      <rPr>
        <b/>
        <sz val="10"/>
        <color rgb="FF000000"/>
        <rFont val="Century Gothic"/>
        <family val="2"/>
      </rPr>
      <t>3.3.1</t>
    </r>
    <r>
      <rPr>
        <sz val="10"/>
        <color rgb="FF000000"/>
        <rFont val="Century Gothic"/>
        <family val="2"/>
      </rPr>
      <t xml:space="preserve"> La direction définit les investissements nécessaires pour améliorer la durabilité dans un plan d’investissement.</t>
    </r>
    <r>
      <rPr>
        <sz val="10"/>
        <color rgb="FF000000"/>
        <rFont val="Century Gothic"/>
        <family val="2"/>
      </rPr>
      <t xml:space="preserve"> </t>
    </r>
    <r>
      <rPr>
        <sz val="10"/>
        <color rgb="FF000000"/>
        <rFont val="Century Gothic"/>
        <family val="2"/>
      </rPr>
      <t xml:space="preserve">La direction utilise les sources suivantes pour renseigner les investissements nécessaires : 
</t>
    </r>
    <r>
      <rPr>
        <sz val="10"/>
        <color rgb="FF000000"/>
        <rFont val="Century Gothic"/>
        <family val="2"/>
      </rPr>
      <t xml:space="preserve">• Rapports d’audit (NC et domaines d’amélioration) 
• Auto-évaluations • Inspections internes 
• Plan de gestion. 
</t>
    </r>
    <r>
      <rPr>
        <sz val="10"/>
        <color rgb="FF000000"/>
        <rFont val="Century Gothic"/>
        <family val="2"/>
      </rPr>
      <t>La direction renseigne les Investissements de durabilité en espèces et en nature reçus des acheteurs pour ce plan d’investissement conformément aux catégories d’investissements de Rainforest Alliance.</t>
    </r>
  </si>
  <si>
    <r>
      <rPr>
        <b/>
        <sz val="14"/>
        <color rgb="FF175259"/>
        <rFont val="Century Gothic"/>
        <family val="2"/>
      </rPr>
      <t xml:space="preserve">Quand le Plan de gestion doit-il être mis à jour ? </t>
    </r>
    <r>
      <rPr>
        <sz val="10"/>
        <color theme="1"/>
        <rFont val="Century Gothic"/>
        <family val="2"/>
      </rPr>
      <t xml:space="preserve">
Un brouillon de Plan de gestion est rédigé pendant la phase de préparation du processus de certification. </t>
    </r>
    <r>
      <rPr>
        <sz val="10"/>
        <color theme="1"/>
        <rFont val="Century Gothic"/>
        <family val="2"/>
      </rPr>
      <t>Ensuite, le Plan de gestion est mis à jour au moins une fois par an.</t>
    </r>
    <r>
      <rPr>
        <sz val="10"/>
        <color theme="1"/>
        <rFont val="Century Gothic"/>
        <family val="2"/>
      </rPr>
      <t xml:space="preserve"> </t>
    </r>
    <r>
      <rPr>
        <sz val="10"/>
        <color theme="1"/>
        <rFont val="Century Gothic"/>
        <family val="2"/>
      </rPr>
      <t>Voyez ci-dessous un</t>
    </r>
    <r>
      <rPr>
        <sz val="10"/>
        <color rgb="FF000000"/>
        <rFont val="Century Gothic"/>
        <family val="2"/>
      </rPr>
      <t xml:space="preserve">  diagramme simple du processus.</t>
    </r>
    <r>
      <rPr>
        <sz val="10"/>
        <color rgb="FF000000"/>
        <rFont val="Century Gothic"/>
        <family val="2"/>
      </rPr>
      <t xml:space="preserve"> </t>
    </r>
  </si>
  <si>
    <t>Agriculture</t>
  </si>
  <si>
    <r>
      <rPr>
        <b/>
        <sz val="10"/>
        <color rgb="FF000000"/>
        <rFont val="Century Gothic"/>
        <family val="2"/>
      </rPr>
      <t>4.4.2</t>
    </r>
    <r>
      <rPr>
        <sz val="10"/>
        <color rgb="FF000000"/>
        <rFont val="Century Gothic"/>
        <family val="2"/>
      </rPr>
      <t xml:space="preserve"> En fonction de l’évaluation du sol, la direction identifie des mesures de gestion des sols et les inclut dans le Plan de gestion pour accumuler de la matière organique dans le sol, augmenter le recyclage des nutriments dans l’exploitation agricole et optimiser l’humidité du sol.</t>
    </r>
    <r>
      <rPr>
        <sz val="10"/>
        <color rgb="FF000000"/>
        <rFont val="Century Gothic"/>
        <family val="2"/>
      </rPr>
      <t xml:space="preserve"> </t>
    </r>
  </si>
  <si>
    <r>
      <rPr>
        <b/>
        <sz val="10"/>
        <color rgb="FF000000"/>
        <rFont val="Century Gothic"/>
        <family val="2"/>
      </rPr>
      <t xml:space="preserve">5.1.2 </t>
    </r>
    <r>
      <rPr>
        <sz val="10"/>
        <color rgb="FF000000"/>
        <rFont val="Century Gothic"/>
        <family val="2"/>
      </rPr>
      <t>Atténuation des risques : le comité/représentant de la direction inclut dans le Plan de gestion les mesures d’atténuation telles qu’elles sont identifiées dans l’Evaluation des risques pour les exploitations agricoles ou l’Evaluation des risques pour la chaîne d’approvisionnement et met en œuvre les mesures correspondantes.</t>
    </r>
    <r>
      <rPr>
        <sz val="10"/>
        <color rgb="FF000000"/>
        <rFont val="Century Gothic"/>
        <family val="2"/>
      </rPr>
      <t xml:space="preserve"> </t>
    </r>
    <r>
      <rPr>
        <sz val="10"/>
        <color rgb="FF000000"/>
        <rFont val="Century Gothic"/>
        <family val="2"/>
      </rPr>
      <t>L’Évaluation de base des risques pour les exploitations agricoles se déroule au moins tous les trois ans.</t>
    </r>
    <r>
      <rPr>
        <sz val="10"/>
        <color rgb="FF000000"/>
        <rFont val="Century Gothic"/>
        <family val="2"/>
      </rPr>
      <t xml:space="preserve"> </t>
    </r>
    <r>
      <rPr>
        <sz val="10"/>
        <color rgb="FF000000"/>
        <rFont val="Century Gothic"/>
        <family val="2"/>
      </rPr>
      <t>L’Évaluation des risques de la chaîne d'approvisionnement est faite annuellement.</t>
    </r>
  </si>
  <si>
    <r>
      <rPr>
        <b/>
        <sz val="10"/>
        <color rgb="FF000000"/>
        <rFont val="Century Gothic"/>
        <family val="2"/>
      </rPr>
      <t xml:space="preserve">5.6.1 </t>
    </r>
    <r>
      <rPr>
        <sz val="10"/>
        <color rgb="FF000000"/>
        <rFont val="Century Gothic"/>
        <family val="2"/>
      </rPr>
      <t>Un professionnel compétent effectue une analyse des risques pour la santé et la sécurité au travail.</t>
    </r>
    <r>
      <rPr>
        <sz val="10"/>
        <color rgb="FF000000"/>
        <rFont val="Century Gothic"/>
        <family val="2"/>
      </rPr>
      <t xml:space="preserve"> </t>
    </r>
    <r>
      <rPr>
        <sz val="10"/>
        <color rgb="FF000000"/>
        <rFont val="Century Gothic"/>
        <family val="2"/>
      </rPr>
      <t xml:space="preserve">Les mesures de santé et de sécurité correspondantes sont incluses dans le Plan de gestion et mises en œuvre. Elles prennent en compte au moins les points suivants : 
• Analyse des risques 
• Conformité avec les réglementations 
• Formation des travailleurs 
• Procédures et équipements pour garantir la santé et la sécurité. 
</t>
    </r>
    <r>
      <rPr>
        <sz val="10"/>
        <color rgb="FF000000"/>
        <rFont val="Century Gothic"/>
        <family val="2"/>
      </rPr>
      <t>Le nombre et le type d'incidents de santé et sécurité au travail sont enregistrés (spécifiés pour les hommes et les femmes) et comportent les incidents liés à l’utilisation des intrants chimiques.</t>
    </r>
    <r>
      <rPr>
        <sz val="10"/>
        <color rgb="FF000000"/>
        <rFont val="Century Gothic"/>
        <family val="2"/>
      </rPr>
      <t xml:space="preserve"> </t>
    </r>
    <r>
      <rPr>
        <sz val="10"/>
        <color rgb="FF000000"/>
        <rFont val="Century Gothic"/>
        <family val="2"/>
      </rPr>
      <t>Pour les groupes de petites exploitations agricoles, ils sont enregistrés pour leurs propres installations.</t>
    </r>
  </si>
  <si>
    <t>Plan de gestion</t>
  </si>
  <si>
    <t>Version :</t>
  </si>
  <si>
    <t>13 juillet 2020</t>
  </si>
  <si>
    <t xml:space="preserve">Sujet : </t>
  </si>
  <si>
    <t xml:space="preserve"> Capacités de gestion</t>
  </si>
  <si>
    <t>Problème :</t>
  </si>
  <si>
    <t xml:space="preserve">Faibles ventes par le biais de l’organisation, déclin de la participation des membres </t>
  </si>
  <si>
    <t xml:space="preserve">Objectif(s) </t>
  </si>
  <si>
    <t xml:space="preserve">Actions </t>
  </si>
  <si>
    <t xml:space="preserve">Groupe cible </t>
  </si>
  <si>
    <t>Calendrier</t>
  </si>
  <si>
    <t xml:space="preserve">Fréquence </t>
  </si>
  <si>
    <t>Personne(s) responsable(s)</t>
  </si>
  <si>
    <t>Status</t>
  </si>
  <si>
    <t xml:space="preserve">Amélioration de la gestion de l’organisation et augmentation des ventes par le biais de l’adhésion </t>
  </si>
  <si>
    <t>Chercher à comprendre pourquoi les membres ne vendent pas une grande partie de la production par le biais de l’organisation en demandant aux membres leur avis et leur expérience de membre</t>
  </si>
  <si>
    <t>7 membres du groupe</t>
  </si>
  <si>
    <t xml:space="preserve">Juin 2020 </t>
  </si>
  <si>
    <t xml:space="preserve">Une fois </t>
  </si>
  <si>
    <t xml:space="preserve">B. Sanchez </t>
  </si>
  <si>
    <t xml:space="preserve">Enquête réalisée en juin ; les résultats seront communiqués à la direction en juillet </t>
  </si>
  <si>
    <t xml:space="preserve">S’appuyer sur les retours des membres et améliorer le plan de l’organisation afin de fidéliser les membres actuels </t>
  </si>
  <si>
    <t xml:space="preserve">Tous les membres d’un groupe </t>
  </si>
  <si>
    <t xml:space="preserve">Juillet 2020 </t>
  </si>
  <si>
    <t xml:space="preserve">E. Smith </t>
  </si>
  <si>
    <t xml:space="preserve">Pas encore commencé </t>
  </si>
  <si>
    <t xml:space="preserve">Revoir le plan d’adhésion avec les membres et le modifier </t>
  </si>
  <si>
    <t xml:space="preserve">7 membres du groupe </t>
  </si>
  <si>
    <t xml:space="preserve">Août-septembre 2020 </t>
  </si>
  <si>
    <t xml:space="preserve">une fois </t>
  </si>
  <si>
    <t xml:space="preserve">J. Copper </t>
  </si>
  <si>
    <t>Pas encore commencé</t>
  </si>
  <si>
    <t xml:space="preserve">Absence de processus formel d’organisation de formations pour les membres </t>
  </si>
  <si>
    <t xml:space="preserve">Fournir aux membres un calendrier de formation répondant à leurs besoins </t>
  </si>
  <si>
    <t xml:space="preserve">Chercher à connaître les besoins et demandes des membres en termes de gains de connaissances et de compétences </t>
  </si>
  <si>
    <t xml:space="preserve">10 membres du groupe </t>
  </si>
  <si>
    <t>Une fois par an</t>
  </si>
  <si>
    <t xml:space="preserve">P. Silva </t>
  </si>
  <si>
    <t>Évaluation des besoins terminée</t>
  </si>
  <si>
    <t xml:space="preserve">Hiérarchiser les besoins et trouver/créer les formations adaptées </t>
  </si>
  <si>
    <t xml:space="preserve">Non applicable </t>
  </si>
  <si>
    <t xml:space="preserve">Commencé mais pas terminé </t>
  </si>
  <si>
    <t>Sujet :</t>
  </si>
  <si>
    <t xml:space="preserve">Traçabilité </t>
  </si>
  <si>
    <t xml:space="preserve">Les règles de traçabilité ne sont pas bien suivies par tous </t>
  </si>
  <si>
    <t xml:space="preserve">Tous les acteurs savent comment appliquer la procédure de traçabilité </t>
  </si>
  <si>
    <t>Mettre en place un flux de produit qui inclut les règles de traçabilité physiques et documentées pour tous les acteurs de notre chaîne d’approvisionnement : membres du groupe, sous-traitants, intermédiaires</t>
  </si>
  <si>
    <t xml:space="preserve">Gestion </t>
  </si>
  <si>
    <t>Avril 2020</t>
  </si>
  <si>
    <t>Une fois</t>
  </si>
  <si>
    <t>H. Atazona</t>
  </si>
  <si>
    <t xml:space="preserve">Rempli </t>
  </si>
  <si>
    <t>Former tous les acteurs à la procédure de traçabilité</t>
  </si>
  <si>
    <t>Membres du groupe, sous-traitants, intermédiaires</t>
  </si>
  <si>
    <t>Mai-juillet 2020</t>
  </si>
  <si>
    <t xml:space="preserve">2 formations pour tous les acteurs </t>
  </si>
  <si>
    <t xml:space="preserve">J. Agarwal </t>
  </si>
  <si>
    <t xml:space="preserve">La formation à la traçabilité physique est terminée (11 et 12 mai - pour les trois groupes cibles). La formation à la traçabilité documentée est toujours prévue en juillet pour les trois acteurs </t>
  </si>
  <si>
    <t xml:space="preserve">Placer des panneaux avec des instructions dans des zones stratégiques de tenue des registres et une identification visuelle des sacs (étiquettes)  </t>
  </si>
  <si>
    <t xml:space="preserve">Membres du groupe, sous-traitants, intermédiaires </t>
  </si>
  <si>
    <t>Mai 2020</t>
  </si>
  <si>
    <t>B. Sanchez</t>
  </si>
  <si>
    <t xml:space="preserve">Terminé </t>
  </si>
  <si>
    <t>Ventes et revenus</t>
  </si>
  <si>
    <t xml:space="preserve">Faible reconnaissance de nos marchandises </t>
  </si>
  <si>
    <t xml:space="preserve">Améliorer la reconnaissance de nos marchandises </t>
  </si>
  <si>
    <t>Trouver et prévoir une formation aux stratégies marketing adaptée</t>
  </si>
  <si>
    <t xml:space="preserve">Aucune formation adaptée n’a encore été trouvée </t>
  </si>
  <si>
    <t xml:space="preserve">Identifier et contacter quelques nouveaux acheteurs </t>
  </si>
  <si>
    <t xml:space="preserve">Nouveaux acheteurs </t>
  </si>
  <si>
    <t>Mai-septembre 2020</t>
  </si>
  <si>
    <t>4 fois (4 acheteurs)</t>
  </si>
  <si>
    <t xml:space="preserve">2 acheteurs contactés ; 1 rencontre en personne ; 1 visite à prévoir </t>
  </si>
  <si>
    <t xml:space="preserve">Difficultés de négociation </t>
  </si>
  <si>
    <t xml:space="preserve">Apprendre à mieux négocier </t>
  </si>
  <si>
    <t xml:space="preserve">Trouver une formation à la négociation adaptée et la suivre </t>
  </si>
  <si>
    <t xml:space="preserve">Juillet-août 2020 </t>
  </si>
  <si>
    <t xml:space="preserve">Annuel </t>
  </si>
  <si>
    <t xml:space="preserve">Formation trouvée. Nous en sommes au processus de planification </t>
  </si>
  <si>
    <t xml:space="preserve">Manque de ressources financières et de capacités </t>
  </si>
  <si>
    <t xml:space="preserve">Comprendre les possibilités, les procédures et les risques d’obtention d’un prêt </t>
  </si>
  <si>
    <t xml:space="preserve">Étudier le fonctionnement des institutions financières </t>
  </si>
  <si>
    <t xml:space="preserve">T. Nguyen </t>
  </si>
  <si>
    <t xml:space="preserve">pas encore commencé </t>
  </si>
  <si>
    <t>Noter ici le Sujet des objectifs ci-dessous</t>
  </si>
  <si>
    <t xml:space="preserve">Indiquer le(s) objectif(s) </t>
  </si>
  <si>
    <t xml:space="preserve">Indiquer ici l’action A </t>
  </si>
  <si>
    <t xml:space="preserve">Indiquer le groupe cible de l’action ici A </t>
  </si>
  <si>
    <t xml:space="preserve">Indiquer le calendrier de l’action A </t>
  </si>
  <si>
    <t xml:space="preserve">Indiquer la fréquence de l’action </t>
  </si>
  <si>
    <t xml:space="preserve">Noter le nom de la personne en charge/supervisant cette action </t>
  </si>
  <si>
    <t xml:space="preserve">Indiquer le statut actuel de l’action </t>
  </si>
  <si>
    <t xml:space="preserve">Indiquer ici l’action B </t>
  </si>
  <si>
    <t xml:space="preserve">Indiquer le groupe cible de l’action ici B </t>
  </si>
  <si>
    <t xml:space="preserve">Indiquer le calendrier de l’action B </t>
  </si>
  <si>
    <t>Noter le nom de la personne en charge/supervisant cette action</t>
  </si>
  <si>
    <t xml:space="preserve">Indiquer ici l’action C </t>
  </si>
  <si>
    <t xml:space="preserve">Indiquer le groupe cible de l’action ici C </t>
  </si>
  <si>
    <t xml:space="preserve">Indiquer le calendrier de l’action C </t>
  </si>
  <si>
    <t xml:space="preserve">Plan de gestion </t>
  </si>
  <si>
    <r>
      <rPr>
        <b/>
        <sz val="11"/>
        <color theme="1"/>
        <rFont val="Century Gothic"/>
        <family val="2"/>
      </rPr>
      <t>Version :</t>
    </r>
    <r>
      <rPr>
        <b/>
        <sz val="11"/>
        <color theme="1"/>
        <rFont val="Century Gothic"/>
        <family val="2"/>
      </rPr>
      <t xml:space="preserve"> </t>
    </r>
    <r>
      <rPr>
        <b/>
        <u/>
        <sz val="11"/>
        <color rgb="FF000000"/>
        <rFont val="Century Gothic"/>
        <family val="2"/>
      </rPr>
      <t xml:space="preserve">                       </t>
    </r>
  </si>
  <si>
    <t>Signature(s)</t>
  </si>
  <si>
    <t xml:space="preserve">Objectifs et mesures </t>
  </si>
  <si>
    <t xml:space="preserve">                                            Sujet : </t>
  </si>
  <si>
    <t xml:space="preserve">Point d’attention : </t>
  </si>
  <si>
    <t>Concat 1 (Do not Change)</t>
  </si>
  <si>
    <t>Mitigation self-assessment – risk questions (Lookup)</t>
  </si>
  <si>
    <t>Concat 2(Do not Change)</t>
  </si>
  <si>
    <t>Mitigation actions to be included in the Management Plan recommended by the Rainforest Alliance (alternative mitigation measures are allowed if considered more appropriate for the context) (Lookup)</t>
  </si>
  <si>
    <t>1.2.10 Farm area</t>
  </si>
  <si>
    <t>Shifitng or expanding sites  (as input for measured on deforestation/ Native vegetation)</t>
  </si>
  <si>
    <t>2.1 Traceability</t>
  </si>
  <si>
    <t>1) Set up a clear traceability flow, that includes the documented and physical traceability rules for all actors in your supply chain (farmers, subcontractors, intermediary, processing units, transport, collection centers, management etc.).
2) Train all actors on your traceability procedure. This includes the intermediaries and/or subcontractors.
3) Monitor traceability and record keeping at all actors. 
4) Monitoring intermediaries especially during the harvest period. For monitoring, verify calibration of scales and record keeping at intermediaries and cross-check with information of sales from a sample of producers.</t>
  </si>
  <si>
    <t xml:space="preserve">1) Set up a clear traceability flow, that includes the documented and physical traceability rules for all actors in your supply chain (farmers, processing units, transport, collection centers, management etc.).
2) Train all actors on your traceability procedure.
3) Monitor traceability and record keeping at all actors. </t>
  </si>
  <si>
    <t>1) Set up a clear traceability flow, that includes the documented and physical traceability rules for all actors in your supply chain (processing units, transport, subcontractors, warehouse etc.).
2) Train all actors on your traceability procedure.
3) Monitor traceability and record keeping at all actors. For subcontractors, verifying if all subcontractors comply with the traceability procedure and all requirements in the standard that apply to them is part of the self-assessment.</t>
  </si>
  <si>
    <t xml:space="preserve">1) Set up a clear traceability flow, that includes the documented and physical traceability rules for all actors in your supply chain (processing units, transport, subcontractors, warehouse etc.).
2) Train all actors on your traceability procedure.
3) Monitor traceability and record keeping at all actors. </t>
  </si>
  <si>
    <t>1) Include administrion/keeping of receipts in training plan.
2) The group supports the farmer to keep the receipts at the same place (ex: plastic folder).
3) Put up signs to encourage farmers to keep receipts
4) Monitor keeping of receipts</t>
  </si>
  <si>
    <t>Do you/will you only handle RA certified product and/or only buy from RA certified producers?</t>
  </si>
  <si>
    <t>1) Implement a system for identifying the products originating from certified producers by means of physical or visual identification and in the tracebaility documents (receipts, registry, etc.).
2) Example of visual identification can be tags on the bags during the product transportation and storage</t>
  </si>
  <si>
    <t>Harvested volumes</t>
  </si>
  <si>
    <t>1) Information on harvested volumes based on deliveries might not be reliable, therefore, put a system in place to get information on harvested volumes (this can be done by asking  producers directly through out the year or during internal inspections).
2) Collect the information on harvested volume throughout the year (monthly basis) instead of once a year during internal inspections</t>
  </si>
  <si>
    <t>Farm operators</t>
  </si>
  <si>
    <t>1) Guarantee that the farm manager is trained on the RA standard requirements, has thorough and detailed understanding of the internal inspections process, records, analyzed data and is aware of the traceability requirements.
2) Check if farm operator also manages non-certified farms and if so, encourage to include them in the certified group as well.
3) Always invite the farm operator to trainings (on traceability and other topics)</t>
  </si>
  <si>
    <t>Productivity &amp; profitability, relates to: 2.1.2 harvested yield; 1.3.6 financial inputs and skills; 1.3.7 diversification; 3.1. production costs and Living Income</t>
  </si>
  <si>
    <t>1) Train staff to recognise &amp; prioritise production constraints in field
2) Identify the main productivity constraints in the field
3) Establish trials and business model farms to showcase impact of rejuvenation, fertilisation and good pest and disease control</t>
  </si>
  <si>
    <t>Access to finance, inputs and knowledge</t>
  </si>
  <si>
    <t>Do all group members have access to finance, agricultural inputs and adequate knowledge to optimize productivity?</t>
  </si>
  <si>
    <t>1) Identify the main needs among group members regarding inputs and knowledge.
2) Support group members with training on finance, business management and understanding production costs and net income (self-selected requirement 1.3.6)
3) If needed, facilitate accesss to financial services (e.g. loans for farm investments) (self-selected requirement 1.3.6)</t>
  </si>
  <si>
    <t>1) Assess the total net income for a representative sample of group member households, using the Living Income benchmark (self-selected requirement 3.1.8).
2) Support group members with training on finance, business management and understanding production costs and net income (self-selected requirement 1.3.6)
3) If needed, facilitate accesss to financial services (e.g. loans for farm investments) (self-selected requirement 1.3.6)
4) Support group members to make informed decisions on income diversification strategies, e.g. other income generating activities, product upgrading (self-selected requirement 1.3.7)</t>
  </si>
  <si>
    <t>4.6 Agrochemical management</t>
  </si>
  <si>
    <t>Review the Agrochemicals Rainforest Alliance Prohibited List :
Is it common practice in the region to use one or more of the agrochemicals from the Rainforest Alliance Prohibited List, including on the non-certified crops on the farm?</t>
  </si>
  <si>
    <t xml:space="preserve">1) In case use of banned pesticide use is found during the external audit, the CB may issue a non-certification. To avoid this, include in your management plan:
-Group member training on the prohibition of the use of banned agrochemicals, and which ones those are.
-Group members training on the risk of using highly hazardous agrochemicals.
-Verify use of banned agrochemicals in internal inspections.
-Monitoring of use of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</si>
  <si>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 xml:space="preserve">Review the Agrochemicals Rainforest Alliance Prohibited List :
do you use one or more of the agrochemicals from the Rainforest Alliance Prohibited List, including on the non-certified crops on the farm? </t>
  </si>
  <si>
    <t>In case use of prohibited pesticide use is found during the external audit, the CB may issue a non-certification. Farms that have used pesticides agrochemicals for the harvest to be certified cannot be included in the certification and have to wait for the next harvest cycle to apply again. If you haven't, then ensure ban of use of prohibited agrochemicals by implementing:
1) Get rid of all prohibited agrochemicals prohibited agrochemicals, and which ones those are.
2) Staff training on the risk of using highly hazardous agrochemicals.
3) Verify use of prohibited agrochemicals in internal inspections.
4) Monitoring of use of agrochemicals during application period.</t>
  </si>
  <si>
    <r>
      <t xml:space="preserve">In case use of prohibited pesticide is found during the external audit, the CB may issue a non-certification. To avoid this, include in your management plan:
1) Group member training on the ban of the use of prohibited agrochemicals, and which ones those are.
2) Group members training on the risk of using highly hazardous agrochemicals.
3) Verify use of prohibited agrochemicals in internal inspections.
4) Monitoring of use of agrochemicals during application period.
5) Set up a system to collect stocks of expired and prohibited agrochemicals from the group members.
</t>
    </r>
    <r>
      <rPr>
        <b/>
        <sz val="10"/>
        <color rgb="FF000000"/>
        <rFont val="Calibri"/>
        <family val="2"/>
        <scheme val="minor"/>
      </rPr>
      <t>Note:</t>
    </r>
    <r>
      <rPr>
        <sz val="10"/>
        <color rgb="FF000000"/>
        <rFont val="Calibri"/>
        <family val="2"/>
        <scheme val="minor"/>
      </rPr>
      <t xml:space="preserve"> farmers that have used prohibited agrochemicals for the harvest to be certified cannot be included in the certification and have to wait for the next harvest cycle to apply again.</t>
    </r>
  </si>
  <si>
    <t>In case use of prohibited pesticide use is found during the external audit, the CB may issue a non-certification. Farms that have used prohibited agrochemicals for the harvest to be certified cannot be included in the certification and have to wait for the next harvest cycle to apply again. If you haven't, then ensure ban of use of prohibited agrochemicals by implementing:
1) Get rid of all prohibited agrochemicals.
2) Staff training on the ban of the use of prohibited agrochemicals, and which ones those are.
3) Staff training on the risk of using highly hazardous agrochemicals.
4) Verify use of prohibited agrochemicals in internal inspections.
5) Monitoring of use of agrochemicals during application period.</t>
  </si>
  <si>
    <t>Is it common practice that producers firstly try biological, physical, and other non-chemical control methods (IPM) for pest control before using agrochemicals?</t>
  </si>
  <si>
    <t>1) Pay special attention to compliance with chapter 4.5 of the Agricultural Standard. In case needed, contact a local university or extension service for development of the Integrated Pest Management procedure. Identify sources for the purchase of lower toxicity agrochemicals as well as non-chemical pest control products.
2) Make sure all members have the necessary knowledge and skills to apply Integrated Pest Management.
3) Train members on record keeping.
4) Monitor use of agrochemicals and application of IPM procedure by group members (including record keeping), during application time.</t>
  </si>
  <si>
    <t xml:space="preserve">Is it common practice that group members and/or their workers use Personal Protective Equipment (PPE) for application of agrochemicals? </t>
  </si>
  <si>
    <t>1) Ensure availability of sufficient PPE for all those applying agrochemicals.
2) Develop and implement management policies on the provision of sufficient and appropriate PPE and correct use of these PPE.
3) Make sure all those applying agrochemicals are trained on correct application of the agrochemicals and correct use of PPE.
4) Group members trained on the risk of using highly hazardous agrochemicals.
5) Explore the option of developing spray teams to replace agrochemical application by individual group members.
6) Monitor the use of PPEs during application time.</t>
  </si>
  <si>
    <t>1) Make an assessment among the workers on the reasons for not using PPE.
2) Use the outcomes of this assessment to define the measures.
3) Develop and implement management policies on the provision of sufficient and appropriate PPE and correct use of these PPE.
4) Make sure all those applying agrochemicals are trained on correct application of the agrochemicals and PPE.
5) Ensure availability of sufficient PPE for all those applying agrochemicals.
6) Monitor the use of PPEs during application time.</t>
  </si>
  <si>
    <t>4.4 Soil fertility and conservation</t>
  </si>
  <si>
    <t>1) Assess whether the area is suitable for crop cultivation and consider what crops are suitable for these areas.
2) In some cases: improve drainage and/or conserve protective vegetation</t>
  </si>
  <si>
    <t xml:space="preserve">1) Keep soil covered to reduce evapotransperation.
2) Assure deep-rooting crops are used.  
3) Consider mixed cropping, preferable with shrub / tree crops  
4) Provide shade
5)  When irrigating: assure water losses are minimised and check if lime/salt crusts are found in upper layer. If so, consult a soil institute.                                             </t>
  </si>
  <si>
    <t>5.1 Assess-and-Address</t>
  </si>
  <si>
    <t>Equal opportunities &amp; prevention of discrimination</t>
  </si>
  <si>
    <t>Are any of the following populations present on or near the farm or group: Migrant workers; Specific ethnic minorities; Indigenous people; people that do not speak the dominant language in the country and region?</t>
  </si>
  <si>
    <t>1) Assess whether members of these populations are working on the farm or contracted by group members.
2) Make sure that group and farm management is aware of the kind of populations that are present and registers their specifics: kind of population, number (estimation), language and other where relevant</t>
  </si>
  <si>
    <t>Are any of the following populations present on or near the farm or group: 1) Migrant workers (foreign or from within the country) 2) Specific ethnic minorities (any ethnicities which are not the largest ethnicity within the workforce) 3) Indigenous people (where applicable) 4) People that do not speak the dominant language in the country &amp; region</t>
  </si>
  <si>
    <t xml:space="preserve">Is management regularly taking targeted actions to prevent violence and harassment (including sexual harassment)? </t>
  </si>
  <si>
    <r>
      <t xml:space="preserve"> Implement at least one of the following measures:
- Training of trainers, technical staff and other persons in direct contact with members and  workers on respectful behavior and concepts of workplace violence and harassment.
- Training of workers on the topic on respectful behavior and concepts of workplace violence and harassment.
</t>
    </r>
    <r>
      <rPr>
        <b/>
        <sz val="10"/>
        <rFont val="Calibri"/>
        <family val="2"/>
        <scheme val="minor"/>
      </rPr>
      <t>Please note</t>
    </r>
    <r>
      <rPr>
        <sz val="10"/>
        <rFont val="Calibri"/>
        <family val="2"/>
        <scheme val="minor"/>
      </rPr>
      <t>: in most cases workplace violence and harassment will relate to experiences faced by women. However risks are also faced by men. Ensure your answers cover risks in relation to all workers regardless of gender.</t>
    </r>
  </si>
  <si>
    <t>Has the Grievance Committee shared contact details of an external trust person/organization especially for sexual harassment with workers?</t>
  </si>
  <si>
    <t>Provide all workers with contact details of a local and neutral external trust person/institute that is able to address cases of sexual harassment</t>
  </si>
  <si>
    <t>1) Communicate to all farmers that have hired workers, how to verify the age of all new hires at the workplace, including those supplied by labour providers.
2) Verification of age should be based on identity documents, school and medical records or other verifiable forms of identification proof.
3) Check with internal inspection the data in the workers list</t>
  </si>
  <si>
    <t>Does the site require proof of age and make note of this when hiring workers?</t>
  </si>
  <si>
    <t>Low, Medium &amp; High According to RA risk maps on Child Labor</t>
  </si>
  <si>
    <r>
      <rPr>
        <b/>
        <sz val="10"/>
        <color rgb="FF000000"/>
        <rFont val="Calibri"/>
        <family val="2"/>
        <scheme val="minor"/>
      </rPr>
      <t>Medium &amp; High:</t>
    </r>
    <r>
      <rPr>
        <sz val="10"/>
        <color rgb="FF000000"/>
        <rFont val="Calibri"/>
        <family val="2"/>
        <scheme val="minor"/>
      </rPr>
      <t xml:space="preserve">
Conduct a review once per year to verify that there are identity documents on file for all workers under the age of 18; 
</t>
    </r>
    <r>
      <rPr>
        <b/>
        <sz val="10"/>
        <color rgb="FF000000"/>
        <rFont val="Calibri"/>
        <family val="2"/>
        <scheme val="minor"/>
      </rPr>
      <t xml:space="preserve">Low risk
</t>
    </r>
    <r>
      <rPr>
        <sz val="10"/>
        <color rgb="FF000000"/>
        <rFont val="Calibri"/>
        <family val="2"/>
        <scheme val="minor"/>
      </rPr>
      <t>No additional action needed</t>
    </r>
  </si>
  <si>
    <t>1) Verify the ages of all young workers on site while respecting children’s protection and privacy rights
2) Develop and implement a system to verify the identity and age of all new hires at the workplace, including those supplied by labour providers.
3) Ensure the system bases its decisions on verifiable forms of identification proof, including identity documents, school and medical records. Include in the age verification system school enrolment &amp; status.
4) Ensure information about age from which children can work and circumstances under which are clearly communicated to staff and workers.</t>
  </si>
  <si>
    <r>
      <rPr>
        <b/>
        <sz val="10"/>
        <rFont val="Calibri"/>
        <family val="2"/>
        <scheme val="minor"/>
      </rPr>
      <t>Low Risk:</t>
    </r>
    <r>
      <rPr>
        <sz val="10"/>
        <rFont val="Calibri"/>
        <family val="2"/>
        <scheme val="minor"/>
      </rPr>
      <t xml:space="preserve">
Communicate this list to all group members that hire young workers
</t>
    </r>
    <r>
      <rPr>
        <b/>
        <sz val="10"/>
        <rFont val="Calibri"/>
        <family val="2"/>
        <scheme val="minor"/>
      </rPr>
      <t>Medium &amp; High Risk:</t>
    </r>
    <r>
      <rPr>
        <sz val="10"/>
        <rFont val="Calibri"/>
        <family val="2"/>
        <scheme val="minor"/>
      </rPr>
      <t xml:space="preserve">
1) List the hazardous tasks / processes.
2) Communicate this list to all group members and;
3) through training and child labor monitoring, ensure members are aware that workers younger than 18 cannot perform these hazardous tasks.
4) check with internal inspections</t>
    </r>
  </si>
  <si>
    <r>
      <rPr>
        <b/>
        <sz val="10"/>
        <rFont val="Calibri"/>
        <family val="2"/>
        <scheme val="minor"/>
      </rPr>
      <t>Low Risk:</t>
    </r>
    <r>
      <rPr>
        <sz val="10"/>
        <rFont val="Calibri"/>
        <family val="2"/>
        <scheme val="minor"/>
      </rPr>
      <t xml:space="preserve">
List the tasks and processes that involve hazardous working conditions ; communicate this to all group members.
</t>
    </r>
    <r>
      <rPr>
        <b/>
        <sz val="10"/>
        <rFont val="Calibri"/>
        <family val="2"/>
        <scheme val="minor"/>
      </rPr>
      <t xml:space="preserve">Medium &amp; High Risk:
</t>
    </r>
    <r>
      <rPr>
        <sz val="10"/>
        <rFont val="Calibri"/>
        <family val="2"/>
        <scheme val="minor"/>
      </rPr>
      <t>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t>
    </r>
  </si>
  <si>
    <t>Low, Medium and High Risk</t>
  </si>
  <si>
    <r>
      <rPr>
        <b/>
        <sz val="10"/>
        <color rgb="FF000000"/>
        <rFont val="Calibri"/>
        <family val="2"/>
        <scheme val="minor"/>
      </rPr>
      <t>Low risk</t>
    </r>
    <r>
      <rPr>
        <sz val="10"/>
        <color rgb="FF000000"/>
        <rFont val="Calibri"/>
        <family val="2"/>
        <scheme val="minor"/>
      </rPr>
      <t xml:space="preserve">
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r>
    <r>
      <rPr>
        <b/>
        <sz val="10"/>
        <color rgb="FF000000"/>
        <rFont val="Calibri"/>
        <family val="2"/>
        <scheme val="minor"/>
      </rPr>
      <t xml:space="preserve">Medium and High Risk
</t>
    </r>
    <r>
      <rPr>
        <sz val="10"/>
        <color rgb="FF000000"/>
        <rFont val="Calibri"/>
        <family val="2"/>
        <scheme val="minor"/>
      </rPr>
      <t>1) Develop a list of tasks and work processes – aligned with relevant national policy or law - that under 18s are banned from performing. Ensure the list covers jobs that involve hazardous substances, dangerous equipment, working at height, and/ or heavy lifting. The list of tasks should also make clear that young workers are prohibited from performing work at night.
2) Review the list every season to ensure list is up to date with national law and policy 
3) Conduct a health and safety review/risk assessment of all major farm activities to identify the major hazards, plus proposed steps to remove or reduce exposure for young workers [e.g. remove dangers of machinery, sharp tools, harmful substances, work at height, carrying heavy loads, working at height and working at night).
4) Ensure all supervisors are aware of the hazardous tasks list and which tasks young workers are allowed to perform.
5) conduct awareness with your workers, especially those working in teams with young workers, about what tasks young workers are allowed to perform and from which age</t>
    </r>
  </si>
  <si>
    <t xml:space="preserve"> 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</si>
  <si>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Low, medium&amp; High risk</t>
  </si>
  <si>
    <r>
      <rPr>
        <b/>
        <sz val="10"/>
        <color rgb="FF000000"/>
        <rFont val="Calibri"/>
        <family val="2"/>
        <scheme val="minor"/>
      </rPr>
      <t>Low risk:</t>
    </r>
    <r>
      <rPr>
        <sz val="10"/>
        <color rgb="FF000000"/>
        <rFont val="Calibri"/>
        <family val="2"/>
        <scheme val="minor"/>
      </rPr>
      <t xml:space="preserve">
No additional action needed
</t>
    </r>
    <r>
      <rPr>
        <b/>
        <sz val="10"/>
        <color rgb="FF000000"/>
        <rFont val="Calibri"/>
        <family val="2"/>
        <scheme val="minor"/>
      </rPr>
      <t>Medium &amp; high risk</t>
    </r>
    <r>
      <rPr>
        <sz val="10"/>
        <color rgb="FF000000"/>
        <rFont val="Calibri"/>
        <family val="2"/>
        <scheme val="minor"/>
      </rPr>
      <t xml:space="preserve">
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r>
  </si>
  <si>
    <t>Workers and their families living on-site</t>
  </si>
  <si>
    <r>
      <rPr>
        <b/>
        <sz val="10"/>
        <color rgb="FF000000"/>
        <rFont val="Calibri"/>
        <family val="2"/>
        <scheme val="minor"/>
      </rPr>
      <t>Low:</t>
    </r>
    <r>
      <rPr>
        <sz val="10"/>
        <color rgb="FF000000"/>
        <rFont val="Calibri"/>
        <family val="2"/>
        <scheme val="minor"/>
      </rPr>
      <t xml:space="preserve">
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
</t>
    </r>
    <r>
      <rPr>
        <b/>
        <sz val="10"/>
        <color rgb="FF000000"/>
        <rFont val="Calibri"/>
        <family val="2"/>
        <scheme val="minor"/>
      </rPr>
      <t>Medium high risk</t>
    </r>
    <r>
      <rPr>
        <sz val="10"/>
        <color rgb="FF000000"/>
        <rFont val="Calibri"/>
        <family val="2"/>
        <scheme val="minor"/>
      </rPr>
      <t xml:space="preserve">
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t>
    </r>
  </si>
  <si>
    <r>
      <rPr>
        <b/>
        <sz val="10"/>
        <rFont val="Calibri"/>
        <family val="2"/>
        <scheme val="minor"/>
      </rPr>
      <t>Medium &amp; High risk:</t>
    </r>
    <r>
      <rPr>
        <sz val="10"/>
        <rFont val="Calibri"/>
        <family val="2"/>
        <scheme val="minor"/>
      </rPr>
      <t xml:space="preserve">
Coordinate with the local school and request to be informed should any of the children living on site drop out or attend very irregularly [ensure this process is aligned with national law on data protection]
</t>
    </r>
    <r>
      <rPr>
        <b/>
        <sz val="10"/>
        <rFont val="Calibri"/>
        <family val="2"/>
        <scheme val="minor"/>
      </rPr>
      <t xml:space="preserve">Low </t>
    </r>
    <r>
      <rPr>
        <sz val="10"/>
        <rFont val="Calibri"/>
        <family val="2"/>
        <scheme val="minor"/>
      </rPr>
      <t xml:space="preserve">
No additional action needed</t>
    </r>
  </si>
  <si>
    <t>Is there a risk that under-18s perform work on the farm?</t>
  </si>
  <si>
    <t>Medium &amp; High</t>
  </si>
  <si>
    <r>
      <rPr>
        <b/>
        <sz val="10"/>
        <color rgb="FF000000"/>
        <rFont val="Calibri"/>
        <family val="2"/>
        <scheme val="minor"/>
      </rPr>
      <t>Medium &amp; high risk</t>
    </r>
    <r>
      <rPr>
        <sz val="10"/>
        <color rgb="FF000000"/>
        <rFont val="Calibri"/>
        <family val="2"/>
        <scheme val="minor"/>
      </rPr>
      <t xml:space="preserve">:
Set up child labour monitoring process
1)Appoint member of staff to supervise the work of all under 18s registered as working on the farm and to monitor the under 18s health and school attendance
2)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3) Follow the RA Remediation tool when removing children from child labor, ensuring care is taken to minimise damage to families when they miss out on income. Supervisors and workers are informed about policy of hiring young workers, including the age from which children can be hired individually, in accordance with the Rainforest Alliance Standard as well as the national law.
</t>
    </r>
    <r>
      <rPr>
        <b/>
        <sz val="10"/>
        <color rgb="FF000000"/>
        <rFont val="Calibri"/>
        <family val="2"/>
        <scheme val="minor"/>
      </rPr>
      <t xml:space="preserve">Low:
</t>
    </r>
    <r>
      <rPr>
        <sz val="10"/>
        <color rgb="FF000000"/>
        <rFont val="Calibri"/>
        <family val="2"/>
        <scheme val="minor"/>
      </rPr>
      <t>1) Supervisors and workers are informed about policy of hiring young workers, including the age from which children can be hired individually, in accordance with the Rainforest Alliance Standard as well as the national law.</t>
    </r>
  </si>
  <si>
    <t>Low, Medium &amp; High risks</t>
  </si>
  <si>
    <r>
      <rPr>
        <b/>
        <sz val="10"/>
        <color rgb="FF000000"/>
        <rFont val="Calibri"/>
        <family val="2"/>
        <scheme val="minor"/>
      </rPr>
      <t>Medium &amp; High risk</t>
    </r>
    <r>
      <rPr>
        <sz val="10"/>
        <color rgb="FF000000"/>
        <rFont val="Calibri"/>
        <family val="2"/>
        <scheme val="minor"/>
      </rPr>
      <t xml:space="preserve">
1) Inform members about the policy regarding family child work, including the age from which children can support their parents, and from which age children can be hired individually to conduct light work, in accordance with the Rainforest Alliance Standard as well as the national law.
2) Explain the assess and address model to members to promote transparency about child labor risks and support solutions to mitigate the risk
</t>
    </r>
    <r>
      <rPr>
        <b/>
        <sz val="10"/>
        <color rgb="FF000000"/>
        <rFont val="Calibri"/>
        <family val="2"/>
        <scheme val="minor"/>
      </rPr>
      <t>Low risk:</t>
    </r>
    <r>
      <rPr>
        <sz val="10"/>
        <color rgb="FF000000"/>
        <rFont val="Calibri"/>
        <family val="2"/>
        <scheme val="minor"/>
      </rPr>
      <t xml:space="preserve">
1) Inform members about the policy regarding family child work, including the age from which children can support their parents, and from which age children can be hired individually to conduct light work, in accordance with the Rainforest Alliance Standard as well as the national law.
2) Explain the assess and address model to members to promote transparency about child labor risks and support solutions to mitigate the risk</t>
    </r>
  </si>
  <si>
    <t>Medium &amp; High According to RA risk maps on Child Labor</t>
  </si>
  <si>
    <r>
      <rPr>
        <b/>
        <sz val="10"/>
        <color rgb="FF000000"/>
        <rFont val="Calibri"/>
        <family val="2"/>
        <scheme val="minor"/>
      </rPr>
      <t>Medium &amp; High risk:</t>
    </r>
    <r>
      <rPr>
        <sz val="10"/>
        <color rgb="FF000000"/>
        <rFont val="Calibri"/>
        <family val="2"/>
        <scheme val="minor"/>
      </rPr>
      <t xml:space="preserve">
1)Appoint child labor monitors [sufficient to provide an effective degree of coverage and visibility across farms in the producer group] to maintain oversight over children’s working, health and school attendance patterns and to maintain awareness of the group child labor policy across inspectors, farmers, young worker supervisors and hired workers themselves.
</t>
    </r>
    <r>
      <rPr>
        <b/>
        <sz val="10"/>
        <color rgb="FF000000"/>
        <rFont val="Calibri"/>
        <family val="2"/>
        <scheme val="minor"/>
      </rPr>
      <t>Low risk:</t>
    </r>
    <r>
      <rPr>
        <sz val="10"/>
        <color rgb="FF000000"/>
        <rFont val="Calibri"/>
        <family val="2"/>
        <scheme val="minor"/>
      </rPr>
      <t xml:space="preserve">
No additional action needed</t>
    </r>
  </si>
  <si>
    <r>
      <rPr>
        <b/>
        <sz val="10"/>
        <color rgb="FF000000"/>
        <rFont val="Calibri"/>
        <family val="2"/>
        <scheme val="minor"/>
      </rPr>
      <t>Low Risk</t>
    </r>
    <r>
      <rPr>
        <sz val="10"/>
        <color rgb="FF000000"/>
        <rFont val="Calibri"/>
        <family val="2"/>
        <scheme val="minor"/>
      </rPr>
      <t xml:space="preserve">: 
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groups members are working (if any) and under what conditions. 
</t>
    </r>
    <r>
      <rPr>
        <b/>
        <sz val="10"/>
        <color rgb="FF000000"/>
        <rFont val="Calibri"/>
        <family val="2"/>
        <scheme val="minor"/>
      </rPr>
      <t xml:space="preserve">Medium &amp; High risk:
</t>
    </r>
    <r>
      <rPr>
        <sz val="10"/>
        <color rgb="FF000000"/>
        <rFont val="Calibri"/>
        <family val="2"/>
        <scheme val="minor"/>
      </rPr>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 members are working (if any) and under what conditions.
 4. Verify whether the workers recruited through labor providers are treated equally with other workers and provided the same information about their protections under the RA standard. 
</t>
    </r>
    <r>
      <rPr>
        <b/>
        <sz val="10"/>
        <color rgb="FF000000"/>
        <rFont val="Calibri"/>
        <family val="2"/>
        <scheme val="minor"/>
      </rPr>
      <t xml:space="preserve">
</t>
    </r>
  </si>
  <si>
    <r>
      <rPr>
        <b/>
        <sz val="10"/>
        <color rgb="FF000000"/>
        <rFont val="Calibri"/>
        <family val="2"/>
        <scheme val="minor"/>
      </rPr>
      <t xml:space="preserve">Low risk: </t>
    </r>
    <r>
      <rPr>
        <sz val="10"/>
        <color rgb="FF000000"/>
        <rFont val="Calibri"/>
        <family val="2"/>
        <scheme val="minor"/>
      </rPr>
      <t xml:space="preserve">
1. Make sure that the labor providers used are licensed or certified by the appropriate government authority, if one exists.
</t>
    </r>
    <r>
      <rPr>
        <b/>
        <sz val="10"/>
        <color rgb="FF000000"/>
        <rFont val="Calibri"/>
        <family val="2"/>
        <scheme val="minor"/>
      </rPr>
      <t>Medium &amp; High risk:</t>
    </r>
    <r>
      <rPr>
        <sz val="10"/>
        <color rgb="FF000000"/>
        <rFont val="Calibri"/>
        <family val="2"/>
        <scheme val="minor"/>
      </rPr>
      <t xml:space="preserve">
1. Ensure that farms have written contracts with each labor provider, requiring that labor providers abide by RA worker protection standards.
2. When possible, farms should directly contract workers who are recruited by labor providers.
3. For workers whose direct employer is a labor provider, check the Assess &amp; Address monitoring system periodically with some of these workers to ensure that their pay, working conditions, etc. are as promised by the labor provider.
4. Make sure that the workers recruited through labor providers are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r>
  </si>
  <si>
    <t xml:space="preserve">1. Farm-group management must ensure that workers have written or verbal contracts in place according to requirement 5.3.
2. When calculated by volume, workers' pay must equal at least the minimum wage based on a 48-hour working week or national legal working hours limit.
3. Deductions from wages for costs such as employer-provided housing or food must only be taken with workers' consent.
4. Ensure that personnel responsible for wage payment are correctly trained in calculations and requirements. </t>
  </si>
  <si>
    <t>1.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3. Train security guards on rights of workers, eg that workers living on the farm have the right of movement on and off the farm outside working hours.</t>
  </si>
  <si>
    <t>1. Military officials mobilizing military personnel to perform agricultural labor is a form of forced labor.  Make sure that farms do not utilize this type of labor.
2. Ensure that any prisoners working on the farm have freely provided their consent to work.
3. Ensure that prison labors are treated the same as all other workers with respect to contracts, pay, working conditions, and all other worker protections in the RA standard.</t>
  </si>
  <si>
    <t>1. Ensure that workers are not required to pay any type of deposit or provide any personal document to management, other than to confirm identity at the time of hiring.
2. In instances where workers prefer to provide documents or other belongings to management for safe keeping, ensure that workers have permanent, unrestricted access to these locations.</t>
  </si>
  <si>
    <t>1.6 Gender equality</t>
  </si>
  <si>
    <t>1) Formulate a policy on gender equality and women’s empowerment to be shared with the rest of the group.
2) Group/farm management to take a training course on gender, for example the RA gender training module on line.
3) Stakeholder mapping of gender related organizations that could help to incorporate gender within group</t>
  </si>
  <si>
    <t xml:space="preserve">1 Keep record of group members per gender
2) Make an assessment of the reasons why female membership is limited, by interviewing female members and non members and consulting the policy on membership and document those. </t>
  </si>
  <si>
    <t>1) Keep records of all staff positions per gender and type of position
2) Establish a minimum quota for female trainers, supervisors, management staff and other high level functions.  (For groups or farms with more than 50% of female members or workers, the female representation should at least be 50%, be doesn't need to be higher than 50%).
3) Organize training targeted at female farmers or workers that is needed to be eligible as a trainer, supervisor or other high level function.
4) Make sure job announcements reach male AND female farmers and workers and that job requirements are achievable for female farmers and workers
5) Give training to management staff involved in recruitment on unconscious bias and methodologies to prevent gender based discriminatory practices</t>
  </si>
  <si>
    <t>1) Keep records of training participants per gender
2) Check with female members and workers what are the potential hindrances of their participation in trainings
3) Conduct trainings at days/times/locations where women can easily attend and send personal invitations</t>
  </si>
  <si>
    <t>Is it common that wives of male members or other female family workers participate in training activities?</t>
  </si>
  <si>
    <t>1)Identify reasons why wives of male members and/or other female family workers participate.
2)Make sure that at least the same participation rate of wives of male members and/or other female family workers in trainings is maintained.</t>
  </si>
  <si>
    <t>1) Invite wives of male members and/or other female family workers to trainings
2) Explain importance of the participation of wives of male members and/or other female family workers in trainings to male members during meetings</t>
  </si>
  <si>
    <t>5.7 Housing and living conditions</t>
  </si>
  <si>
    <t>1) For climate reasons:  check the risks for flooding, leakages, heat, etc. of the housing. Take measures to improve.
2) For amount of labor coming in: check if there is enough space for all workers, is there enough ventilation; is there sufficient separation of housing by gender. Take the measures to improve</t>
  </si>
  <si>
    <t>6.1.3 / 6.1.4 HCV assessment</t>
  </si>
  <si>
    <t>a) Map local community land uses on the farm in a participatory and inclusive way with the affected community;
b) Identify and mitigate any direct and indirect impacts from farming activities on these resources, or on habitat that support these resources;
c) Formalise agreements with communities on the use and management of such areas using Free, Prior and Informed Consent principles, and document the process.</t>
  </si>
  <si>
    <t>a) Identify and describe all current or planned practices related with farming or processing of the certified crops, such as drying, building sheds, etc. that use resources from communal lands;
b) Evaluate if these activities impact on the vegetation structure or on the community’s land-uses;
c) Seek ways to reduce negative impacts and avoid relying on the resources of communal lands when expanding or diversifying farming activities</t>
  </si>
  <si>
    <r>
      <rPr>
        <b/>
        <sz val="10"/>
        <color rgb="FF000000"/>
        <rFont val="Calibri"/>
        <family val="2"/>
        <scheme val="minor"/>
      </rPr>
      <t xml:space="preserve">If farm larger than 10,000 ha
</t>
    </r>
    <r>
      <rPr>
        <sz val="10"/>
        <color rgb="FF000000"/>
        <rFont val="Calibri"/>
        <family val="2"/>
        <scheme val="minor"/>
      </rPr>
      <t xml:space="preserve">
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(covers basic needs of indigenous and local people which are supplied by natural</t>
    </r>
  </si>
  <si>
    <t xml:space="preserve">6.2 Conservation and enhancement of natural ecosystems and vegetation </t>
  </si>
  <si>
    <t>Answer was incorrect !!! (yes/no)</t>
  </si>
  <si>
    <t xml:space="preserve">6.2 Conservation and enhancement of natural ecosystems and vegetation  </t>
  </si>
  <si>
    <t>1) Plan to connect existing ecosystem fragments with habitat or landscape corridors.
2) Maintain and enhance buffer zones around existing ecosystem fragments to prevent encroachment of farm activities and enforce agrochemical "non-application zones".</t>
  </si>
  <si>
    <t>Do you expect all on-farm natural ecosystems, including hedges, tree lines, riparian buffers, and forest, to have a diversity of species and contain in its majority locally adapted species</t>
  </si>
  <si>
    <t>Maintain existing natural vegetation; Ensure that the total farm area with natural vegetation meets the criteria in 6.2.2-6.2.6</t>
  </si>
  <si>
    <t>Does the forest resemble natural forest in terms of canopy cover, forest strata, and the presence of vines or lianas? See document titled Guidance on Implementing 6.1-6.3 for more information on measuring forest quality.</t>
  </si>
  <si>
    <t>Plan to manage canopy cover, forest strata, and presence of vines or lianas (e.g., by creating openings, planting additional species, and restricting harvesting or grazing as neccessary) to facilitate natural forest regeneration and growth. See document titled Guidance on Implementing 6.1-6.3 for more details on managing on-farm forests.</t>
  </si>
  <si>
    <t>Only answer if you have weltlands whitin the farm/ group --
Do wetlands store or convey flood waters at any time of the year?</t>
  </si>
  <si>
    <t>Only answer if you have grassland/rangeland or non-natural desert whitin the farm/ group --
Do grassland/rangeland or non-natural desert areas contain large bare areas that are at risk of eroding into nearby waterways?</t>
  </si>
  <si>
    <t>Only answer if you have fallow land whitin the farm/ group --
Are trees regenerating naturally on permanently fallow land?</t>
  </si>
  <si>
    <t>Carry out the RA climate change risk assesment to identify and describe the most significant climate risks based on RA CC risk assessment tool.</t>
  </si>
  <si>
    <t>Answer</t>
  </si>
  <si>
    <r>
      <t xml:space="preserve">Comment le Plan de gestion peut-il être plus utile ? 
</t>
    </r>
    <r>
      <rPr>
        <sz val="10"/>
        <color rgb="FF000000"/>
        <rFont val="Century Gothic"/>
        <family val="2"/>
      </rPr>
      <t xml:space="preserve">Le Plan de gestion doit être partagé afin d’aider les membres ou travailleurs du groupe à comprendre les actions qui vont être mises en œuvre par la direction dans l’année ainsi que leur rôle dans la concrétisation de ces améliorations. Le Plan de gestion peut également être utilisé pour définir en détail les activités de gestion devant être mises en œuvre chaque année afin que chacun comprenne parfaitement ces activités et responsabilités, par exemple : 
1. Mettre en valeur les activités qui seront les principaux domaines d’action/priorités de la direction dans l’année ou les années à venir
2. Les rôles et tâches/activités sur les exploitations et les personnes qui en sont responsables
3. Les procédures existantes sur les exploitations et les mesures nécessaires pour les mettre efficacement en œuvre 
4. Les processus de surveillance et d’évaluation ou les processus d’amélioration continue qui seront utilisés pour mesurer les progrès dans la mise en œuvre du plan et dans la réalisation des objectifs </t>
    </r>
  </si>
  <si>
    <r>
      <t xml:space="preserve">Modèle 
</t>
    </r>
    <r>
      <rPr>
        <sz val="10"/>
        <color rgb="FF000000"/>
        <rFont val="Century Gothic"/>
        <family val="2"/>
      </rPr>
      <t xml:space="preserve">Le modèle de la feuille de travail 2 peut éventuellement être utilisé par la direction de l’exploitation ou du groupe. Il peut être adapté pour répondre aux besoins de planification de l’exploitation ou du groupe. 
</t>
    </r>
    <r>
      <rPr>
        <b/>
        <sz val="14"/>
        <color rgb="FF175259"/>
        <rFont val="Century Gothic"/>
        <family val="2"/>
      </rPr>
      <t xml:space="preserve">Bref exemple
</t>
    </r>
    <r>
      <rPr>
        <sz val="10"/>
        <color rgb="FF000000"/>
        <rFont val="Century Gothic"/>
        <family val="2"/>
      </rPr>
      <t xml:space="preserve">Le bref exemple de la feuille de travail 3 montre comment le modèle peut être utilisé. Il indique comment les sujets peuvent être structurés et comment les points d’amélioration peuvent être traduits en objectifs et actions. Il indique aussi comment les autres détails des actions peuvent être présentés. 
Notez que le Bref exemple ne constitue pas un exemple complet de ce que doit contenir un Plan de gestion étant donné qu’il ne couvre pas tous les sujets, objectifs ou actions correspondantes devant figurer dans le Plan de gestion conformément à la Norme.
</t>
    </r>
    <r>
      <rPr>
        <b/>
        <sz val="14"/>
        <color rgb="FF175259"/>
        <rFont val="Century Gothic"/>
        <family val="2"/>
      </rPr>
      <t xml:space="preserve">
</t>
    </r>
  </si>
  <si>
    <r>
      <rPr>
        <b/>
        <sz val="10"/>
        <color rgb="FF000000"/>
        <rFont val="Century Gothic"/>
        <family val="2"/>
      </rPr>
      <t>6.1.3</t>
    </r>
    <r>
      <rPr>
        <sz val="10"/>
        <color rgb="FF000000"/>
        <rFont val="Century Gothic"/>
        <family val="2"/>
      </rPr>
      <t xml:space="preserve"> La direction inclut les mesures d’atténuation provenant de l’Outil d’évaluation des risques pour les exploitations agricoles dans la section 1.3.1 en regard des Hautes valeurs de conservation dans le Plan de gestion (1.3.2). La direction met en œuvre ces mesures.</t>
    </r>
    <r>
      <rPr>
        <b/>
        <sz val="10"/>
        <color rgb="FF175259"/>
        <rFont val="Century Gothic"/>
        <family val="2"/>
      </rPr>
      <t xml:space="preserve">
 </t>
    </r>
  </si>
  <si>
    <t>Statut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</si>
</sst>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questions&quot;"/>
    <numFmt numFmtId="165" formatCode="00"/>
  </numFmts>
  <fonts count="63" x14ac:knownFonts="1">
    <font>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sz val="10"/>
      <name val="Calibri"/>
      <family val="2"/>
      <scheme val="minor"/>
    </font>
    <font>
      <sz val="10"/>
      <color theme="8" tint="-0.499984740745262"/>
      <name val="Calibri"/>
      <family val="2"/>
      <scheme val="minor"/>
    </font>
    <font>
      <sz val="10"/>
      <name val="Arial"/>
      <family val="2"/>
    </font>
    <font>
      <sz val="11"/>
      <color indexed="8"/>
      <name val="Calibri"/>
      <family val="2"/>
    </font>
    <font>
      <sz val="11"/>
      <color theme="1"/>
      <name val="Wingdings"/>
      <charset val="2"/>
    </font>
    <font>
      <sz val="10"/>
      <color rgb="FF000000"/>
      <name val="Calibri"/>
      <family val="2"/>
    </font>
    <font>
      <sz val="10"/>
      <color theme="1"/>
      <name val="Calibri"/>
      <family val="2"/>
    </font>
    <font>
      <sz val="10"/>
      <color rgb="FF7030A0"/>
      <name val="Calibri"/>
      <family val="2"/>
    </font>
    <font>
      <b/>
      <sz val="10"/>
      <color rgb="FFFF0000"/>
      <name val="Calibri"/>
      <family val="2"/>
      <scheme val="minor"/>
    </font>
    <font>
      <sz val="13"/>
      <color theme="1"/>
      <name val="Arial"/>
      <family val="2"/>
    </font>
    <font>
      <sz val="10"/>
      <color rgb="FFFF0000"/>
      <name val="Calibri"/>
      <family val="2"/>
      <scheme val="minor"/>
    </font>
    <font>
      <sz val="10"/>
      <color rgb="FF000000"/>
      <name val="Calibri"/>
      <family val="2"/>
      <scheme val="minor"/>
    </font>
    <font>
      <sz val="11"/>
      <color rgb="FF000000"/>
      <name val="Calibri"/>
      <family val="2"/>
      <scheme val="minor"/>
    </font>
    <font>
      <b/>
      <sz val="12"/>
      <color rgb="FFFF0000"/>
      <name val="Calibri"/>
      <family val="2"/>
      <scheme val="minor"/>
    </font>
    <font>
      <b/>
      <sz val="12"/>
      <color rgb="FFFFC000"/>
      <name val="Calibri"/>
      <family val="2"/>
      <scheme val="minor"/>
    </font>
    <font>
      <sz val="8"/>
      <name val="Calibri"/>
      <family val="2"/>
      <scheme val="minor"/>
    </font>
    <font>
      <strike/>
      <sz val="10"/>
      <color theme="1"/>
      <name val="Calibri"/>
      <family val="2"/>
      <scheme val="minor"/>
    </font>
    <font>
      <strike/>
      <sz val="10"/>
      <color rgb="FF000000"/>
      <name val="Calibri"/>
      <family val="2"/>
    </font>
    <font>
      <sz val="10"/>
      <color rgb="FF4472C4"/>
      <name val="Calibri"/>
      <family val="2"/>
      <scheme val="minor"/>
    </font>
    <font>
      <b/>
      <sz val="12"/>
      <color rgb="FF000000"/>
      <name val="Calibri"/>
      <family val="2"/>
      <scheme val="minor"/>
    </font>
    <font>
      <b/>
      <sz val="10"/>
      <color rgb="FF000000"/>
      <name val="Calibri"/>
      <family val="2"/>
      <scheme val="minor"/>
    </font>
    <font>
      <b/>
      <sz val="10"/>
      <name val="Calibri"/>
      <family val="2"/>
      <scheme val="minor"/>
    </font>
    <font>
      <b/>
      <sz val="14"/>
      <color theme="1"/>
      <name val="Century Gothic"/>
      <family val="2"/>
    </font>
    <font>
      <sz val="11"/>
      <color theme="1"/>
      <name val="Century Gothic"/>
      <family val="2"/>
    </font>
    <font>
      <sz val="11"/>
      <color theme="0" tint="-0.499984740745262"/>
      <name val="Century Gothic"/>
      <family val="2"/>
    </font>
    <font>
      <sz val="10"/>
      <name val="Century Gothic"/>
      <family val="2"/>
    </font>
    <font>
      <sz val="10"/>
      <color rgb="FF000000"/>
      <name val="Century Gothic"/>
      <family val="2"/>
    </font>
    <font>
      <b/>
      <sz val="11"/>
      <color theme="1"/>
      <name val="Century Gothic"/>
      <family val="2"/>
    </font>
    <font>
      <u/>
      <sz val="11"/>
      <color theme="1"/>
      <name val="Century Gothic"/>
      <family val="2"/>
    </font>
    <font>
      <sz val="11"/>
      <name val="Century Gothic"/>
      <family val="2"/>
    </font>
    <font>
      <sz val="9"/>
      <color indexed="81"/>
      <name val="Calibri"/>
      <family val="2"/>
    </font>
    <font>
      <b/>
      <sz val="9"/>
      <color indexed="81"/>
      <name val="Calibri"/>
      <family val="2"/>
    </font>
    <font>
      <sz val="10"/>
      <color theme="1"/>
      <name val="Century Gothic"/>
      <family val="2"/>
    </font>
    <font>
      <sz val="10"/>
      <color rgb="FF1A52C2"/>
      <name val="Century Gothic"/>
      <family val="2"/>
    </font>
    <font>
      <i/>
      <sz val="14"/>
      <color rgb="FF94BA29"/>
      <name val="Century Gothic"/>
      <family val="2"/>
    </font>
    <font>
      <b/>
      <sz val="36"/>
      <color rgb="FF175259"/>
      <name val="Century Gothic"/>
      <family val="2"/>
    </font>
    <font>
      <b/>
      <sz val="10"/>
      <color theme="1"/>
      <name val="Century Gothic"/>
      <family val="2"/>
    </font>
    <font>
      <sz val="11"/>
      <color rgb="FFF5B224"/>
      <name val="Century Gothic"/>
      <family val="2"/>
    </font>
    <font>
      <i/>
      <sz val="14"/>
      <color rgb="FFF5B224"/>
      <name val="Century Gothic"/>
      <family val="2"/>
    </font>
    <font>
      <b/>
      <sz val="20"/>
      <color rgb="FF94BA29"/>
      <name val="Century Gothic"/>
      <family val="2"/>
    </font>
    <font>
      <b/>
      <sz val="10"/>
      <color rgb="FF000000"/>
      <name val="Century Gothic"/>
      <family val="2"/>
    </font>
    <font>
      <b/>
      <sz val="10"/>
      <name val="Century Gothic"/>
      <family val="2"/>
    </font>
    <font>
      <b/>
      <sz val="14"/>
      <color rgb="FF175259"/>
      <name val="Century Gothic"/>
      <family val="2"/>
    </font>
    <font>
      <b/>
      <u/>
      <sz val="11"/>
      <color rgb="FF6DA945"/>
      <name val="Century Gothic"/>
      <family val="2"/>
    </font>
    <font>
      <b/>
      <sz val="10"/>
      <color rgb="FF175259"/>
      <name val="Century Gothic"/>
      <family val="2"/>
    </font>
    <font>
      <b/>
      <sz val="11"/>
      <color theme="9"/>
      <name val="Century Gothic"/>
      <family val="2"/>
    </font>
    <font>
      <b/>
      <sz val="11"/>
      <name val="Century Gothic"/>
      <family val="2"/>
    </font>
    <font>
      <b/>
      <i/>
      <sz val="11"/>
      <color theme="1"/>
      <name val="Century Gothic"/>
      <family val="2"/>
    </font>
    <font>
      <b/>
      <i/>
      <sz val="12"/>
      <color theme="1"/>
      <name val="Century Gothic"/>
      <family val="2"/>
    </font>
    <font>
      <b/>
      <i/>
      <sz val="20"/>
      <color theme="1"/>
      <name val="Century Gothic"/>
      <family val="2"/>
    </font>
    <font>
      <sz val="8"/>
      <name val="Century Gothic"/>
      <family val="2"/>
    </font>
    <font>
      <b/>
      <sz val="16"/>
      <color rgb="FF175259"/>
      <name val="Century Gothic"/>
      <family val="2"/>
    </font>
    <font>
      <b/>
      <sz val="18"/>
      <color theme="1"/>
      <name val="Century Gothic"/>
      <family val="2"/>
    </font>
    <font>
      <b/>
      <sz val="22"/>
      <name val="Century Gothic"/>
      <family val="2"/>
    </font>
    <font>
      <sz val="11"/>
      <color rgb="FF94BA29"/>
      <name val="Calibri"/>
      <family val="2"/>
      <scheme val="minor"/>
    </font>
    <font>
      <sz val="9"/>
      <color theme="1"/>
      <name val="Calibri"/>
      <family val="2"/>
      <scheme val="minor"/>
    </font>
    <font>
      <b/>
      <u/>
      <sz val="11"/>
      <color rgb="FF000000"/>
      <name val="Century Gothic"/>
      <family val="2"/>
    </font>
  </fonts>
  <fills count="33">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6DA945"/>
        <bgColor indexed="64"/>
      </patternFill>
    </fill>
    <fill>
      <patternFill patternType="solid">
        <fgColor rgb="FFFFC000"/>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DEDBC6"/>
        <bgColor indexed="64"/>
      </patternFill>
    </fill>
    <fill>
      <patternFill patternType="solid">
        <fgColor rgb="FFFFFFFF"/>
        <bgColor indexed="64"/>
      </patternFill>
    </fill>
    <fill>
      <patternFill patternType="solid">
        <fgColor rgb="FFF4B084"/>
        <bgColor indexed="64"/>
      </patternFill>
    </fill>
    <fill>
      <patternFill patternType="solid">
        <fgColor rgb="FFF8CBAD"/>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CE4D6"/>
        <bgColor indexed="64"/>
      </patternFill>
    </fill>
    <fill>
      <patternFill patternType="solid">
        <fgColor rgb="FFFFF2CC"/>
        <bgColor indexed="64"/>
      </patternFill>
    </fill>
    <fill>
      <patternFill patternType="solid">
        <fgColor rgb="FFDDEBF7"/>
        <bgColor indexed="64"/>
      </patternFill>
    </fill>
    <fill>
      <patternFill patternType="solid">
        <fgColor rgb="FFFFE699"/>
        <bgColor indexed="64"/>
      </patternFill>
    </fill>
    <fill>
      <patternFill patternType="solid">
        <fgColor theme="0"/>
        <bgColor indexed="64"/>
      </patternFill>
    </fill>
    <fill>
      <patternFill patternType="solid">
        <fgColor rgb="FFFFFFFF"/>
        <bgColor rgb="FFFFFFFF"/>
      </patternFill>
    </fill>
    <fill>
      <patternFill patternType="solid">
        <fgColor rgb="FFFFFFFF"/>
        <bgColor rgb="FFFFFF00"/>
      </patternFill>
    </fill>
    <fill>
      <patternFill patternType="solid">
        <fgColor rgb="FFFFFFFF"/>
        <bgColor rgb="FF000000"/>
      </patternFill>
    </fill>
    <fill>
      <patternFill patternType="solid">
        <fgColor theme="0"/>
        <bgColor rgb="FFFFFF00"/>
      </patternFill>
    </fill>
    <fill>
      <patternFill patternType="solid">
        <fgColor rgb="FFF4B084"/>
        <bgColor rgb="FF000000"/>
      </patternFill>
    </fill>
    <fill>
      <patternFill patternType="solid">
        <fgColor rgb="FFFFE699"/>
        <bgColor rgb="FF000000"/>
      </patternFill>
    </fill>
    <fill>
      <patternFill patternType="solid">
        <fgColor theme="9" tint="0.79998168889431442"/>
        <bgColor rgb="FF000000"/>
      </patternFill>
    </fill>
    <fill>
      <patternFill patternType="solid">
        <fgColor rgb="FFBFBFBF"/>
        <bgColor indexed="64"/>
      </patternFill>
    </fill>
    <fill>
      <patternFill patternType="solid">
        <fgColor rgb="FFEBF4D0"/>
        <bgColor indexed="64"/>
      </patternFill>
    </fill>
    <fill>
      <patternFill patternType="solid">
        <fgColor rgb="FFCBDAF8"/>
        <bgColor indexed="64"/>
      </patternFill>
    </fill>
    <fill>
      <patternFill patternType="solid">
        <fgColor rgb="FFE6F3F9"/>
        <bgColor indexed="64"/>
      </patternFill>
    </fill>
  </fills>
  <borders count="8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auto="1"/>
      </left>
      <right style="medium">
        <color rgb="FF000000"/>
      </right>
      <top/>
      <bottom style="thin">
        <color auto="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style="thin">
        <color auto="1"/>
      </left>
      <right style="thin">
        <color auto="1"/>
      </right>
      <top style="medium">
        <color rgb="FF000000"/>
      </top>
      <bottom style="thin">
        <color auto="1"/>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auto="1"/>
      </right>
      <top/>
      <bottom style="thin">
        <color auto="1"/>
      </bottom>
      <diagonal/>
    </border>
    <border>
      <left style="thin">
        <color rgb="FF000000"/>
      </left>
      <right style="thin">
        <color auto="1"/>
      </right>
      <top style="thin">
        <color auto="1"/>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bottom style="thin">
        <color auto="1"/>
      </bottom>
      <diagonal/>
    </border>
    <border>
      <left style="thin">
        <color rgb="FF000000"/>
      </left>
      <right style="thin">
        <color rgb="FF000000"/>
      </right>
      <top style="thin">
        <color auto="1"/>
      </top>
      <bottom style="thin">
        <color auto="1"/>
      </bottom>
      <diagonal/>
    </border>
    <border>
      <left/>
      <right/>
      <top/>
      <bottom style="thin">
        <color rgb="FF000000"/>
      </bottom>
      <diagonal/>
    </border>
    <border>
      <left/>
      <right/>
      <top style="thin">
        <color rgb="FF000000"/>
      </top>
      <bottom/>
      <diagonal/>
    </border>
    <border>
      <left style="thin">
        <color auto="1"/>
      </left>
      <right style="thin">
        <color rgb="FF000000"/>
      </right>
      <top/>
      <bottom/>
      <diagonal/>
    </border>
    <border>
      <left style="thin">
        <color auto="1"/>
      </left>
      <right style="thin">
        <color auto="1"/>
      </right>
      <top style="thin">
        <color rgb="FF000000"/>
      </top>
      <bottom/>
      <diagonal/>
    </border>
    <border>
      <left style="thin">
        <color rgb="FF000000"/>
      </left>
      <right style="thin">
        <color rgb="FF000000"/>
      </right>
      <top style="thin">
        <color auto="1"/>
      </top>
      <bottom/>
      <diagonal/>
    </border>
    <border>
      <left style="thin">
        <color auto="1"/>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auto="1"/>
      </top>
      <bottom style="thin">
        <color auto="1"/>
      </bottom>
      <diagonal/>
    </border>
    <border>
      <left/>
      <right style="thin">
        <color auto="1"/>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auto="1"/>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style="medium">
        <color indexed="64"/>
      </right>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8" fillId="0" borderId="0"/>
    <xf numFmtId="9" fontId="9" fillId="0" borderId="0" applyFont="0" applyFill="0" applyBorder="0" applyAlignment="0" applyProtection="0"/>
  </cellStyleXfs>
  <cellXfs count="853">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0" fontId="2" fillId="0" borderId="0" xfId="0" applyFont="1"/>
    <xf numFmtId="0" fontId="2" fillId="0" borderId="2" xfId="0" applyFont="1" applyBorder="1"/>
    <xf numFmtId="0" fontId="3" fillId="6" borderId="5" xfId="0" applyFont="1" applyFill="1" applyBorder="1" applyAlignment="1">
      <alignment vertical="center"/>
    </xf>
    <xf numFmtId="0" fontId="4" fillId="6" borderId="6" xfId="0" applyFont="1" applyFill="1" applyBorder="1" applyAlignment="1">
      <alignment vertical="center" wrapText="1"/>
    </xf>
    <xf numFmtId="0" fontId="4" fillId="6" borderId="7" xfId="0" applyFont="1" applyFill="1" applyBorder="1" applyAlignment="1">
      <alignment vertical="center" wrapText="1"/>
    </xf>
    <xf numFmtId="0" fontId="3" fillId="6" borderId="6" xfId="0" applyFont="1" applyFill="1" applyBorder="1" applyAlignment="1">
      <alignment vertical="center"/>
    </xf>
    <xf numFmtId="0" fontId="3" fillId="6" borderId="7" xfId="0" applyFont="1" applyFill="1" applyBorder="1" applyAlignment="1">
      <alignment vertical="center"/>
    </xf>
    <xf numFmtId="0" fontId="5" fillId="0" borderId="0" xfId="0" applyFont="1"/>
    <xf numFmtId="0" fontId="0" fillId="7" borderId="0" xfId="0" applyFill="1"/>
    <xf numFmtId="0" fontId="0" fillId="8" borderId="0" xfId="0" applyFill="1"/>
    <xf numFmtId="0" fontId="1" fillId="0" borderId="0" xfId="0" applyFont="1" applyAlignment="1">
      <alignment horizontal="center" vertical="center" wrapText="1"/>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9" fontId="1" fillId="0" borderId="0" xfId="0" applyNumberFormat="1" applyFont="1" applyAlignment="1">
      <alignment horizontal="center" vertical="center" wrapText="1"/>
    </xf>
    <xf numFmtId="9"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7" fillId="0" borderId="2" xfId="0" applyFont="1" applyFill="1" applyBorder="1" applyAlignment="1">
      <alignment vertical="center" wrapText="1"/>
    </xf>
    <xf numFmtId="0" fontId="6" fillId="9" borderId="11" xfId="1" applyFont="1" applyFill="1" applyBorder="1" applyAlignment="1">
      <alignment vertical="center" wrapText="1"/>
    </xf>
    <xf numFmtId="0" fontId="6" fillId="9" borderId="12" xfId="1" applyFont="1" applyFill="1" applyBorder="1" applyAlignment="1">
      <alignment vertical="center" wrapText="1"/>
    </xf>
    <xf numFmtId="0" fontId="6" fillId="9" borderId="11" xfId="1" applyFont="1" applyFill="1" applyBorder="1" applyAlignment="1">
      <alignment horizontal="center" vertical="center" wrapText="1"/>
    </xf>
    <xf numFmtId="0" fontId="6" fillId="9" borderId="13" xfId="1" applyFont="1" applyFill="1" applyBorder="1" applyAlignment="1">
      <alignment vertical="center" wrapText="1"/>
    </xf>
    <xf numFmtId="0" fontId="6" fillId="0" borderId="2" xfId="0" applyFont="1" applyFill="1" applyBorder="1" applyAlignment="1">
      <alignment vertical="center" wrapText="1"/>
    </xf>
    <xf numFmtId="0" fontId="2" fillId="0" borderId="0" xfId="0" applyFont="1" applyFill="1" applyBorder="1"/>
    <xf numFmtId="0" fontId="1" fillId="0" borderId="0" xfId="0" applyFont="1" applyFill="1"/>
    <xf numFmtId="0" fontId="1" fillId="8" borderId="2" xfId="0" applyFont="1" applyFill="1" applyBorder="1" applyAlignment="1">
      <alignment horizontal="center" wrapText="1"/>
    </xf>
    <xf numFmtId="164" fontId="1" fillId="8" borderId="3" xfId="0" applyNumberFormat="1"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0" borderId="0" xfId="0" applyFont="1" applyBorder="1"/>
    <xf numFmtId="0" fontId="1" fillId="0" borderId="0" xfId="0" applyFont="1" applyAlignment="1"/>
    <xf numFmtId="0" fontId="1" fillId="0" borderId="0" xfId="0" applyFont="1" applyBorder="1"/>
    <xf numFmtId="9" fontId="1" fillId="0" borderId="0" xfId="0" applyNumberFormat="1" applyFont="1" applyAlignment="1">
      <alignment horizontal="center"/>
    </xf>
    <xf numFmtId="9" fontId="2" fillId="0" borderId="0" xfId="0" applyNumberFormat="1" applyFont="1" applyAlignment="1">
      <alignment horizontal="center"/>
    </xf>
    <xf numFmtId="9" fontId="1" fillId="0" borderId="0" xfId="0" applyNumberFormat="1" applyFont="1" applyAlignment="1">
      <alignment horizontal="center" vertical="center"/>
    </xf>
    <xf numFmtId="9" fontId="1" fillId="0" borderId="12" xfId="0" applyNumberFormat="1" applyFont="1" applyBorder="1" applyAlignment="1">
      <alignment horizontal="center"/>
    </xf>
    <xf numFmtId="0" fontId="1" fillId="0" borderId="12" xfId="0" applyFont="1" applyBorder="1" applyAlignment="1">
      <alignment horizontal="center"/>
    </xf>
    <xf numFmtId="0" fontId="10" fillId="0" borderId="0" xfId="0" applyFont="1"/>
    <xf numFmtId="0" fontId="0" fillId="0" borderId="0" xfId="0" applyAlignment="1">
      <alignment horizontal="left"/>
    </xf>
    <xf numFmtId="0" fontId="0" fillId="0" borderId="0" xfId="0" applyFill="1" applyAlignment="1">
      <alignment horizontal="left"/>
    </xf>
    <xf numFmtId="0" fontId="10" fillId="0" borderId="12" xfId="0" applyFont="1" applyBorder="1"/>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6" fillId="0" borderId="0" xfId="0" applyFont="1" applyFill="1" applyBorder="1" applyAlignment="1">
      <alignment vertical="center" wrapText="1"/>
    </xf>
    <xf numFmtId="0" fontId="3" fillId="6" borderId="6" xfId="0" applyFont="1" applyFill="1" applyBorder="1" applyAlignment="1">
      <alignment vertical="center" wrapText="1"/>
    </xf>
    <xf numFmtId="0" fontId="7" fillId="0" borderId="2" xfId="0" applyFont="1" applyFill="1" applyBorder="1" applyAlignment="1">
      <alignment horizontal="center" vertical="center" wrapText="1"/>
    </xf>
    <xf numFmtId="0" fontId="1" fillId="0" borderId="10" xfId="0" applyFont="1" applyFill="1" applyBorder="1" applyAlignment="1">
      <alignment vertical="center" wrapText="1"/>
    </xf>
    <xf numFmtId="0" fontId="1" fillId="0" borderId="13" xfId="0" applyFont="1" applyFill="1" applyBorder="1" applyAlignment="1">
      <alignment vertical="center" wrapText="1"/>
    </xf>
    <xf numFmtId="0" fontId="2" fillId="0" borderId="1" xfId="0" applyFont="1" applyBorder="1" applyAlignment="1">
      <alignmen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1" fillId="0" borderId="1" xfId="0" applyFont="1" applyFill="1" applyBorder="1" applyAlignment="1">
      <alignment vertical="center" wrapText="1"/>
    </xf>
    <xf numFmtId="0" fontId="3" fillId="6" borderId="12" xfId="0" applyFont="1" applyFill="1" applyBorder="1" applyAlignment="1">
      <alignment vertical="center"/>
    </xf>
    <xf numFmtId="0" fontId="11" fillId="11" borderId="1" xfId="0" applyFont="1" applyFill="1" applyBorder="1" applyAlignment="1">
      <alignment vertical="center" wrapText="1"/>
    </xf>
    <xf numFmtId="0" fontId="13" fillId="9" borderId="1" xfId="0" applyFont="1" applyFill="1" applyBorder="1" applyAlignment="1">
      <alignment vertical="center" wrapText="1"/>
    </xf>
    <xf numFmtId="0" fontId="11" fillId="0" borderId="1" xfId="0" applyFont="1" applyBorder="1" applyAlignment="1">
      <alignment vertical="center" wrapText="1"/>
    </xf>
    <xf numFmtId="0" fontId="11" fillId="12" borderId="1" xfId="0" applyFont="1" applyFill="1" applyBorder="1" applyAlignment="1">
      <alignment vertical="center" wrapText="1"/>
    </xf>
    <xf numFmtId="0" fontId="12" fillId="11" borderId="1" xfId="0" applyFont="1" applyFill="1" applyBorder="1" applyAlignment="1">
      <alignment vertical="center" wrapText="1"/>
    </xf>
    <xf numFmtId="0" fontId="1" fillId="0" borderId="1" xfId="0" applyFont="1" applyBorder="1" applyAlignment="1">
      <alignment vertical="center" wrapText="1"/>
    </xf>
    <xf numFmtId="0" fontId="0" fillId="3" borderId="0" xfId="0" applyFill="1" applyAlignment="1">
      <alignment vertical="top" wrapText="1"/>
    </xf>
    <xf numFmtId="165" fontId="2" fillId="0" borderId="12" xfId="0" applyNumberFormat="1" applyFont="1" applyBorder="1" applyAlignment="1">
      <alignment vertical="center"/>
    </xf>
    <xf numFmtId="0" fontId="2" fillId="0" borderId="9" xfId="0" applyFont="1" applyBorder="1" applyAlignment="1">
      <alignment vertical="center" wrapText="1"/>
    </xf>
    <xf numFmtId="0" fontId="2" fillId="0" borderId="11" xfId="0" applyFont="1" applyBorder="1" applyAlignment="1">
      <alignment vertical="center" wrapText="1"/>
    </xf>
    <xf numFmtId="165" fontId="2" fillId="0" borderId="8" xfId="0" applyNumberFormat="1" applyFont="1" applyBorder="1" applyAlignment="1">
      <alignment vertical="center" wrapText="1"/>
    </xf>
    <xf numFmtId="165" fontId="2" fillId="0" borderId="0" xfId="0" applyNumberFormat="1" applyFont="1" applyBorder="1" applyAlignment="1">
      <alignment vertical="center" wrapText="1"/>
    </xf>
    <xf numFmtId="0" fontId="15" fillId="0" borderId="0" xfId="0" applyFont="1"/>
    <xf numFmtId="0" fontId="7" fillId="0" borderId="15" xfId="0" applyFont="1" applyFill="1" applyBorder="1" applyAlignment="1">
      <alignment vertical="center" wrapText="1"/>
    </xf>
    <xf numFmtId="0" fontId="3" fillId="6" borderId="11" xfId="0" applyFont="1" applyFill="1" applyBorder="1" applyAlignment="1">
      <alignment vertical="center"/>
    </xf>
    <xf numFmtId="0" fontId="3" fillId="6" borderId="13" xfId="0" applyFont="1" applyFill="1" applyBorder="1" applyAlignment="1">
      <alignment vertical="center"/>
    </xf>
    <xf numFmtId="0" fontId="1" fillId="0" borderId="16" xfId="0" applyFont="1" applyFill="1" applyBorder="1" applyAlignment="1">
      <alignment vertical="center" wrapText="1"/>
    </xf>
    <xf numFmtId="0" fontId="0" fillId="0" borderId="16" xfId="0" applyBorder="1"/>
    <xf numFmtId="0" fontId="1" fillId="0" borderId="16" xfId="0" applyFont="1" applyBorder="1" applyAlignment="1">
      <alignment vertical="center"/>
    </xf>
    <xf numFmtId="0" fontId="1" fillId="0" borderId="16" xfId="0" applyFont="1" applyBorder="1" applyAlignment="1">
      <alignment vertical="center" wrapText="1"/>
    </xf>
    <xf numFmtId="0" fontId="1" fillId="12" borderId="16" xfId="0" applyFont="1" applyFill="1" applyBorder="1" applyAlignment="1">
      <alignment vertical="center" wrapText="1"/>
    </xf>
    <xf numFmtId="0" fontId="6" fillId="12" borderId="16" xfId="0" applyFont="1" applyFill="1" applyBorder="1" applyAlignment="1">
      <alignment vertical="center" wrapText="1"/>
    </xf>
    <xf numFmtId="0" fontId="1" fillId="12" borderId="0" xfId="0" applyFont="1" applyFill="1" applyAlignment="1">
      <alignment vertical="center" wrapText="1"/>
    </xf>
    <xf numFmtId="0" fontId="3" fillId="6" borderId="16" xfId="0" applyFont="1" applyFill="1" applyBorder="1" applyAlignment="1">
      <alignment vertical="center"/>
    </xf>
    <xf numFmtId="0" fontId="3" fillId="6" borderId="16" xfId="0" applyFont="1" applyFill="1" applyBorder="1" applyAlignment="1">
      <alignment vertical="center" wrapText="1"/>
    </xf>
    <xf numFmtId="0" fontId="3" fillId="14" borderId="16" xfId="0" applyFont="1" applyFill="1" applyBorder="1" applyAlignment="1">
      <alignment vertical="center"/>
    </xf>
    <xf numFmtId="0" fontId="3" fillId="6" borderId="16" xfId="0" applyFont="1" applyFill="1" applyBorder="1" applyAlignment="1">
      <alignment horizontal="left" vertical="center" wrapText="1"/>
    </xf>
    <xf numFmtId="0" fontId="1" fillId="17" borderId="16" xfId="0" applyFont="1" applyFill="1" applyBorder="1" applyAlignment="1">
      <alignment vertical="center" wrapText="1"/>
    </xf>
    <xf numFmtId="0" fontId="4" fillId="17" borderId="0" xfId="0" applyFont="1" applyFill="1" applyAlignment="1">
      <alignment vertical="center"/>
    </xf>
    <xf numFmtId="0" fontId="1" fillId="18" borderId="16" xfId="0" applyFont="1" applyFill="1" applyBorder="1" applyAlignment="1">
      <alignment vertical="center" wrapText="1"/>
    </xf>
    <xf numFmtId="0" fontId="4" fillId="18" borderId="0" xfId="0" applyFont="1" applyFill="1" applyAlignment="1">
      <alignment vertical="center"/>
    </xf>
    <xf numFmtId="0" fontId="4" fillId="18" borderId="0" xfId="0" applyFont="1" applyFill="1" applyAlignment="1">
      <alignment vertical="center" wrapText="1"/>
    </xf>
    <xf numFmtId="0" fontId="1" fillId="19" borderId="16" xfId="0" applyFont="1" applyFill="1" applyBorder="1" applyAlignment="1">
      <alignment vertical="center" wrapText="1"/>
    </xf>
    <xf numFmtId="0" fontId="4" fillId="19" borderId="0" xfId="0" applyFont="1" applyFill="1" applyAlignment="1">
      <alignment vertical="center"/>
    </xf>
    <xf numFmtId="0" fontId="17" fillId="0" borderId="19" xfId="0" applyFont="1" applyBorder="1" applyAlignment="1">
      <alignment horizontal="left" vertical="center" wrapText="1"/>
    </xf>
    <xf numFmtId="0" fontId="6" fillId="0" borderId="1" xfId="0" applyFont="1" applyBorder="1" applyAlignment="1">
      <alignment vertical="center" wrapText="1"/>
    </xf>
    <xf numFmtId="0" fontId="1" fillId="0" borderId="16" xfId="0" applyFont="1" applyBorder="1" applyAlignment="1">
      <alignment horizontal="center" vertical="center"/>
    </xf>
    <xf numFmtId="0" fontId="1" fillId="0" borderId="16" xfId="0" applyFont="1" applyBorder="1"/>
    <xf numFmtId="0" fontId="3" fillId="13" borderId="16" xfId="0" applyFont="1" applyFill="1" applyBorder="1" applyAlignment="1">
      <alignment vertical="center" wrapText="1"/>
    </xf>
    <xf numFmtId="0" fontId="3" fillId="13" borderId="16" xfId="0" applyFont="1" applyFill="1" applyBorder="1" applyAlignment="1">
      <alignment vertical="center"/>
    </xf>
    <xf numFmtId="0" fontId="1" fillId="0" borderId="0" xfId="0" applyFont="1" applyAlignment="1">
      <alignment horizontal="center"/>
    </xf>
    <xf numFmtId="0" fontId="1" fillId="15" borderId="16" xfId="0" applyFont="1" applyFill="1" applyBorder="1" applyAlignment="1">
      <alignment vertical="center" wrapText="1"/>
    </xf>
    <xf numFmtId="0" fontId="3" fillId="13" borderId="16" xfId="0" applyFont="1" applyFill="1" applyBorder="1" applyAlignment="1">
      <alignment horizontal="left" vertical="center" wrapText="1"/>
    </xf>
    <xf numFmtId="0" fontId="1" fillId="0" borderId="16" xfId="0" applyFont="1" applyBorder="1" applyAlignment="1">
      <alignment horizontal="left" vertical="center"/>
    </xf>
    <xf numFmtId="0" fontId="3" fillId="13" borderId="16" xfId="0" applyFont="1" applyFill="1" applyBorder="1" applyAlignment="1">
      <alignment horizontal="left" vertical="center"/>
    </xf>
    <xf numFmtId="0" fontId="1" fillId="0" borderId="16" xfId="0" applyFont="1" applyBorder="1" applyAlignment="1">
      <alignment horizontal="left"/>
    </xf>
    <xf numFmtId="0" fontId="1" fillId="0" borderId="17" xfId="0" applyFont="1" applyBorder="1" applyAlignment="1">
      <alignment horizontal="left" vertical="center" wrapText="1"/>
    </xf>
    <xf numFmtId="49" fontId="0" fillId="12" borderId="1" xfId="0" applyNumberFormat="1" applyFill="1" applyBorder="1" applyAlignment="1">
      <alignment vertical="top" wrapText="1"/>
    </xf>
    <xf numFmtId="49" fontId="0" fillId="0" borderId="1" xfId="0" applyNumberFormat="1" applyBorder="1" applyAlignment="1">
      <alignment vertical="top" wrapText="1"/>
    </xf>
    <xf numFmtId="0" fontId="1" fillId="12" borderId="21" xfId="0" applyFont="1" applyFill="1" applyBorder="1" applyAlignment="1">
      <alignment vertical="center" wrapText="1"/>
    </xf>
    <xf numFmtId="0" fontId="1" fillId="0" borderId="22" xfId="0" applyFont="1" applyBorder="1" applyAlignment="1">
      <alignment vertical="center" wrapText="1"/>
    </xf>
    <xf numFmtId="49" fontId="0" fillId="12" borderId="24" xfId="0" applyNumberFormat="1" applyFill="1" applyBorder="1" applyAlignment="1">
      <alignment vertical="top" wrapText="1"/>
    </xf>
    <xf numFmtId="0" fontId="0" fillId="0" borderId="0" xfId="0" applyAlignment="1">
      <alignment vertical="center"/>
    </xf>
    <xf numFmtId="0" fontId="0" fillId="0" borderId="16" xfId="0" applyBorder="1" applyAlignment="1">
      <alignment vertical="center"/>
    </xf>
    <xf numFmtId="0" fontId="0" fillId="0" borderId="16" xfId="0" applyBorder="1" applyAlignment="1">
      <alignment vertical="center" wrapText="1"/>
    </xf>
    <xf numFmtId="0" fontId="0" fillId="12" borderId="16" xfId="0" applyFill="1" applyBorder="1" applyAlignment="1">
      <alignment vertical="center"/>
    </xf>
    <xf numFmtId="0" fontId="0" fillId="0" borderId="1" xfId="0" applyBorder="1" applyAlignment="1">
      <alignment horizontal="left" vertical="center" wrapText="1"/>
    </xf>
    <xf numFmtId="0" fontId="0" fillId="0" borderId="7" xfId="0" applyBorder="1" applyAlignment="1">
      <alignment vertical="center" wrapText="1"/>
    </xf>
    <xf numFmtId="0" fontId="0" fillId="12" borderId="5" xfId="0" applyFill="1" applyBorder="1" applyAlignment="1">
      <alignment horizontal="left" vertical="center" wrapText="1"/>
    </xf>
    <xf numFmtId="0" fontId="0" fillId="0" borderId="5" xfId="0" applyBorder="1" applyAlignment="1">
      <alignment horizontal="left" vertical="center" wrapText="1"/>
    </xf>
    <xf numFmtId="0" fontId="18" fillId="12" borderId="5" xfId="0" applyFont="1" applyFill="1" applyBorder="1" applyAlignment="1">
      <alignment horizontal="left" vertical="center" wrapText="1"/>
    </xf>
    <xf numFmtId="0" fontId="3" fillId="6" borderId="9" xfId="0" applyFont="1" applyFill="1" applyBorder="1" applyAlignment="1">
      <alignment vertical="center"/>
    </xf>
    <xf numFmtId="0" fontId="3" fillId="6" borderId="10" xfId="0" applyFont="1" applyFill="1" applyBorder="1" applyAlignment="1">
      <alignment vertical="center"/>
    </xf>
    <xf numFmtId="0" fontId="3" fillId="6" borderId="0" xfId="0" applyFont="1" applyFill="1" applyBorder="1" applyAlignment="1">
      <alignment vertical="center"/>
    </xf>
    <xf numFmtId="0" fontId="0" fillId="12" borderId="16" xfId="0" applyFill="1" applyBorder="1" applyAlignment="1">
      <alignment vertical="center" wrapText="1"/>
    </xf>
    <xf numFmtId="0" fontId="0" fillId="21" borderId="16" xfId="0" applyFill="1" applyBorder="1" applyAlignment="1">
      <alignment vertical="center"/>
    </xf>
    <xf numFmtId="49" fontId="0" fillId="0" borderId="16" xfId="0" applyNumberFormat="1" applyBorder="1" applyAlignment="1">
      <alignment vertical="center" wrapText="1"/>
    </xf>
    <xf numFmtId="0" fontId="18" fillId="12" borderId="16" xfId="0" applyFont="1" applyFill="1" applyBorder="1" applyAlignment="1">
      <alignment vertical="center"/>
    </xf>
    <xf numFmtId="0" fontId="0" fillId="21" borderId="1" xfId="0" applyFill="1" applyBorder="1" applyAlignment="1">
      <alignment horizontal="left" vertical="center"/>
    </xf>
    <xf numFmtId="0" fontId="0" fillId="12" borderId="16" xfId="0" applyFill="1" applyBorder="1" applyAlignment="1">
      <alignment horizontal="left" vertical="center"/>
    </xf>
    <xf numFmtId="0" fontId="0" fillId="0" borderId="7" xfId="0" applyBorder="1" applyAlignment="1">
      <alignment horizontal="left" vertical="center" wrapText="1"/>
    </xf>
    <xf numFmtId="49" fontId="0" fillId="0" borderId="1" xfId="0" applyNumberFormat="1" applyBorder="1" applyAlignment="1">
      <alignment horizontal="left" vertical="center" wrapText="1"/>
    </xf>
    <xf numFmtId="0" fontId="0" fillId="12" borderId="7" xfId="0" applyFill="1" applyBorder="1" applyAlignment="1">
      <alignment vertical="center" wrapText="1"/>
    </xf>
    <xf numFmtId="0" fontId="0" fillId="12" borderId="0" xfId="0" applyFill="1"/>
    <xf numFmtId="0" fontId="1" fillId="12" borderId="0" xfId="0" applyFont="1" applyFill="1" applyAlignment="1">
      <alignment vertical="center"/>
    </xf>
    <xf numFmtId="0" fontId="0" fillId="12" borderId="0" xfId="0" applyFill="1" applyAlignment="1">
      <alignment horizontal="left" vertical="center"/>
    </xf>
    <xf numFmtId="0" fontId="0" fillId="12" borderId="0" xfId="0" applyFill="1" applyAlignment="1">
      <alignment vertical="center"/>
    </xf>
    <xf numFmtId="0" fontId="18" fillId="12" borderId="0" xfId="0" applyFont="1" applyFill="1" applyAlignment="1">
      <alignment vertical="center"/>
    </xf>
    <xf numFmtId="0" fontId="0" fillId="0" borderId="27" xfId="0" applyBorder="1" applyAlignment="1">
      <alignment vertical="center"/>
    </xf>
    <xf numFmtId="0" fontId="0" fillId="12" borderId="27" xfId="0" applyFill="1" applyBorder="1" applyAlignment="1">
      <alignment vertical="center" wrapText="1"/>
    </xf>
    <xf numFmtId="0" fontId="1" fillId="13" borderId="26" xfId="0" applyFont="1" applyFill="1" applyBorder="1" applyAlignment="1">
      <alignment vertical="center" wrapText="1"/>
    </xf>
    <xf numFmtId="0" fontId="1" fillId="0" borderId="26" xfId="0" applyFont="1" applyFill="1" applyBorder="1" applyAlignment="1">
      <alignment vertical="center" wrapText="1"/>
    </xf>
    <xf numFmtId="0" fontId="1" fillId="15" borderId="26" xfId="0" applyFont="1" applyFill="1" applyBorder="1" applyAlignment="1">
      <alignment vertical="center" wrapText="1"/>
    </xf>
    <xf numFmtId="0" fontId="0" fillId="12" borderId="26" xfId="0" applyFill="1" applyBorder="1" applyAlignment="1">
      <alignment vertical="center" wrapText="1"/>
    </xf>
    <xf numFmtId="0" fontId="0" fillId="12" borderId="18" xfId="0" applyFill="1" applyBorder="1" applyAlignment="1">
      <alignment vertical="center"/>
    </xf>
    <xf numFmtId="0" fontId="0" fillId="0" borderId="20" xfId="0" applyBorder="1" applyAlignment="1">
      <alignment vertical="center"/>
    </xf>
    <xf numFmtId="0" fontId="0" fillId="0" borderId="28" xfId="0" applyBorder="1" applyAlignment="1">
      <alignment vertical="center" wrapText="1"/>
    </xf>
    <xf numFmtId="0" fontId="0" fillId="0" borderId="26" xfId="0" applyBorder="1" applyAlignment="1">
      <alignment vertical="center" wrapText="1"/>
    </xf>
    <xf numFmtId="0" fontId="0" fillId="12" borderId="21" xfId="0" applyFill="1" applyBorder="1" applyAlignment="1">
      <alignment vertical="center"/>
    </xf>
    <xf numFmtId="0" fontId="0" fillId="12" borderId="28" xfId="0" applyFill="1" applyBorder="1" applyAlignment="1">
      <alignment vertical="center" wrapText="1"/>
    </xf>
    <xf numFmtId="0" fontId="1" fillId="12" borderId="16" xfId="0" applyFont="1" applyFill="1" applyBorder="1" applyAlignment="1">
      <alignment horizontal="center" vertical="center"/>
    </xf>
    <xf numFmtId="0" fontId="1" fillId="0" borderId="29" xfId="0" applyFont="1" applyBorder="1" applyAlignment="1">
      <alignment horizontal="left" vertical="center" wrapText="1"/>
    </xf>
    <xf numFmtId="0" fontId="1" fillId="0" borderId="20" xfId="0" applyFont="1" applyBorder="1" applyAlignment="1">
      <alignment horizontal="left" vertical="center" wrapText="1"/>
    </xf>
    <xf numFmtId="0" fontId="1" fillId="0" borderId="30" xfId="0" applyFont="1" applyBorder="1" applyAlignment="1">
      <alignment vertical="center" wrapText="1"/>
    </xf>
    <xf numFmtId="0" fontId="1" fillId="12" borderId="31" xfId="0" applyFont="1" applyFill="1" applyBorder="1" applyAlignment="1">
      <alignment vertical="center" wrapText="1"/>
    </xf>
    <xf numFmtId="0" fontId="0" fillId="0" borderId="18" xfId="0" applyBorder="1" applyAlignment="1">
      <alignment vertical="center"/>
    </xf>
    <xf numFmtId="0" fontId="0" fillId="0" borderId="32" xfId="0" applyBorder="1" applyAlignment="1">
      <alignment vertical="center"/>
    </xf>
    <xf numFmtId="0" fontId="3" fillId="12" borderId="12" xfId="0" applyFont="1" applyFill="1" applyBorder="1" applyAlignment="1">
      <alignment vertical="center"/>
    </xf>
    <xf numFmtId="0" fontId="0" fillId="12" borderId="26" xfId="0" applyFill="1" applyBorder="1" applyAlignment="1">
      <alignment vertical="center"/>
    </xf>
    <xf numFmtId="0" fontId="1" fillId="12" borderId="16" xfId="0" applyFont="1" applyFill="1" applyBorder="1" applyAlignment="1">
      <alignment vertical="center"/>
    </xf>
    <xf numFmtId="0" fontId="18" fillId="12" borderId="7" xfId="0" applyFont="1" applyFill="1" applyBorder="1" applyAlignment="1">
      <alignment vertical="center" wrapText="1"/>
    </xf>
    <xf numFmtId="0" fontId="1" fillId="12" borderId="27" xfId="0" applyFont="1" applyFill="1" applyBorder="1" applyAlignment="1">
      <alignment vertical="center" wrapText="1"/>
    </xf>
    <xf numFmtId="0" fontId="1" fillId="12" borderId="26" xfId="0" applyFont="1" applyFill="1" applyBorder="1" applyAlignment="1">
      <alignment vertical="center" wrapText="1"/>
    </xf>
    <xf numFmtId="0" fontId="1" fillId="12" borderId="18" xfId="0" applyFont="1" applyFill="1" applyBorder="1" applyAlignment="1">
      <alignment vertical="center" wrapText="1"/>
    </xf>
    <xf numFmtId="0" fontId="1" fillId="12" borderId="1" xfId="0" applyFont="1" applyFill="1" applyBorder="1" applyAlignment="1">
      <alignment vertical="center" wrapText="1"/>
    </xf>
    <xf numFmtId="0" fontId="1" fillId="16" borderId="16" xfId="0" applyFont="1" applyFill="1" applyBorder="1" applyAlignment="1">
      <alignment vertical="center" wrapText="1"/>
    </xf>
    <xf numFmtId="9" fontId="0" fillId="0" borderId="16" xfId="0" applyNumberFormat="1" applyBorder="1" applyAlignment="1">
      <alignment vertical="center"/>
    </xf>
    <xf numFmtId="0" fontId="4" fillId="0" borderId="0" xfId="0" applyFont="1" applyFill="1" applyAlignment="1">
      <alignment vertical="center"/>
    </xf>
    <xf numFmtId="0" fontId="1" fillId="0" borderId="0" xfId="0" applyFont="1" applyFill="1" applyAlignment="1">
      <alignment vertical="center" wrapText="1"/>
    </xf>
    <xf numFmtId="0" fontId="1" fillId="19" borderId="21" xfId="0" applyFont="1" applyFill="1" applyBorder="1" applyAlignment="1">
      <alignment vertical="center" wrapText="1"/>
    </xf>
    <xf numFmtId="0" fontId="1" fillId="17" borderId="16" xfId="0" quotePrefix="1" applyFont="1" applyFill="1" applyBorder="1" applyAlignment="1">
      <alignment vertical="center" wrapText="1"/>
    </xf>
    <xf numFmtId="0" fontId="1" fillId="8" borderId="16" xfId="0" applyFont="1" applyFill="1" applyBorder="1" applyAlignment="1">
      <alignment vertical="center" wrapText="1"/>
    </xf>
    <xf numFmtId="0" fontId="1" fillId="8" borderId="16" xfId="0" quotePrefix="1" applyFont="1" applyFill="1" applyBorder="1" applyAlignment="1">
      <alignment vertical="center" wrapText="1"/>
    </xf>
    <xf numFmtId="0" fontId="1" fillId="12" borderId="0" xfId="0" applyFont="1" applyFill="1" applyBorder="1" applyAlignment="1">
      <alignment vertical="center" wrapText="1"/>
    </xf>
    <xf numFmtId="0" fontId="1" fillId="8" borderId="27" xfId="0" applyFont="1" applyFill="1" applyBorder="1" applyAlignment="1">
      <alignment vertical="center" wrapText="1"/>
    </xf>
    <xf numFmtId="0" fontId="1" fillId="8" borderId="18" xfId="0" applyFont="1" applyFill="1" applyBorder="1" applyAlignment="1">
      <alignment vertical="center" wrapText="1"/>
    </xf>
    <xf numFmtId="0" fontId="1" fillId="9" borderId="16" xfId="0" applyFont="1" applyFill="1" applyBorder="1" applyAlignment="1">
      <alignment vertical="center" wrapText="1"/>
    </xf>
    <xf numFmtId="0" fontId="1" fillId="18" borderId="16" xfId="0" quotePrefix="1" applyFont="1" applyFill="1" applyBorder="1" applyAlignment="1">
      <alignment vertical="center" wrapText="1"/>
    </xf>
    <xf numFmtId="0" fontId="11" fillId="12" borderId="16" xfId="0" applyFont="1" applyFill="1" applyBorder="1" applyAlignment="1">
      <alignment vertical="center" wrapText="1"/>
    </xf>
    <xf numFmtId="0" fontId="11" fillId="12" borderId="16" xfId="0" quotePrefix="1" applyFont="1" applyFill="1" applyBorder="1" applyAlignment="1">
      <alignment vertical="center" wrapText="1"/>
    </xf>
    <xf numFmtId="0" fontId="3" fillId="20" borderId="16" xfId="0" applyFont="1" applyFill="1" applyBorder="1" applyAlignment="1">
      <alignment vertical="center"/>
    </xf>
    <xf numFmtId="0" fontId="3" fillId="20" borderId="16" xfId="0" applyFont="1" applyFill="1" applyBorder="1" applyAlignment="1">
      <alignment horizontal="left" vertical="center"/>
    </xf>
    <xf numFmtId="0" fontId="3" fillId="20" borderId="16" xfId="0" applyFont="1" applyFill="1" applyBorder="1" applyAlignment="1">
      <alignment horizontal="left" vertical="center" wrapText="1"/>
    </xf>
    <xf numFmtId="0" fontId="6" fillId="0" borderId="16" xfId="0" applyFont="1" applyBorder="1" applyAlignment="1">
      <alignment vertical="center" wrapText="1"/>
    </xf>
    <xf numFmtId="0" fontId="17" fillId="0" borderId="16" xfId="0" applyFont="1" applyFill="1" applyBorder="1" applyAlignment="1">
      <alignment horizontal="left" vertical="center" wrapText="1"/>
    </xf>
    <xf numFmtId="0" fontId="17" fillId="0" borderId="16" xfId="0" applyFont="1" applyFill="1" applyBorder="1" applyAlignment="1">
      <alignment vertical="center" wrapText="1"/>
    </xf>
    <xf numFmtId="0" fontId="6" fillId="0" borderId="16" xfId="0" applyFont="1" applyFill="1" applyBorder="1" applyAlignment="1">
      <alignment vertical="center" wrapText="1"/>
    </xf>
    <xf numFmtId="0" fontId="6" fillId="18" borderId="16" xfId="0" applyFont="1" applyFill="1" applyBorder="1" applyAlignment="1">
      <alignment vertical="center" wrapText="1"/>
    </xf>
    <xf numFmtId="49" fontId="1" fillId="0" borderId="16" xfId="0" applyNumberFormat="1" applyFont="1" applyBorder="1" applyAlignment="1">
      <alignment vertical="center" wrapText="1"/>
    </xf>
    <xf numFmtId="0" fontId="6" fillId="0" borderId="16" xfId="0" quotePrefix="1" applyFont="1" applyBorder="1" applyAlignment="1">
      <alignment vertical="center" wrapText="1"/>
    </xf>
    <xf numFmtId="0" fontId="6" fillId="16" borderId="16" xfId="0" applyFont="1" applyFill="1" applyBorder="1" applyAlignment="1">
      <alignment vertical="center" wrapText="1"/>
    </xf>
    <xf numFmtId="0" fontId="1" fillId="0" borderId="16" xfId="0" applyFont="1" applyBorder="1" applyAlignment="1">
      <alignment horizontal="center" wrapText="1"/>
    </xf>
    <xf numFmtId="0" fontId="0" fillId="0" borderId="16" xfId="0" applyBorder="1" applyAlignment="1">
      <alignment vertical="top" wrapText="1"/>
    </xf>
    <xf numFmtId="49" fontId="0" fillId="0" borderId="16" xfId="0" applyNumberFormat="1" applyBorder="1" applyAlignment="1">
      <alignment vertical="top" wrapText="1"/>
    </xf>
    <xf numFmtId="0" fontId="0" fillId="12" borderId="16" xfId="0" applyFill="1" applyBorder="1" applyAlignment="1">
      <alignment horizontal="left" vertical="top" wrapText="1"/>
    </xf>
    <xf numFmtId="0" fontId="0" fillId="12" borderId="16" xfId="0" applyFill="1" applyBorder="1" applyAlignment="1">
      <alignment vertical="top" wrapText="1"/>
    </xf>
    <xf numFmtId="49" fontId="0" fillId="12" borderId="16" xfId="0" applyNumberFormat="1" applyFill="1" applyBorder="1" applyAlignment="1">
      <alignment vertical="top" wrapText="1"/>
    </xf>
    <xf numFmtId="0" fontId="0" fillId="0" borderId="16" xfId="0" applyBorder="1" applyAlignment="1">
      <alignment horizontal="left" vertical="top" wrapText="1"/>
    </xf>
    <xf numFmtId="0" fontId="1" fillId="0" borderId="16" xfId="0" applyFont="1" applyFill="1" applyBorder="1" applyAlignment="1">
      <alignment horizontal="left" vertical="center" wrapText="1"/>
    </xf>
    <xf numFmtId="0" fontId="1" fillId="21" borderId="16" xfId="0" applyFont="1" applyFill="1" applyBorder="1" applyAlignment="1">
      <alignment horizontal="left" vertical="center" wrapText="1"/>
    </xf>
    <xf numFmtId="0" fontId="1" fillId="21" borderId="16" xfId="0" applyFont="1" applyFill="1" applyBorder="1" applyAlignment="1">
      <alignment vertical="center" wrapText="1"/>
    </xf>
    <xf numFmtId="0" fontId="6" fillId="21" borderId="16" xfId="0" applyFont="1" applyFill="1" applyBorder="1" applyAlignment="1">
      <alignment vertical="center" wrapText="1"/>
    </xf>
    <xf numFmtId="0" fontId="23" fillId="12" borderId="16" xfId="0" applyFont="1" applyFill="1" applyBorder="1" applyAlignment="1">
      <alignment vertical="center" wrapText="1"/>
    </xf>
    <xf numFmtId="49" fontId="1" fillId="21" borderId="16" xfId="0" applyNumberFormat="1" applyFont="1" applyFill="1" applyBorder="1" applyAlignment="1">
      <alignment vertical="center" wrapText="1"/>
    </xf>
    <xf numFmtId="0" fontId="3" fillId="20" borderId="27" xfId="0" applyFont="1" applyFill="1" applyBorder="1" applyAlignment="1">
      <alignment horizontal="left" vertical="center"/>
    </xf>
    <xf numFmtId="0" fontId="1" fillId="0" borderId="27" xfId="0" applyFont="1" applyBorder="1" applyAlignment="1">
      <alignment horizontal="left"/>
    </xf>
    <xf numFmtId="0" fontId="3" fillId="13" borderId="26" xfId="0" applyFont="1" applyFill="1" applyBorder="1" applyAlignment="1">
      <alignment horizontal="left" vertical="center" wrapText="1"/>
    </xf>
    <xf numFmtId="0" fontId="3" fillId="20" borderId="26" xfId="0" applyFont="1" applyFill="1" applyBorder="1" applyAlignment="1">
      <alignment horizontal="left" vertical="center"/>
    </xf>
    <xf numFmtId="0" fontId="6" fillId="0" borderId="26" xfId="0" applyFont="1" applyFill="1" applyBorder="1" applyAlignment="1">
      <alignment horizontal="left" vertical="center" wrapText="1"/>
    </xf>
    <xf numFmtId="0" fontId="1" fillId="0" borderId="26" xfId="0" applyFont="1" applyBorder="1" applyAlignment="1">
      <alignment vertical="center" wrapText="1"/>
    </xf>
    <xf numFmtId="0" fontId="6" fillId="0" borderId="26" xfId="0" applyFont="1" applyBorder="1" applyAlignment="1">
      <alignment horizontal="left" vertical="center" wrapText="1"/>
    </xf>
    <xf numFmtId="0" fontId="1" fillId="0" borderId="26" xfId="0" applyFont="1" applyBorder="1" applyAlignment="1">
      <alignment horizontal="left" vertical="center" wrapText="1"/>
    </xf>
    <xf numFmtId="0" fontId="1" fillId="0" borderId="26" xfId="0" applyFont="1" applyFill="1" applyBorder="1" applyAlignment="1">
      <alignment horizontal="left" vertical="center" wrapText="1"/>
    </xf>
    <xf numFmtId="0" fontId="1" fillId="0" borderId="26" xfId="0" applyFont="1" applyBorder="1" applyAlignment="1">
      <alignment horizontal="left"/>
    </xf>
    <xf numFmtId="0" fontId="3" fillId="13" borderId="1" xfId="0" applyFont="1" applyFill="1" applyBorder="1" applyAlignment="1">
      <alignment horizontal="left" vertical="center" wrapText="1"/>
    </xf>
    <xf numFmtId="0" fontId="3" fillId="20"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21" borderId="1" xfId="0" applyFont="1" applyFill="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Border="1" applyAlignment="1">
      <alignment horizontal="left"/>
    </xf>
    <xf numFmtId="0" fontId="3" fillId="16" borderId="16" xfId="0" applyFont="1" applyFill="1" applyBorder="1" applyAlignment="1">
      <alignment vertical="center"/>
    </xf>
    <xf numFmtId="0" fontId="3" fillId="13" borderId="27" xfId="0" applyFont="1" applyFill="1" applyBorder="1" applyAlignment="1">
      <alignment horizontal="left" vertical="center" wrapText="1"/>
    </xf>
    <xf numFmtId="0" fontId="1" fillId="21" borderId="16" xfId="0" quotePrefix="1" applyFont="1" applyFill="1" applyBorder="1" applyAlignment="1">
      <alignment vertical="center" wrapText="1"/>
    </xf>
    <xf numFmtId="0" fontId="1" fillId="0" borderId="0" xfId="0" applyFont="1" applyBorder="1" applyAlignment="1">
      <alignment horizontal="left"/>
    </xf>
    <xf numFmtId="0" fontId="1" fillId="0" borderId="18" xfId="0" applyFont="1" applyBorder="1"/>
    <xf numFmtId="0" fontId="1" fillId="0" borderId="28" xfId="0" applyFont="1" applyBorder="1" applyAlignment="1">
      <alignment horizontal="left"/>
    </xf>
    <xf numFmtId="0" fontId="1" fillId="0" borderId="3" xfId="0" applyFont="1" applyBorder="1" applyAlignment="1">
      <alignment horizontal="left"/>
    </xf>
    <xf numFmtId="0" fontId="1" fillId="0" borderId="32" xfId="0" applyFont="1" applyBorder="1" applyAlignment="1">
      <alignment horizontal="left"/>
    </xf>
    <xf numFmtId="0" fontId="1" fillId="0" borderId="18" xfId="0" applyFont="1" applyBorder="1" applyAlignment="1">
      <alignment horizontal="left"/>
    </xf>
    <xf numFmtId="0" fontId="0" fillId="12" borderId="21" xfId="0" applyFill="1" applyBorder="1" applyAlignment="1">
      <alignment vertical="top" wrapText="1"/>
    </xf>
    <xf numFmtId="0" fontId="17" fillId="0" borderId="19" xfId="0" applyFont="1" applyFill="1" applyBorder="1" applyAlignment="1">
      <alignment horizontal="left" vertical="center" wrapText="1"/>
    </xf>
    <xf numFmtId="0" fontId="17" fillId="0" borderId="16" xfId="0" applyFont="1" applyBorder="1" applyAlignment="1">
      <alignment horizontal="left" vertical="center" wrapText="1"/>
    </xf>
    <xf numFmtId="0" fontId="1" fillId="21" borderId="16" xfId="0" applyFont="1" applyFill="1" applyBorder="1" applyAlignment="1">
      <alignment horizontal="center" vertical="center"/>
    </xf>
    <xf numFmtId="0" fontId="1" fillId="16" borderId="16" xfId="0" applyFont="1" applyFill="1" applyBorder="1" applyAlignment="1">
      <alignment horizontal="center" wrapText="1"/>
    </xf>
    <xf numFmtId="0" fontId="0" fillId="16" borderId="16" xfId="0" applyFill="1" applyBorder="1" applyAlignment="1">
      <alignment vertical="top" wrapText="1"/>
    </xf>
    <xf numFmtId="0" fontId="6" fillId="16" borderId="1" xfId="0" applyFont="1" applyFill="1" applyBorder="1" applyAlignment="1">
      <alignment horizontal="left" vertical="center" wrapText="1"/>
    </xf>
    <xf numFmtId="0" fontId="6" fillId="16" borderId="16" xfId="0" applyFont="1" applyFill="1" applyBorder="1" applyAlignment="1">
      <alignment horizontal="left" vertical="center" wrapText="1"/>
    </xf>
    <xf numFmtId="0" fontId="6" fillId="16" borderId="26" xfId="0" applyFont="1" applyFill="1" applyBorder="1" applyAlignment="1">
      <alignment vertical="center" wrapText="1"/>
    </xf>
    <xf numFmtId="0" fontId="6" fillId="16" borderId="1" xfId="0" quotePrefix="1" applyFont="1" applyFill="1" applyBorder="1" applyAlignment="1">
      <alignment vertical="center" wrapText="1"/>
    </xf>
    <xf numFmtId="49" fontId="1" fillId="0" borderId="16" xfId="0" applyNumberFormat="1" applyFont="1" applyBorder="1" applyAlignment="1">
      <alignment vertical="top" wrapText="1"/>
    </xf>
    <xf numFmtId="0" fontId="1" fillId="0" borderId="16" xfId="0" applyFont="1" applyBorder="1" applyAlignment="1">
      <alignment vertical="top" wrapText="1"/>
    </xf>
    <xf numFmtId="0" fontId="1" fillId="12" borderId="1" xfId="0" applyFont="1" applyFill="1" applyBorder="1" applyAlignment="1">
      <alignment horizontal="left" vertical="top" wrapText="1"/>
    </xf>
    <xf numFmtId="0" fontId="1" fillId="12" borderId="26" xfId="0" applyFont="1" applyFill="1" applyBorder="1" applyAlignment="1">
      <alignment vertical="top" wrapText="1"/>
    </xf>
    <xf numFmtId="0" fontId="1" fillId="12" borderId="16" xfId="0" applyFont="1" applyFill="1" applyBorder="1" applyAlignment="1">
      <alignment vertical="top" wrapText="1"/>
    </xf>
    <xf numFmtId="49" fontId="1" fillId="12" borderId="16" xfId="0" applyNumberFormat="1" applyFont="1" applyFill="1" applyBorder="1" applyAlignment="1">
      <alignment vertical="top" wrapText="1"/>
    </xf>
    <xf numFmtId="0" fontId="1" fillId="16" borderId="26" xfId="0" applyFont="1" applyFill="1" applyBorder="1" applyAlignment="1">
      <alignment vertical="top" wrapText="1"/>
    </xf>
    <xf numFmtId="0" fontId="1" fillId="0" borderId="2" xfId="0" applyFont="1" applyBorder="1" applyAlignment="1">
      <alignment horizontal="left" vertical="top" wrapText="1"/>
    </xf>
    <xf numFmtId="0" fontId="1" fillId="12" borderId="21" xfId="0" applyFont="1" applyFill="1" applyBorder="1" applyAlignment="1">
      <alignment vertical="top" wrapText="1"/>
    </xf>
    <xf numFmtId="49" fontId="1" fillId="12" borderId="21" xfId="0" applyNumberFormat="1" applyFont="1" applyFill="1" applyBorder="1" applyAlignment="1">
      <alignment vertical="top" wrapText="1"/>
    </xf>
    <xf numFmtId="0" fontId="1" fillId="16" borderId="16" xfId="0" applyFont="1" applyFill="1" applyBorder="1" applyAlignment="1">
      <alignment wrapText="1"/>
    </xf>
    <xf numFmtId="0" fontId="17" fillId="0" borderId="0" xfId="0" applyFont="1"/>
    <xf numFmtId="0" fontId="1" fillId="21" borderId="26" xfId="0" applyFont="1" applyFill="1" applyBorder="1" applyAlignment="1">
      <alignment vertical="center" wrapText="1"/>
    </xf>
    <xf numFmtId="0" fontId="6" fillId="21" borderId="1" xfId="0" applyFont="1" applyFill="1" applyBorder="1" applyAlignment="1">
      <alignment horizontal="left" vertical="center" wrapText="1"/>
    </xf>
    <xf numFmtId="0" fontId="17" fillId="0" borderId="0" xfId="0" applyFont="1" applyAlignment="1">
      <alignment horizontal="left" vertical="top" wrapText="1"/>
    </xf>
    <xf numFmtId="0" fontId="17" fillId="0" borderId="43" xfId="0" applyFont="1" applyBorder="1" applyAlignment="1">
      <alignment vertical="top" wrapText="1"/>
    </xf>
    <xf numFmtId="0" fontId="17" fillId="0" borderId="42" xfId="0" applyFont="1" applyBorder="1" applyAlignment="1">
      <alignment wrapText="1"/>
    </xf>
    <xf numFmtId="0" fontId="17" fillId="0" borderId="44" xfId="0" applyFont="1" applyBorder="1" applyAlignment="1">
      <alignment wrapText="1"/>
    </xf>
    <xf numFmtId="0" fontId="17" fillId="0" borderId="44" xfId="0" applyFont="1" applyBorder="1" applyAlignment="1">
      <alignment vertical="top" wrapText="1"/>
    </xf>
    <xf numFmtId="0" fontId="17" fillId="0" borderId="0" xfId="0" applyFont="1" applyAlignment="1">
      <alignment vertical="center"/>
    </xf>
    <xf numFmtId="0" fontId="17" fillId="0" borderId="44" xfId="0" applyFont="1" applyBorder="1" applyAlignment="1">
      <alignment horizontal="left" vertical="top" wrapText="1"/>
    </xf>
    <xf numFmtId="0" fontId="17" fillId="0" borderId="44" xfId="0" applyFont="1" applyBorder="1" applyAlignment="1">
      <alignment vertical="center" wrapText="1"/>
    </xf>
    <xf numFmtId="0" fontId="17" fillId="0" borderId="44" xfId="0" applyFont="1" applyBorder="1" applyAlignment="1">
      <alignment vertical="center"/>
    </xf>
    <xf numFmtId="0" fontId="17" fillId="0" borderId="42" xfId="0" applyFont="1" applyBorder="1" applyAlignment="1">
      <alignment horizontal="left" vertical="top" wrapText="1"/>
    </xf>
    <xf numFmtId="0" fontId="6" fillId="21" borderId="21" xfId="0" quotePrefix="1" applyFont="1" applyFill="1" applyBorder="1" applyAlignment="1">
      <alignment vertical="center" wrapText="1"/>
    </xf>
    <xf numFmtId="0" fontId="1" fillId="0" borderId="44" xfId="0" applyFont="1" applyBorder="1" applyAlignment="1">
      <alignment vertical="center" wrapText="1"/>
    </xf>
    <xf numFmtId="0" fontId="17" fillId="0" borderId="42" xfId="0" applyFont="1" applyBorder="1" applyAlignment="1">
      <alignment vertical="center"/>
    </xf>
    <xf numFmtId="0" fontId="1" fillId="0" borderId="16" xfId="0" applyFont="1" applyBorder="1" applyAlignment="1">
      <alignment horizontal="left" vertical="top" wrapText="1"/>
    </xf>
    <xf numFmtId="0" fontId="17" fillId="0" borderId="43" xfId="0" applyFont="1" applyBorder="1" applyAlignment="1">
      <alignment vertical="center"/>
    </xf>
    <xf numFmtId="0" fontId="1" fillId="0" borderId="21" xfId="0" applyFont="1" applyBorder="1" applyAlignment="1">
      <alignment vertical="center" wrapText="1"/>
    </xf>
    <xf numFmtId="0" fontId="3" fillId="13" borderId="16" xfId="0" applyFont="1" applyFill="1" applyBorder="1" applyAlignment="1">
      <alignment horizontal="center" vertical="center"/>
    </xf>
    <xf numFmtId="0" fontId="3" fillId="20" borderId="16" xfId="0" applyFont="1" applyFill="1" applyBorder="1" applyAlignment="1">
      <alignment horizontal="center" vertical="center"/>
    </xf>
    <xf numFmtId="0" fontId="1" fillId="0" borderId="0" xfId="0" applyFont="1" applyBorder="1" applyAlignment="1">
      <alignment horizontal="center" vertical="center"/>
    </xf>
    <xf numFmtId="0" fontId="1" fillId="0" borderId="18" xfId="0" applyFont="1" applyBorder="1" applyAlignment="1">
      <alignment horizontal="center" vertical="center"/>
    </xf>
    <xf numFmtId="0" fontId="3" fillId="13" borderId="16" xfId="0" applyFont="1" applyFill="1" applyBorder="1" applyAlignment="1">
      <alignment horizontal="center" vertical="center" wrapText="1"/>
    </xf>
    <xf numFmtId="0" fontId="6" fillId="0" borderId="3" xfId="0" applyFont="1" applyBorder="1" applyAlignment="1">
      <alignment horizontal="center" vertical="center" wrapText="1"/>
    </xf>
    <xf numFmtId="0" fontId="1" fillId="21" borderId="16" xfId="0" applyFont="1" applyFill="1" applyBorder="1" applyAlignment="1">
      <alignment horizontal="center" vertical="center" wrapText="1"/>
    </xf>
    <xf numFmtId="0" fontId="6" fillId="21" borderId="16" xfId="0" applyFont="1" applyFill="1" applyBorder="1" applyAlignment="1">
      <alignment horizontal="center" vertical="center" wrapText="1"/>
    </xf>
    <xf numFmtId="0" fontId="6" fillId="16" borderId="27"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7" fillId="0" borderId="45" xfId="0" applyFont="1" applyBorder="1" applyAlignment="1">
      <alignment vertical="center"/>
    </xf>
    <xf numFmtId="0" fontId="1" fillId="16" borderId="46" xfId="0" applyFont="1" applyFill="1" applyBorder="1" applyAlignment="1">
      <alignment horizontal="center"/>
    </xf>
    <xf numFmtId="0" fontId="1" fillId="16" borderId="0" xfId="0" applyFont="1" applyFill="1" applyBorder="1" applyAlignment="1">
      <alignment horizontal="left"/>
    </xf>
    <xf numFmtId="0" fontId="1" fillId="16" borderId="0" xfId="0" applyFont="1" applyFill="1" applyBorder="1" applyAlignment="1">
      <alignment horizontal="center" vertical="center"/>
    </xf>
    <xf numFmtId="0" fontId="1" fillId="16" borderId="0" xfId="0" applyFont="1" applyFill="1" applyBorder="1"/>
    <xf numFmtId="0" fontId="3" fillId="14" borderId="16" xfId="0" applyFont="1" applyFill="1" applyBorder="1" applyAlignment="1">
      <alignment vertical="center" wrapText="1"/>
    </xf>
    <xf numFmtId="0" fontId="1" fillId="12" borderId="16" xfId="0" applyFont="1" applyFill="1" applyBorder="1" applyAlignment="1">
      <alignment horizontal="left" vertical="center" wrapText="1"/>
    </xf>
    <xf numFmtId="0" fontId="24" fillId="0" borderId="16" xfId="0" applyFont="1" applyFill="1" applyBorder="1" applyAlignment="1">
      <alignment horizontal="left" vertical="center" wrapText="1"/>
    </xf>
    <xf numFmtId="0" fontId="24" fillId="21" borderId="16" xfId="0" applyFont="1" applyFill="1" applyBorder="1" applyAlignment="1">
      <alignment vertical="center" wrapText="1"/>
    </xf>
    <xf numFmtId="0" fontId="1" fillId="16" borderId="16" xfId="0" applyFont="1" applyFill="1" applyBorder="1" applyAlignment="1">
      <alignment horizontal="center" vertical="center" wrapText="1"/>
    </xf>
    <xf numFmtId="0" fontId="6" fillId="16" borderId="26" xfId="0" applyFont="1" applyFill="1" applyBorder="1" applyAlignment="1">
      <alignment horizontal="left" vertical="center" wrapText="1"/>
    </xf>
    <xf numFmtId="0" fontId="1" fillId="12" borderId="16" xfId="0" applyFont="1" applyFill="1" applyBorder="1" applyAlignment="1">
      <alignment horizontal="center" wrapText="1"/>
    </xf>
    <xf numFmtId="0" fontId="1" fillId="12" borderId="16" xfId="0" applyFont="1" applyFill="1" applyBorder="1"/>
    <xf numFmtId="0" fontId="17" fillId="12" borderId="0" xfId="0" applyFont="1" applyFill="1" applyAlignment="1">
      <alignment wrapText="1"/>
    </xf>
    <xf numFmtId="0" fontId="1" fillId="0" borderId="20" xfId="0" applyFont="1" applyBorder="1" applyAlignment="1">
      <alignment horizontal="center" vertical="center" wrapText="1"/>
    </xf>
    <xf numFmtId="0" fontId="3" fillId="20" borderId="27" xfId="0" applyFont="1" applyFill="1" applyBorder="1" applyAlignment="1">
      <alignment vertical="center"/>
    </xf>
    <xf numFmtId="0" fontId="1" fillId="0" borderId="16" xfId="0" applyFont="1" applyBorder="1" applyAlignment="1">
      <alignment horizontal="center" vertical="center"/>
    </xf>
    <xf numFmtId="0" fontId="1" fillId="0" borderId="16" xfId="0" applyFont="1" applyBorder="1"/>
    <xf numFmtId="49" fontId="1" fillId="12" borderId="0" xfId="0" applyNumberFormat="1" applyFont="1" applyFill="1" applyBorder="1" applyAlignment="1">
      <alignment vertical="top" wrapText="1"/>
    </xf>
    <xf numFmtId="0" fontId="0" fillId="12" borderId="34" xfId="0" applyFill="1" applyBorder="1" applyAlignment="1">
      <alignment vertical="center" wrapText="1"/>
    </xf>
    <xf numFmtId="0" fontId="0" fillId="12" borderId="35" xfId="0" applyFill="1" applyBorder="1" applyAlignment="1">
      <alignment vertical="center" wrapText="1"/>
    </xf>
    <xf numFmtId="0" fontId="1" fillId="12" borderId="39" xfId="0" applyFont="1" applyFill="1" applyBorder="1" applyAlignment="1">
      <alignment vertical="top" wrapText="1"/>
    </xf>
    <xf numFmtId="0" fontId="17" fillId="0" borderId="16" xfId="0" applyFont="1" applyBorder="1" applyAlignment="1">
      <alignment horizontal="center" vertical="center"/>
    </xf>
    <xf numFmtId="0" fontId="25" fillId="26" borderId="1" xfId="0" applyFont="1" applyFill="1" applyBorder="1" applyAlignment="1">
      <alignment horizontal="left" vertical="center" wrapText="1"/>
    </xf>
    <xf numFmtId="0" fontId="25" fillId="27" borderId="16" xfId="0" applyFont="1" applyFill="1" applyBorder="1" applyAlignment="1">
      <alignment vertical="center"/>
    </xf>
    <xf numFmtId="0" fontId="25" fillId="27" borderId="27" xfId="0" applyFont="1" applyFill="1" applyBorder="1" applyAlignment="1">
      <alignment horizontal="left" vertical="center"/>
    </xf>
    <xf numFmtId="0" fontId="25" fillId="27" borderId="1" xfId="0" applyFont="1" applyFill="1" applyBorder="1" applyAlignment="1">
      <alignment horizontal="left" vertical="center"/>
    </xf>
    <xf numFmtId="0" fontId="25" fillId="27" borderId="26" xfId="0" applyFont="1" applyFill="1" applyBorder="1" applyAlignment="1">
      <alignment horizontal="left" vertical="center"/>
    </xf>
    <xf numFmtId="0" fontId="25" fillId="27" borderId="16" xfId="0" applyFont="1" applyFill="1" applyBorder="1" applyAlignment="1">
      <alignment horizontal="center" vertical="center"/>
    </xf>
    <xf numFmtId="0" fontId="17" fillId="0" borderId="1" xfId="0" applyFont="1" applyBorder="1" applyAlignment="1">
      <alignment horizontal="left" vertical="center" wrapText="1"/>
    </xf>
    <xf numFmtId="0" fontId="17" fillId="0" borderId="26" xfId="0" applyFont="1" applyBorder="1" applyAlignment="1">
      <alignment horizontal="left" vertical="center" wrapText="1"/>
    </xf>
    <xf numFmtId="0" fontId="17" fillId="0" borderId="16" xfId="0" applyFont="1" applyBorder="1" applyAlignment="1">
      <alignment vertical="center" wrapText="1"/>
    </xf>
    <xf numFmtId="0" fontId="17" fillId="0" borderId="16" xfId="0" applyFont="1" applyBorder="1" applyAlignment="1">
      <alignment horizontal="center" vertical="center" wrapText="1"/>
    </xf>
    <xf numFmtId="0" fontId="17" fillId="24" borderId="16" xfId="0" applyFont="1" applyFill="1" applyBorder="1" applyAlignment="1">
      <alignment vertical="center" wrapText="1"/>
    </xf>
    <xf numFmtId="0" fontId="17" fillId="24" borderId="16" xfId="0" applyFont="1" applyFill="1" applyBorder="1" applyAlignment="1">
      <alignment horizontal="center" vertical="center"/>
    </xf>
    <xf numFmtId="0" fontId="25" fillId="27" borderId="27" xfId="0" applyFont="1" applyFill="1" applyBorder="1" applyAlignment="1">
      <alignment vertical="center"/>
    </xf>
    <xf numFmtId="0" fontId="17" fillId="0" borderId="1" xfId="0" applyFont="1" applyBorder="1" applyAlignment="1">
      <alignment horizontal="center" vertical="center" wrapText="1"/>
    </xf>
    <xf numFmtId="0" fontId="6" fillId="24" borderId="16" xfId="0" applyFont="1" applyFill="1" applyBorder="1" applyAlignment="1">
      <alignment horizontal="center" vertical="center" wrapText="1"/>
    </xf>
    <xf numFmtId="0" fontId="17" fillId="0" borderId="26" xfId="0" applyFont="1" applyBorder="1" applyAlignment="1">
      <alignment vertical="center" wrapText="1"/>
    </xf>
    <xf numFmtId="0" fontId="17" fillId="24" borderId="16" xfId="0" applyFont="1" applyFill="1" applyBorder="1" applyAlignment="1">
      <alignment horizontal="center" vertical="center" wrapText="1"/>
    </xf>
    <xf numFmtId="0" fontId="17" fillId="0" borderId="1" xfId="0" applyFont="1" applyBorder="1" applyAlignment="1">
      <alignment vertical="center" wrapText="1"/>
    </xf>
    <xf numFmtId="0" fontId="17" fillId="24" borderId="1" xfId="0" applyFont="1" applyFill="1" applyBorder="1" applyAlignment="1">
      <alignment horizontal="left" vertical="center" wrapText="1"/>
    </xf>
    <xf numFmtId="0" fontId="17" fillId="24" borderId="26" xfId="0" applyFont="1" applyFill="1" applyBorder="1" applyAlignment="1">
      <alignment vertical="center" wrapText="1"/>
    </xf>
    <xf numFmtId="0" fontId="6" fillId="24" borderId="1" xfId="0" applyFont="1" applyFill="1" applyBorder="1" applyAlignment="1">
      <alignment horizontal="left" vertical="center" wrapText="1"/>
    </xf>
    <xf numFmtId="0" fontId="6" fillId="24" borderId="26" xfId="0" applyFont="1" applyFill="1" applyBorder="1" applyAlignment="1">
      <alignment horizontal="left" vertical="center" wrapText="1"/>
    </xf>
    <xf numFmtId="0" fontId="17" fillId="0" borderId="1" xfId="0" applyFont="1" applyBorder="1" applyAlignment="1">
      <alignment horizontal="left" vertical="top" wrapText="1"/>
    </xf>
    <xf numFmtId="0" fontId="17" fillId="24" borderId="26" xfId="0" applyFont="1" applyFill="1" applyBorder="1" applyAlignment="1">
      <alignment vertical="top" wrapText="1"/>
    </xf>
    <xf numFmtId="0" fontId="17" fillId="24" borderId="16" xfId="0" applyFont="1" applyFill="1" applyBorder="1" applyAlignment="1">
      <alignment vertical="top" wrapText="1"/>
    </xf>
    <xf numFmtId="0" fontId="17" fillId="24" borderId="1" xfId="0" applyFont="1" applyFill="1" applyBorder="1" applyAlignment="1">
      <alignment horizontal="left" vertical="top" wrapText="1"/>
    </xf>
    <xf numFmtId="0" fontId="17" fillId="0" borderId="16" xfId="0" applyFont="1" applyBorder="1" applyAlignment="1">
      <alignment vertical="top" wrapText="1"/>
    </xf>
    <xf numFmtId="0" fontId="17" fillId="0" borderId="16" xfId="0" applyFont="1" applyBorder="1" applyAlignment="1">
      <alignment horizontal="left" vertical="center"/>
    </xf>
    <xf numFmtId="0" fontId="17" fillId="0" borderId="43" xfId="0" applyFont="1" applyBorder="1" applyAlignment="1">
      <alignment horizontal="left" vertical="top" wrapText="1"/>
    </xf>
    <xf numFmtId="0" fontId="17" fillId="0" borderId="43" xfId="0" applyFont="1" applyBorder="1" applyAlignment="1">
      <alignment vertical="center" wrapText="1"/>
    </xf>
    <xf numFmtId="0" fontId="25" fillId="26" borderId="51" xfId="0" applyFont="1" applyFill="1" applyBorder="1" applyAlignment="1">
      <alignment horizontal="left" vertical="center" wrapText="1"/>
    </xf>
    <xf numFmtId="0" fontId="25" fillId="26" borderId="52" xfId="0" applyFont="1" applyFill="1" applyBorder="1" applyAlignment="1">
      <alignment horizontal="left" vertical="center" wrapText="1"/>
    </xf>
    <xf numFmtId="0" fontId="25" fillId="26" borderId="53" xfId="0" applyFont="1" applyFill="1" applyBorder="1" applyAlignment="1">
      <alignment vertical="center" wrapText="1"/>
    </xf>
    <xf numFmtId="0" fontId="25" fillId="26" borderId="53" xfId="0" applyFont="1" applyFill="1" applyBorder="1" applyAlignment="1">
      <alignment horizontal="center" vertical="center" wrapText="1"/>
    </xf>
    <xf numFmtId="0" fontId="25" fillId="27" borderId="56" xfId="0" applyFont="1" applyFill="1" applyBorder="1" applyAlignment="1">
      <alignment vertical="center"/>
    </xf>
    <xf numFmtId="0" fontId="17" fillId="0" borderId="14" xfId="0" applyFont="1" applyBorder="1" applyAlignment="1">
      <alignment vertical="center"/>
    </xf>
    <xf numFmtId="0" fontId="17" fillId="24" borderId="56" xfId="0" applyFont="1" applyFill="1" applyBorder="1" applyAlignment="1">
      <alignment vertical="center" wrapText="1"/>
    </xf>
    <xf numFmtId="0" fontId="17" fillId="0" borderId="34" xfId="0" applyFont="1" applyBorder="1" applyAlignment="1">
      <alignment horizontal="left" vertical="center" wrapText="1"/>
    </xf>
    <xf numFmtId="0" fontId="17" fillId="0" borderId="56" xfId="0" applyFont="1" applyBorder="1" applyAlignment="1">
      <alignment horizontal="left" vertical="center" wrapText="1"/>
    </xf>
    <xf numFmtId="0" fontId="6" fillId="0" borderId="34" xfId="0" applyFont="1" applyBorder="1" applyAlignment="1">
      <alignment horizontal="left" vertical="center" wrapText="1"/>
    </xf>
    <xf numFmtId="0" fontId="6" fillId="24" borderId="34" xfId="0" applyFont="1" applyFill="1" applyBorder="1" applyAlignment="1">
      <alignment vertical="center" wrapText="1"/>
    </xf>
    <xf numFmtId="0" fontId="6" fillId="24" borderId="35" xfId="0" applyFont="1" applyFill="1" applyBorder="1" applyAlignment="1">
      <alignment vertical="center" wrapText="1"/>
    </xf>
    <xf numFmtId="0" fontId="17" fillId="0" borderId="34" xfId="0" applyFont="1" applyBorder="1" applyAlignment="1">
      <alignment vertical="center" wrapText="1"/>
    </xf>
    <xf numFmtId="0" fontId="17" fillId="0" borderId="35" xfId="0" applyFont="1" applyBorder="1" applyAlignment="1">
      <alignment vertical="center" wrapText="1"/>
    </xf>
    <xf numFmtId="0" fontId="17" fillId="0" borderId="56" xfId="0" applyFont="1" applyBorder="1" applyAlignment="1">
      <alignment vertical="center" wrapText="1"/>
    </xf>
    <xf numFmtId="0" fontId="6" fillId="0" borderId="56" xfId="0" applyFont="1" applyBorder="1" applyAlignment="1">
      <alignment vertical="center" wrapText="1"/>
    </xf>
    <xf numFmtId="0" fontId="17" fillId="0" borderId="14" xfId="0" applyFont="1" applyBorder="1"/>
    <xf numFmtId="0" fontId="17" fillId="0" borderId="34" xfId="0" applyFont="1" applyBorder="1" applyAlignment="1">
      <alignment wrapText="1"/>
    </xf>
    <xf numFmtId="0" fontId="17" fillId="0" borderId="57" xfId="0" applyFont="1" applyBorder="1" applyAlignment="1">
      <alignment vertical="top" wrapText="1"/>
    </xf>
    <xf numFmtId="0" fontId="17" fillId="0" borderId="35" xfId="0" applyFont="1" applyBorder="1" applyAlignment="1">
      <alignment horizontal="left" vertical="top" wrapText="1"/>
    </xf>
    <xf numFmtId="0" fontId="17" fillId="0" borderId="57" xfId="0" applyFont="1" applyBorder="1" applyAlignment="1">
      <alignment vertical="center"/>
    </xf>
    <xf numFmtId="0" fontId="17" fillId="0" borderId="34" xfId="0" applyFont="1" applyBorder="1" applyAlignment="1">
      <alignment horizontal="left" vertical="top" wrapText="1"/>
    </xf>
    <xf numFmtId="0" fontId="17" fillId="0" borderId="40" xfId="0" applyFont="1" applyBorder="1" applyAlignment="1">
      <alignment vertical="center"/>
    </xf>
    <xf numFmtId="0" fontId="17" fillId="0" borderId="14" xfId="0" applyFont="1" applyBorder="1" applyAlignment="1">
      <alignment horizontal="left" vertical="top" wrapText="1"/>
    </xf>
    <xf numFmtId="0" fontId="17" fillId="0" borderId="41" xfId="0" applyFont="1" applyBorder="1" applyAlignment="1">
      <alignment vertical="center" wrapText="1"/>
    </xf>
    <xf numFmtId="0" fontId="17" fillId="0" borderId="58" xfId="0" applyFont="1" applyBorder="1" applyAlignment="1">
      <alignment vertical="center"/>
    </xf>
    <xf numFmtId="0" fontId="17" fillId="24" borderId="34" xfId="0" applyFont="1" applyFill="1" applyBorder="1" applyAlignment="1">
      <alignment vertical="top" wrapText="1"/>
    </xf>
    <xf numFmtId="0" fontId="17" fillId="24" borderId="56" xfId="0" applyFont="1" applyFill="1" applyBorder="1" applyAlignment="1">
      <alignment vertical="top" wrapText="1"/>
    </xf>
    <xf numFmtId="0" fontId="17" fillId="0" borderId="56" xfId="0" applyFont="1" applyBorder="1" applyAlignment="1">
      <alignment vertical="top" wrapText="1"/>
    </xf>
    <xf numFmtId="0" fontId="17" fillId="0" borderId="59" xfId="0" applyFont="1" applyBorder="1" applyAlignment="1">
      <alignment vertical="center"/>
    </xf>
    <xf numFmtId="0" fontId="17" fillId="0" borderId="42" xfId="0" applyFont="1" applyBorder="1" applyAlignment="1">
      <alignment horizontal="left" vertical="center" wrapText="1"/>
    </xf>
    <xf numFmtId="0" fontId="17" fillId="0" borderId="42" xfId="0" applyFont="1" applyBorder="1" applyAlignment="1">
      <alignment horizontal="center" vertical="center"/>
    </xf>
    <xf numFmtId="0" fontId="17" fillId="24" borderId="27" xfId="0" applyFont="1" applyFill="1" applyBorder="1" applyAlignment="1">
      <alignment horizontal="center" vertical="center"/>
    </xf>
    <xf numFmtId="0" fontId="17" fillId="0" borderId="1" xfId="0" applyFont="1" applyBorder="1" applyAlignment="1">
      <alignment vertical="center"/>
    </xf>
    <xf numFmtId="0" fontId="17" fillId="0" borderId="41" xfId="0" applyFont="1" applyBorder="1" applyAlignment="1">
      <alignment horizontal="left" vertical="top" wrapText="1"/>
    </xf>
    <xf numFmtId="0" fontId="25" fillId="26" borderId="53" xfId="0" applyFont="1" applyFill="1" applyBorder="1" applyAlignment="1">
      <alignment vertical="center"/>
    </xf>
    <xf numFmtId="0" fontId="25" fillId="27" borderId="16" xfId="0" applyFont="1" applyFill="1" applyBorder="1" applyAlignment="1">
      <alignment vertical="center" wrapText="1"/>
    </xf>
    <xf numFmtId="0" fontId="0" fillId="0" borderId="0" xfId="0" applyAlignment="1"/>
    <xf numFmtId="0" fontId="17" fillId="24" borderId="39" xfId="0" applyFont="1" applyFill="1" applyBorder="1" applyAlignment="1">
      <alignment vertical="top" wrapText="1"/>
    </xf>
    <xf numFmtId="0" fontId="17" fillId="0" borderId="34" xfId="0" applyFont="1" applyBorder="1" applyAlignment="1">
      <alignment vertical="top" wrapText="1"/>
    </xf>
    <xf numFmtId="0" fontId="17" fillId="0" borderId="54" xfId="0" applyFont="1" applyBorder="1" applyAlignment="1">
      <alignment vertical="center"/>
    </xf>
    <xf numFmtId="0" fontId="17" fillId="24" borderId="20" xfId="0" applyFont="1" applyFill="1" applyBorder="1" applyAlignment="1">
      <alignment horizontal="center" vertical="center" wrapText="1"/>
    </xf>
    <xf numFmtId="0" fontId="17" fillId="24" borderId="1" xfId="0" applyFont="1" applyFill="1" applyBorder="1" applyAlignment="1">
      <alignment vertical="center" wrapText="1"/>
    </xf>
    <xf numFmtId="0" fontId="17" fillId="0" borderId="53" xfId="0" applyFont="1" applyBorder="1" applyAlignment="1">
      <alignment horizontal="left" vertical="center" wrapText="1"/>
    </xf>
    <xf numFmtId="0" fontId="17" fillId="0" borderId="53" xfId="0" applyFont="1" applyBorder="1" applyAlignment="1">
      <alignment horizontal="left" vertical="center"/>
    </xf>
    <xf numFmtId="0" fontId="17" fillId="0" borderId="53" xfId="0" applyFont="1" applyBorder="1" applyAlignment="1">
      <alignment vertical="top" wrapText="1"/>
    </xf>
    <xf numFmtId="0" fontId="17" fillId="0" borderId="53" xfId="0" applyFont="1" applyBorder="1" applyAlignment="1">
      <alignment horizontal="center" vertical="center"/>
    </xf>
    <xf numFmtId="0" fontId="17" fillId="0" borderId="54" xfId="0" applyFont="1" applyBorder="1" applyAlignment="1">
      <alignment horizontal="left" vertical="center" wrapText="1"/>
    </xf>
    <xf numFmtId="0" fontId="17" fillId="0" borderId="21" xfId="0" applyFont="1" applyBorder="1" applyAlignment="1">
      <alignment vertical="top" wrapText="1"/>
    </xf>
    <xf numFmtId="0" fontId="17" fillId="0" borderId="38" xfId="0" applyFont="1" applyBorder="1" applyAlignment="1">
      <alignment horizontal="left" vertical="center"/>
    </xf>
    <xf numFmtId="0" fontId="6" fillId="0" borderId="2" xfId="0" applyFont="1" applyBorder="1" applyAlignment="1">
      <alignment vertical="center" wrapText="1"/>
    </xf>
    <xf numFmtId="0" fontId="6" fillId="0" borderId="37" xfId="0" applyFont="1" applyBorder="1" applyAlignment="1">
      <alignment vertical="center" wrapText="1"/>
    </xf>
    <xf numFmtId="0" fontId="6" fillId="0" borderId="47" xfId="0" applyFont="1" applyBorder="1" applyAlignment="1">
      <alignment vertical="center" wrapText="1"/>
    </xf>
    <xf numFmtId="0" fontId="6" fillId="0" borderId="38" xfId="0" applyFont="1" applyBorder="1" applyAlignment="1">
      <alignment vertical="center" wrapText="1"/>
    </xf>
    <xf numFmtId="0" fontId="26" fillId="0" borderId="37" xfId="0" applyFont="1" applyBorder="1" applyAlignment="1">
      <alignment vertical="center" wrapText="1"/>
    </xf>
    <xf numFmtId="0" fontId="1" fillId="0" borderId="4" xfId="0" applyFont="1" applyBorder="1" applyAlignment="1">
      <alignment horizontal="left" vertical="center" wrapText="1"/>
    </xf>
    <xf numFmtId="0" fontId="6" fillId="0" borderId="48" xfId="0" applyFont="1" applyBorder="1" applyAlignment="1">
      <alignment vertical="center" wrapText="1"/>
    </xf>
    <xf numFmtId="0" fontId="25" fillId="26" borderId="50" xfId="0" applyFont="1" applyFill="1" applyBorder="1" applyAlignment="1">
      <alignment horizontal="center" vertical="center" wrapText="1"/>
    </xf>
    <xf numFmtId="0" fontId="25" fillId="27" borderId="55" xfId="0" applyFont="1" applyFill="1" applyBorder="1" applyAlignment="1">
      <alignment horizontal="center" vertical="center"/>
    </xf>
    <xf numFmtId="0" fontId="0" fillId="0" borderId="0" xfId="0" applyAlignment="1">
      <alignment horizontal="center"/>
    </xf>
    <xf numFmtId="0" fontId="26" fillId="21" borderId="37" xfId="0" applyFont="1" applyFill="1" applyBorder="1" applyAlignment="1">
      <alignment horizontal="center" vertical="center" wrapText="1"/>
    </xf>
    <xf numFmtId="0" fontId="6" fillId="24" borderId="21" xfId="0" applyFont="1" applyFill="1" applyBorder="1" applyAlignment="1">
      <alignment vertical="center" wrapText="1"/>
    </xf>
    <xf numFmtId="0" fontId="17" fillId="22" borderId="21" xfId="0" applyFont="1" applyFill="1" applyBorder="1" applyAlignment="1">
      <alignment vertical="center" wrapText="1"/>
    </xf>
    <xf numFmtId="0" fontId="6" fillId="24" borderId="2" xfId="0" applyFont="1" applyFill="1" applyBorder="1" applyAlignment="1">
      <alignment vertical="center" wrapText="1"/>
    </xf>
    <xf numFmtId="0" fontId="17" fillId="23" borderId="21" xfId="0" applyFont="1" applyFill="1" applyBorder="1" applyAlignment="1">
      <alignment vertical="center" wrapText="1"/>
    </xf>
    <xf numFmtId="0" fontId="6" fillId="21" borderId="37" xfId="0" applyFont="1" applyFill="1" applyBorder="1" applyAlignment="1">
      <alignment vertical="center" wrapText="1"/>
    </xf>
    <xf numFmtId="0" fontId="6" fillId="24" borderId="37" xfId="0" applyFont="1" applyFill="1" applyBorder="1" applyAlignment="1">
      <alignment vertical="center" wrapText="1"/>
    </xf>
    <xf numFmtId="0" fontId="17" fillId="0" borderId="14" xfId="0" applyFont="1" applyBorder="1" applyAlignment="1">
      <alignment vertical="center" wrapText="1"/>
    </xf>
    <xf numFmtId="0" fontId="6" fillId="0" borderId="41" xfId="0" applyFont="1" applyBorder="1" applyAlignment="1">
      <alignment vertical="center" wrapText="1"/>
    </xf>
    <xf numFmtId="0" fontId="17" fillId="24" borderId="21" xfId="0" applyFont="1" applyFill="1" applyBorder="1" applyAlignment="1">
      <alignment vertical="center"/>
    </xf>
    <xf numFmtId="0" fontId="18" fillId="24" borderId="34" xfId="0" applyFont="1" applyFill="1" applyBorder="1" applyAlignment="1">
      <alignment vertical="center" wrapText="1"/>
    </xf>
    <xf numFmtId="0" fontId="18" fillId="24" borderId="37" xfId="0" applyFont="1" applyFill="1" applyBorder="1" applyAlignment="1">
      <alignment vertical="center" wrapText="1"/>
    </xf>
    <xf numFmtId="0" fontId="17" fillId="0" borderId="49" xfId="0" applyFont="1" applyBorder="1" applyAlignment="1">
      <alignment vertical="center" wrapText="1"/>
    </xf>
    <xf numFmtId="0" fontId="18" fillId="21" borderId="37" xfId="0" applyFont="1" applyFill="1" applyBorder="1" applyAlignment="1">
      <alignment vertical="center" wrapText="1"/>
    </xf>
    <xf numFmtId="0" fontId="18" fillId="0" borderId="37" xfId="0" applyFont="1" applyBorder="1" applyAlignment="1">
      <alignment vertical="center" wrapText="1"/>
    </xf>
    <xf numFmtId="0" fontId="17" fillId="0" borderId="60" xfId="0" applyFont="1" applyBorder="1" applyAlignment="1"/>
    <xf numFmtId="0" fontId="17" fillId="0" borderId="37" xfId="0" applyFont="1" applyBorder="1" applyAlignment="1"/>
    <xf numFmtId="0" fontId="25" fillId="27" borderId="27" xfId="0" applyFont="1" applyFill="1" applyBorder="1" applyAlignment="1">
      <alignment horizontal="center" vertical="center"/>
    </xf>
    <xf numFmtId="0" fontId="17" fillId="0" borderId="0" xfId="0" applyFont="1" applyBorder="1" applyAlignment="1">
      <alignment horizontal="center" vertical="center" wrapText="1"/>
    </xf>
    <xf numFmtId="0" fontId="19" fillId="28" borderId="53" xfId="0" applyFont="1" applyFill="1" applyBorder="1" applyAlignment="1">
      <alignment vertical="center"/>
    </xf>
    <xf numFmtId="0" fontId="19" fillId="28" borderId="53" xfId="0" applyFont="1" applyFill="1" applyBorder="1" applyAlignment="1">
      <alignment horizontal="center" vertical="center"/>
    </xf>
    <xf numFmtId="0" fontId="19" fillId="28" borderId="51" xfId="0" applyFont="1" applyFill="1" applyBorder="1" applyAlignment="1">
      <alignment horizontal="center" vertical="center" wrapText="1"/>
    </xf>
    <xf numFmtId="0" fontId="19" fillId="28" borderId="54" xfId="0" applyFont="1" applyFill="1" applyBorder="1" applyAlignment="1">
      <alignment vertical="center" wrapText="1"/>
    </xf>
    <xf numFmtId="0" fontId="0" fillId="0" borderId="0" xfId="0" applyAlignment="1">
      <alignment horizontal="center" vertical="center"/>
    </xf>
    <xf numFmtId="0" fontId="17" fillId="24" borderId="34" xfId="0" applyFont="1" applyFill="1" applyBorder="1" applyAlignment="1">
      <alignment horizontal="left" vertical="center" wrapText="1"/>
    </xf>
    <xf numFmtId="0" fontId="17" fillId="0" borderId="21" xfId="0" applyFont="1" applyBorder="1" applyAlignment="1">
      <alignment horizontal="center" vertical="center"/>
    </xf>
    <xf numFmtId="0" fontId="17" fillId="0" borderId="34" xfId="0" applyFont="1" applyBorder="1" applyAlignment="1">
      <alignment horizontal="left" vertical="center"/>
    </xf>
    <xf numFmtId="0" fontId="17" fillId="0" borderId="21" xfId="0" applyFont="1" applyBorder="1" applyAlignment="1">
      <alignment horizontal="left" vertical="center"/>
    </xf>
    <xf numFmtId="0" fontId="17" fillId="24" borderId="21" xfId="0" applyFont="1" applyFill="1" applyBorder="1" applyAlignment="1">
      <alignment vertical="top" wrapText="1"/>
    </xf>
    <xf numFmtId="0" fontId="17" fillId="24" borderId="21" xfId="0" applyFont="1" applyFill="1" applyBorder="1" applyAlignment="1">
      <alignment horizontal="center" vertical="center" wrapText="1"/>
    </xf>
    <xf numFmtId="0" fontId="17" fillId="0" borderId="37" xfId="0" applyFont="1" applyBorder="1" applyAlignment="1">
      <alignment horizontal="left" vertical="center" wrapText="1"/>
    </xf>
    <xf numFmtId="0" fontId="17" fillId="0" borderId="21" xfId="0" applyFont="1" applyBorder="1" applyAlignment="1">
      <alignment vertical="center" wrapText="1"/>
    </xf>
    <xf numFmtId="0" fontId="17" fillId="0" borderId="33" xfId="0" applyFont="1" applyBorder="1" applyAlignment="1">
      <alignment vertical="center" wrapText="1"/>
    </xf>
    <xf numFmtId="0" fontId="17" fillId="0" borderId="18" xfId="0" applyFont="1" applyBorder="1" applyAlignment="1">
      <alignment vertical="center" wrapText="1"/>
    </xf>
    <xf numFmtId="0" fontId="17" fillId="0" borderId="2" xfId="0" applyFont="1" applyBorder="1" applyAlignment="1">
      <alignment horizontal="left" vertical="top" wrapText="1"/>
    </xf>
    <xf numFmtId="0" fontId="17" fillId="24" borderId="37" xfId="0" applyFont="1" applyFill="1" applyBorder="1" applyAlignment="1">
      <alignment vertical="top" wrapText="1"/>
    </xf>
    <xf numFmtId="0" fontId="17" fillId="24" borderId="21" xfId="0" applyFont="1" applyFill="1" applyBorder="1" applyAlignment="1">
      <alignment vertical="center" wrapText="1"/>
    </xf>
    <xf numFmtId="0" fontId="17" fillId="24" borderId="33" xfId="0" applyFont="1" applyFill="1" applyBorder="1" applyAlignment="1">
      <alignment vertical="center" wrapText="1"/>
    </xf>
    <xf numFmtId="0" fontId="17" fillId="24" borderId="18" xfId="0" applyFont="1" applyFill="1" applyBorder="1" applyAlignment="1">
      <alignment vertical="center" wrapText="1"/>
    </xf>
    <xf numFmtId="0" fontId="6" fillId="0" borderId="37" xfId="0" applyFont="1" applyBorder="1" applyAlignment="1">
      <alignment horizontal="left" vertical="center" wrapText="1"/>
    </xf>
    <xf numFmtId="0" fontId="26" fillId="0" borderId="37" xfId="0" applyFont="1" applyBorder="1" applyAlignment="1">
      <alignment horizontal="center" vertical="center" wrapText="1"/>
    </xf>
    <xf numFmtId="0" fontId="17" fillId="24" borderId="2" xfId="0" applyFont="1" applyFill="1" applyBorder="1" applyAlignment="1">
      <alignment horizontal="left" vertical="center" wrapText="1"/>
    </xf>
    <xf numFmtId="0" fontId="17" fillId="0" borderId="2" xfId="0" applyFont="1" applyBorder="1" applyAlignment="1">
      <alignment horizontal="left" vertical="center" wrapText="1"/>
    </xf>
    <xf numFmtId="0" fontId="17" fillId="0" borderId="37" xfId="0" applyFont="1" applyBorder="1" applyAlignment="1">
      <alignment vertical="center" wrapText="1"/>
    </xf>
    <xf numFmtId="0" fontId="17" fillId="0" borderId="4" xfId="0" applyFont="1" applyBorder="1" applyAlignment="1">
      <alignment horizontal="left" vertical="center" wrapText="1"/>
    </xf>
    <xf numFmtId="0" fontId="6" fillId="24" borderId="21" xfId="0" applyFont="1" applyFill="1" applyBorder="1" applyAlignment="1">
      <alignment horizontal="center" vertical="center" wrapText="1"/>
    </xf>
    <xf numFmtId="0" fontId="6" fillId="24" borderId="18" xfId="0" applyFont="1" applyFill="1" applyBorder="1" applyAlignment="1">
      <alignment horizontal="center" vertical="center" wrapText="1"/>
    </xf>
    <xf numFmtId="0" fontId="17" fillId="24" borderId="34" xfId="0" applyFont="1" applyFill="1" applyBorder="1" applyAlignment="1">
      <alignment vertical="center" wrapText="1"/>
    </xf>
    <xf numFmtId="0" fontId="6" fillId="0" borderId="34" xfId="0" applyFont="1" applyBorder="1" applyAlignment="1">
      <alignment vertical="center" wrapText="1"/>
    </xf>
    <xf numFmtId="0" fontId="6" fillId="0" borderId="36" xfId="0" applyFont="1" applyBorder="1" applyAlignment="1">
      <alignment vertical="center" wrapText="1"/>
    </xf>
    <xf numFmtId="0" fontId="17" fillId="0" borderId="2" xfId="0" applyFont="1" applyBorder="1" applyAlignment="1">
      <alignment vertical="center" wrapText="1"/>
    </xf>
    <xf numFmtId="0" fontId="1" fillId="0" borderId="1" xfId="0" applyFont="1" applyBorder="1" applyAlignment="1">
      <alignment horizontal="left"/>
    </xf>
    <xf numFmtId="0" fontId="1" fillId="0" borderId="1" xfId="0" applyFont="1" applyBorder="1" applyAlignment="1">
      <alignment horizontal="left" vertical="top" wrapText="1"/>
    </xf>
    <xf numFmtId="0" fontId="29" fillId="0" borderId="0" xfId="0" applyFont="1"/>
    <xf numFmtId="0" fontId="35" fillId="0" borderId="0" xfId="0" applyFont="1" applyAlignment="1">
      <alignment vertical="top" wrapText="1"/>
    </xf>
    <xf numFmtId="0" fontId="30" fillId="0" borderId="0" xfId="0" applyFont="1" applyAlignment="1">
      <alignment vertical="top" wrapText="1"/>
    </xf>
    <xf numFmtId="0" fontId="40" fillId="0" borderId="0" xfId="0" applyFont="1" applyAlignment="1">
      <alignment vertical="center"/>
    </xf>
    <xf numFmtId="0" fontId="41" fillId="0" borderId="0" xfId="0" applyFont="1" applyAlignment="1">
      <alignment vertical="center"/>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vertical="center"/>
    </xf>
    <xf numFmtId="0" fontId="29" fillId="0" borderId="0" xfId="0" applyFont="1" applyFill="1"/>
    <xf numFmtId="0" fontId="34" fillId="0" borderId="0" xfId="0" applyFont="1" applyFill="1" applyAlignment="1">
      <alignment horizontal="left" vertical="top" wrapText="1"/>
    </xf>
    <xf numFmtId="0" fontId="38" fillId="0" borderId="0" xfId="0" applyFont="1" applyFill="1" applyAlignment="1">
      <alignment horizontal="left" vertical="top" wrapText="1"/>
    </xf>
    <xf numFmtId="0" fontId="38" fillId="0" borderId="0" xfId="0" applyFont="1" applyFill="1"/>
    <xf numFmtId="0" fontId="49" fillId="0" borderId="0" xfId="0" applyFont="1" applyFill="1"/>
    <xf numFmtId="0" fontId="38" fillId="0" borderId="0" xfId="0" applyFont="1" applyFill="1" applyAlignment="1">
      <alignment vertical="top" wrapText="1"/>
    </xf>
    <xf numFmtId="0" fontId="38" fillId="0" borderId="0" xfId="0" applyFont="1" applyFill="1" applyAlignment="1">
      <alignment horizontal="left" wrapText="1"/>
    </xf>
    <xf numFmtId="0" fontId="29" fillId="0" borderId="0" xfId="0" applyFont="1" applyBorder="1"/>
    <xf numFmtId="0" fontId="29" fillId="0" borderId="0" xfId="0" applyFont="1" applyFill="1" applyBorder="1"/>
    <xf numFmtId="0" fontId="38" fillId="0" borderId="0" xfId="0" applyFont="1" applyFill="1" applyBorder="1" applyAlignment="1">
      <alignment vertical="top" wrapText="1"/>
    </xf>
    <xf numFmtId="0" fontId="38" fillId="0" borderId="14" xfId="0" applyFont="1" applyFill="1" applyBorder="1" applyAlignment="1">
      <alignment vertical="top" wrapText="1"/>
    </xf>
    <xf numFmtId="0" fontId="48" fillId="0" borderId="0" xfId="0" applyFont="1" applyFill="1" applyBorder="1" applyAlignment="1">
      <alignment vertical="top" wrapText="1"/>
    </xf>
    <xf numFmtId="0" fontId="48" fillId="0" borderId="12" xfId="0" applyFont="1" applyFill="1" applyBorder="1" applyAlignment="1">
      <alignment vertical="top" wrapText="1"/>
    </xf>
    <xf numFmtId="0" fontId="48" fillId="0" borderId="13" xfId="0" applyFont="1" applyFill="1" applyBorder="1" applyAlignment="1">
      <alignment vertical="top" wrapText="1"/>
    </xf>
    <xf numFmtId="0" fontId="38" fillId="0" borderId="15" xfId="0" applyFont="1" applyFill="1" applyBorder="1" applyAlignment="1">
      <alignment vertical="top" wrapText="1"/>
    </xf>
    <xf numFmtId="0" fontId="33" fillId="0" borderId="0" xfId="0" applyFont="1" applyFill="1" applyBorder="1" applyAlignment="1">
      <alignment wrapText="1"/>
    </xf>
    <xf numFmtId="0" fontId="48" fillId="0" borderId="11" xfId="0" applyFont="1" applyFill="1" applyBorder="1" applyAlignment="1">
      <alignment vertical="top" wrapText="1"/>
    </xf>
    <xf numFmtId="0" fontId="38" fillId="0" borderId="0" xfId="0" applyFont="1" applyFill="1" applyAlignment="1">
      <alignment wrapText="1"/>
    </xf>
    <xf numFmtId="0" fontId="52" fillId="0" borderId="15" xfId="0" applyFont="1" applyFill="1" applyBorder="1" applyAlignment="1">
      <alignment horizontal="left" vertical="center" wrapText="1"/>
    </xf>
    <xf numFmtId="0" fontId="35" fillId="0" borderId="12" xfId="0" applyFont="1" applyBorder="1" applyAlignment="1">
      <alignment vertical="top" wrapText="1"/>
    </xf>
    <xf numFmtId="0" fontId="52" fillId="0" borderId="0" xfId="0" applyFont="1" applyAlignment="1">
      <alignment horizontal="right" wrapText="1"/>
    </xf>
    <xf numFmtId="0" fontId="29" fillId="21" borderId="0" xfId="0" applyFont="1" applyFill="1"/>
    <xf numFmtId="0" fontId="53" fillId="0" borderId="80" xfId="0" applyFont="1" applyFill="1" applyBorder="1" applyAlignment="1">
      <alignment vertical="center"/>
    </xf>
    <xf numFmtId="0" fontId="53" fillId="0" borderId="1" xfId="0" applyFont="1" applyFill="1" applyBorder="1" applyAlignment="1">
      <alignment vertical="center"/>
    </xf>
    <xf numFmtId="0" fontId="53" fillId="0" borderId="71" xfId="0" applyFont="1" applyFill="1" applyBorder="1" applyAlignment="1">
      <alignment vertical="center"/>
    </xf>
    <xf numFmtId="0" fontId="56" fillId="0" borderId="1" xfId="0" applyFont="1" applyFill="1" applyBorder="1" applyAlignment="1">
      <alignment wrapText="1"/>
    </xf>
    <xf numFmtId="49" fontId="56" fillId="0" borderId="1" xfId="0" quotePrefix="1" applyNumberFormat="1" applyFont="1" applyFill="1" applyBorder="1" applyAlignment="1">
      <alignment wrapText="1"/>
    </xf>
    <xf numFmtId="0" fontId="56" fillId="0" borderId="71" xfId="0" applyFont="1" applyFill="1" applyBorder="1" applyAlignment="1">
      <alignment wrapText="1"/>
    </xf>
    <xf numFmtId="0" fontId="56" fillId="0" borderId="73" xfId="0" applyFont="1" applyFill="1" applyBorder="1" applyAlignment="1">
      <alignment wrapText="1"/>
    </xf>
    <xf numFmtId="49" fontId="56" fillId="0" borderId="73" xfId="0" quotePrefix="1" applyNumberFormat="1" applyFont="1" applyFill="1" applyBorder="1" applyAlignment="1">
      <alignment wrapText="1"/>
    </xf>
    <xf numFmtId="0" fontId="56" fillId="0" borderId="74" xfId="0" applyFont="1" applyFill="1" applyBorder="1" applyAlignment="1">
      <alignment wrapText="1"/>
    </xf>
    <xf numFmtId="0" fontId="31" fillId="0" borderId="0" xfId="0" applyFont="1" applyFill="1" applyBorder="1" applyAlignment="1">
      <alignment wrapText="1"/>
    </xf>
    <xf numFmtId="0" fontId="56" fillId="0" borderId="0" xfId="0" applyFont="1" applyFill="1" applyBorder="1" applyAlignment="1">
      <alignment wrapText="1"/>
    </xf>
    <xf numFmtId="49" fontId="56" fillId="0" borderId="0" xfId="0" quotePrefix="1" applyNumberFormat="1" applyFont="1" applyFill="1" applyBorder="1" applyAlignment="1">
      <alignment wrapText="1"/>
    </xf>
    <xf numFmtId="0" fontId="53" fillId="0" borderId="1" xfId="0" applyFont="1" applyFill="1" applyBorder="1" applyAlignment="1">
      <alignment horizontal="left" vertical="center"/>
    </xf>
    <xf numFmtId="0" fontId="53" fillId="0" borderId="71" xfId="0" applyFont="1" applyFill="1" applyBorder="1" applyAlignment="1">
      <alignment horizontal="left" vertical="center"/>
    </xf>
    <xf numFmtId="0" fontId="32" fillId="0" borderId="1" xfId="0" applyFont="1" applyFill="1" applyBorder="1" applyAlignment="1">
      <alignment wrapText="1"/>
    </xf>
    <xf numFmtId="49" fontId="31" fillId="0" borderId="1" xfId="0" applyNumberFormat="1" applyFont="1" applyFill="1" applyBorder="1" applyAlignment="1">
      <alignment wrapText="1"/>
    </xf>
    <xf numFmtId="0" fontId="32" fillId="0" borderId="71" xfId="0" applyFont="1" applyFill="1" applyBorder="1" applyAlignment="1">
      <alignment wrapText="1"/>
    </xf>
    <xf numFmtId="0" fontId="31" fillId="0" borderId="1" xfId="0" applyFont="1" applyFill="1" applyBorder="1" applyAlignment="1">
      <alignment wrapText="1"/>
    </xf>
    <xf numFmtId="0" fontId="32" fillId="0" borderId="73" xfId="0" applyFont="1" applyFill="1" applyBorder="1" applyAlignment="1">
      <alignment wrapText="1"/>
    </xf>
    <xf numFmtId="49" fontId="31" fillId="0" borderId="73" xfId="0" applyNumberFormat="1" applyFont="1" applyFill="1" applyBorder="1" applyAlignment="1">
      <alignment wrapText="1"/>
    </xf>
    <xf numFmtId="0" fontId="32" fillId="0" borderId="74" xfId="0" applyFont="1" applyFill="1" applyBorder="1" applyAlignment="1">
      <alignment wrapText="1"/>
    </xf>
    <xf numFmtId="0" fontId="32" fillId="0" borderId="0" xfId="0" applyFont="1" applyFill="1" applyBorder="1" applyAlignment="1">
      <alignment wrapText="1"/>
    </xf>
    <xf numFmtId="49" fontId="31" fillId="0" borderId="0" xfId="0" applyNumberFormat="1" applyFont="1" applyFill="1" applyBorder="1" applyAlignment="1">
      <alignment wrapText="1"/>
    </xf>
    <xf numFmtId="0" fontId="30" fillId="0" borderId="12" xfId="0" applyFont="1" applyBorder="1" applyAlignment="1">
      <alignment vertical="top" wrapText="1"/>
    </xf>
    <xf numFmtId="0" fontId="52" fillId="0" borderId="0" xfId="0" applyFont="1" applyBorder="1" applyAlignment="1">
      <alignment horizontal="right" vertical="top" wrapText="1"/>
    </xf>
    <xf numFmtId="0" fontId="52" fillId="0" borderId="0" xfId="0" applyFont="1" applyBorder="1" applyAlignment="1">
      <alignment horizontal="right" wrapText="1"/>
    </xf>
    <xf numFmtId="0" fontId="29" fillId="0" borderId="12" xfId="0" applyFont="1" applyBorder="1" applyAlignment="1"/>
    <xf numFmtId="0" fontId="52" fillId="0" borderId="0" xfId="0" applyFont="1" applyBorder="1" applyAlignment="1">
      <alignment horizontal="left" wrapText="1"/>
    </xf>
    <xf numFmtId="0" fontId="53" fillId="30" borderId="4" xfId="0" applyFont="1" applyFill="1" applyBorder="1"/>
    <xf numFmtId="0" fontId="53" fillId="30" borderId="3" xfId="0" applyFont="1" applyFill="1" applyBorder="1"/>
    <xf numFmtId="0" fontId="30" fillId="0" borderId="0" xfId="0" applyFont="1" applyBorder="1" applyAlignment="1">
      <alignment horizontal="center" vertical="top" wrapText="1"/>
    </xf>
    <xf numFmtId="0" fontId="35" fillId="0" borderId="6" xfId="0" applyFont="1" applyBorder="1" applyAlignment="1">
      <alignment vertical="top" wrapText="1"/>
    </xf>
    <xf numFmtId="0" fontId="56" fillId="21" borderId="1" xfId="0" applyFont="1" applyFill="1" applyBorder="1" applyAlignment="1">
      <alignment horizontal="left" wrapText="1"/>
    </xf>
    <xf numFmtId="49" fontId="56" fillId="21" borderId="1" xfId="0" quotePrefix="1" applyNumberFormat="1" applyFont="1" applyFill="1" applyBorder="1" applyAlignment="1">
      <alignment horizontal="left" wrapText="1"/>
    </xf>
    <xf numFmtId="0" fontId="31" fillId="21" borderId="12" xfId="0" applyFont="1" applyFill="1" applyBorder="1" applyAlignment="1">
      <alignment horizontal="center" vertical="center" wrapText="1"/>
    </xf>
    <xf numFmtId="0" fontId="56" fillId="21" borderId="8" xfId="0" applyFont="1" applyFill="1" applyBorder="1" applyAlignment="1">
      <alignment horizontal="left" wrapText="1"/>
    </xf>
    <xf numFmtId="0" fontId="56" fillId="21" borderId="0" xfId="0" applyFont="1" applyFill="1" applyBorder="1" applyAlignment="1">
      <alignment horizontal="left" wrapText="1"/>
    </xf>
    <xf numFmtId="0" fontId="56" fillId="21" borderId="12" xfId="0" applyFont="1" applyFill="1" applyBorder="1" applyAlignment="1">
      <alignment horizontal="left" wrapText="1"/>
    </xf>
    <xf numFmtId="49" fontId="56" fillId="21" borderId="12" xfId="0" quotePrefix="1" applyNumberFormat="1" applyFont="1" applyFill="1" applyBorder="1" applyAlignment="1">
      <alignment horizontal="left" wrapText="1"/>
    </xf>
    <xf numFmtId="0" fontId="53" fillId="30" borderId="69" xfId="0" applyFont="1" applyFill="1" applyBorder="1"/>
    <xf numFmtId="0" fontId="56" fillId="21" borderId="71" xfId="0" applyFont="1" applyFill="1" applyBorder="1" applyAlignment="1">
      <alignment horizontal="left" wrapText="1"/>
    </xf>
    <xf numFmtId="0" fontId="56" fillId="21" borderId="73" xfId="0" applyFont="1" applyFill="1" applyBorder="1" applyAlignment="1">
      <alignment horizontal="left" wrapText="1"/>
    </xf>
    <xf numFmtId="49" fontId="56" fillId="21" borderId="73" xfId="0" quotePrefix="1" applyNumberFormat="1" applyFont="1" applyFill="1" applyBorder="1" applyAlignment="1">
      <alignment horizontal="left" wrapText="1"/>
    </xf>
    <xf numFmtId="0" fontId="56" fillId="21" borderId="74" xfId="0" applyFont="1" applyFill="1" applyBorder="1" applyAlignment="1">
      <alignment horizontal="left" wrapText="1"/>
    </xf>
    <xf numFmtId="0" fontId="55" fillId="21" borderId="0" xfId="0" applyFont="1" applyFill="1" applyBorder="1" applyAlignment="1">
      <alignment horizontal="left" vertical="top" wrapText="1"/>
    </xf>
    <xf numFmtId="0" fontId="55" fillId="21" borderId="14" xfId="0" applyFont="1" applyFill="1" applyBorder="1" applyAlignment="1">
      <alignment horizontal="left" vertical="top" wrapText="1"/>
    </xf>
    <xf numFmtId="0" fontId="31" fillId="21" borderId="0" xfId="0" applyFont="1" applyFill="1" applyBorder="1" applyAlignment="1">
      <alignment horizontal="center" vertical="center" wrapText="1"/>
    </xf>
    <xf numFmtId="49" fontId="56" fillId="21" borderId="8" xfId="0" quotePrefix="1" applyNumberFormat="1" applyFont="1" applyFill="1" applyBorder="1" applyAlignment="1">
      <alignment horizontal="left" wrapText="1"/>
    </xf>
    <xf numFmtId="0" fontId="31" fillId="0" borderId="1" xfId="0" applyFont="1" applyFill="1" applyBorder="1" applyAlignment="1">
      <alignment horizontal="left" vertical="center" wrapText="1"/>
    </xf>
    <xf numFmtId="49" fontId="31" fillId="0" borderId="1" xfId="0" quotePrefix="1" applyNumberFormat="1" applyFont="1" applyFill="1" applyBorder="1" applyAlignment="1">
      <alignment horizontal="left" vertical="center" wrapText="1"/>
    </xf>
    <xf numFmtId="0" fontId="53" fillId="32" borderId="62" xfId="0" applyFont="1" applyFill="1" applyBorder="1" applyAlignment="1">
      <alignment horizontal="right" vertical="center"/>
    </xf>
    <xf numFmtId="0" fontId="54" fillId="31" borderId="62" xfId="0" applyFont="1" applyFill="1" applyBorder="1" applyAlignment="1">
      <alignment horizontal="right" vertical="top" wrapText="1"/>
    </xf>
    <xf numFmtId="0" fontId="54" fillId="31" borderId="62" xfId="0" applyFont="1" applyFill="1" applyBorder="1" applyAlignment="1">
      <alignment horizontal="right" vertical="center" wrapText="1"/>
    </xf>
    <xf numFmtId="0" fontId="30" fillId="0" borderId="0" xfId="0" applyFont="1" applyBorder="1" applyAlignment="1">
      <alignment vertical="top" wrapText="1"/>
    </xf>
    <xf numFmtId="0" fontId="53" fillId="30" borderId="78" xfId="0" applyFont="1" applyFill="1" applyBorder="1"/>
    <xf numFmtId="0" fontId="53" fillId="30" borderId="79" xfId="0" applyFont="1" applyFill="1" applyBorder="1"/>
    <xf numFmtId="0" fontId="53" fillId="30" borderId="66" xfId="0" applyFont="1" applyFill="1" applyBorder="1"/>
    <xf numFmtId="0" fontId="53" fillId="30" borderId="67" xfId="0" applyFont="1" applyFill="1" applyBorder="1"/>
    <xf numFmtId="0" fontId="32" fillId="0" borderId="1" xfId="0" applyFont="1" applyFill="1" applyBorder="1" applyAlignment="1">
      <alignment horizontal="left" vertical="center" wrapText="1"/>
    </xf>
    <xf numFmtId="49" fontId="31" fillId="0" borderId="2" xfId="0" applyNumberFormat="1" applyFont="1" applyFill="1" applyBorder="1" applyAlignment="1">
      <alignment horizontal="left" vertical="center" wrapText="1"/>
    </xf>
    <xf numFmtId="0" fontId="31" fillId="0" borderId="71" xfId="0" applyFont="1" applyFill="1" applyBorder="1" applyAlignment="1">
      <alignment horizontal="left" vertical="center" wrapText="1"/>
    </xf>
    <xf numFmtId="0" fontId="31" fillId="0" borderId="73" xfId="0" applyFont="1" applyFill="1" applyBorder="1" applyAlignment="1">
      <alignment horizontal="left" vertical="center" wrapText="1"/>
    </xf>
    <xf numFmtId="0" fontId="31" fillId="0" borderId="74" xfId="0" applyFont="1" applyFill="1" applyBorder="1" applyAlignment="1">
      <alignment horizontal="left" vertical="center" wrapText="1"/>
    </xf>
    <xf numFmtId="49" fontId="56" fillId="21" borderId="0" xfId="0" quotePrefix="1" applyNumberFormat="1" applyFont="1" applyFill="1" applyBorder="1" applyAlignment="1">
      <alignment horizontal="left" wrapText="1"/>
    </xf>
    <xf numFmtId="0" fontId="32" fillId="0" borderId="71" xfId="0" applyFont="1" applyFill="1" applyBorder="1" applyAlignment="1">
      <alignment horizontal="left" vertical="center" wrapText="1"/>
    </xf>
    <xf numFmtId="0" fontId="32" fillId="0" borderId="73" xfId="0" applyFont="1" applyFill="1" applyBorder="1" applyAlignment="1">
      <alignment horizontal="left" vertical="center" wrapText="1"/>
    </xf>
    <xf numFmtId="49" fontId="31" fillId="0" borderId="73" xfId="0" applyNumberFormat="1" applyFont="1" applyFill="1" applyBorder="1" applyAlignment="1">
      <alignment horizontal="left" vertical="center" wrapText="1"/>
    </xf>
    <xf numFmtId="0" fontId="32" fillId="0" borderId="74" xfId="0" applyFont="1" applyFill="1" applyBorder="1" applyAlignment="1">
      <alignment horizontal="left" vertical="center" wrapText="1"/>
    </xf>
    <xf numFmtId="0" fontId="54" fillId="21" borderId="14" xfId="0" applyFont="1" applyFill="1" applyBorder="1" applyAlignment="1">
      <alignment horizontal="left" vertical="top" wrapText="1"/>
    </xf>
    <xf numFmtId="0" fontId="53" fillId="32" borderId="61" xfId="0" applyFont="1" applyFill="1" applyBorder="1" applyAlignment="1">
      <alignment horizontal="right" vertical="center"/>
    </xf>
    <xf numFmtId="0" fontId="53" fillId="30" borderId="61" xfId="0" applyFont="1" applyFill="1" applyBorder="1"/>
    <xf numFmtId="0" fontId="53" fillId="30" borderId="82" xfId="0" applyFont="1" applyFill="1" applyBorder="1"/>
    <xf numFmtId="0" fontId="53" fillId="30" borderId="83" xfId="0" applyFont="1" applyFill="1" applyBorder="1"/>
    <xf numFmtId="49" fontId="31" fillId="0" borderId="1" xfId="0" applyNumberFormat="1" applyFont="1" applyFill="1" applyBorder="1" applyAlignment="1">
      <alignment horizontal="left" vertical="center" wrapText="1"/>
    </xf>
    <xf numFmtId="0" fontId="32" fillId="0" borderId="66" xfId="0" applyFont="1" applyFill="1" applyBorder="1" applyAlignment="1">
      <alignment horizontal="left" vertical="center" wrapText="1"/>
    </xf>
    <xf numFmtId="49" fontId="31" fillId="0" borderId="66" xfId="0" applyNumberFormat="1" applyFont="1" applyFill="1" applyBorder="1" applyAlignment="1">
      <alignment horizontal="left" vertical="center" wrapText="1"/>
    </xf>
    <xf numFmtId="0" fontId="32" fillId="0" borderId="67" xfId="0" applyFont="1" applyFill="1" applyBorder="1" applyAlignment="1">
      <alignment horizontal="left" vertical="center" wrapText="1"/>
    </xf>
    <xf numFmtId="0" fontId="32" fillId="0" borderId="85" xfId="0" applyFont="1" applyFill="1" applyBorder="1" applyAlignment="1">
      <alignment horizontal="left" vertical="center" wrapText="1"/>
    </xf>
    <xf numFmtId="0" fontId="32" fillId="0" borderId="81" xfId="0" applyFont="1" applyFill="1" applyBorder="1" applyAlignment="1">
      <alignment horizontal="left" vertical="center" wrapText="1"/>
    </xf>
    <xf numFmtId="17" fontId="32" fillId="0" borderId="1" xfId="0" applyNumberFormat="1" applyFont="1" applyFill="1" applyBorder="1" applyAlignment="1">
      <alignment horizontal="left" vertical="center" wrapText="1"/>
    </xf>
    <xf numFmtId="0" fontId="60" fillId="0" borderId="0" xfId="0" applyFont="1"/>
    <xf numFmtId="0" fontId="61" fillId="0" borderId="0" xfId="0" applyFont="1"/>
    <xf numFmtId="0" fontId="17" fillId="0" borderId="21" xfId="0" applyFont="1" applyBorder="1" applyAlignment="1">
      <alignment horizontal="center" vertical="center" wrapText="1"/>
    </xf>
    <xf numFmtId="0" fontId="6" fillId="0" borderId="21"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1" xfId="0" applyFont="1" applyBorder="1" applyAlignment="1">
      <alignment horizontal="left" vertical="center" wrapText="1"/>
    </xf>
    <xf numFmtId="0" fontId="1" fillId="12" borderId="21" xfId="0" applyFont="1" applyFill="1" applyBorder="1" applyAlignment="1">
      <alignment horizontal="center" vertical="center" wrapText="1"/>
    </xf>
    <xf numFmtId="0" fontId="1" fillId="12" borderId="33" xfId="0" applyFont="1" applyFill="1" applyBorder="1" applyAlignment="1">
      <alignment horizontal="center" vertical="center" wrapText="1"/>
    </xf>
    <xf numFmtId="0" fontId="1" fillId="0" borderId="35" xfId="0"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38" fillId="0" borderId="0" xfId="0" applyFont="1" applyAlignment="1">
      <alignment horizontal="left"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0" xfId="0" applyFont="1" applyBorder="1" applyAlignment="1">
      <alignment vertical="center" wrapText="1"/>
    </xf>
    <xf numFmtId="0" fontId="2" fillId="0" borderId="9" xfId="0" applyFont="1" applyBorder="1" applyAlignment="1">
      <alignment horizontal="center" vertical="center" wrapText="1"/>
    </xf>
    <xf numFmtId="165" fontId="2" fillId="0" borderId="8" xfId="0" applyNumberFormat="1" applyFont="1" applyBorder="1" applyAlignment="1">
      <alignment horizontal="center" vertical="center"/>
    </xf>
    <xf numFmtId="0" fontId="1" fillId="0" borderId="3" xfId="0" applyFont="1" applyBorder="1" applyAlignment="1">
      <alignment vertical="center" wrapText="1"/>
    </xf>
    <xf numFmtId="0" fontId="6" fillId="0" borderId="10" xfId="0" applyFont="1" applyFill="1" applyBorder="1" applyAlignment="1">
      <alignment vertical="center" wrapText="1"/>
    </xf>
    <xf numFmtId="0" fontId="6" fillId="0" borderId="14" xfId="0" applyFont="1" applyFill="1" applyBorder="1" applyAlignment="1">
      <alignment vertical="center" wrapText="1"/>
    </xf>
    <xf numFmtId="0" fontId="12" fillId="0" borderId="1" xfId="0" applyFont="1" applyBorder="1" applyAlignment="1">
      <alignment vertical="center" wrapText="1"/>
    </xf>
    <xf numFmtId="0" fontId="1" fillId="0" borderId="16" xfId="0" applyFont="1" applyBorder="1" applyAlignment="1">
      <alignment horizontal="left" vertical="center" wrapText="1"/>
    </xf>
    <xf numFmtId="0" fontId="0" fillId="12" borderId="16" xfId="0" applyFill="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Fill="1" applyBorder="1" applyAlignment="1">
      <alignment horizontal="center" vertical="center" wrapText="1"/>
    </xf>
    <xf numFmtId="0" fontId="6" fillId="0" borderId="16" xfId="0" applyFont="1" applyFill="1" applyBorder="1" applyAlignment="1">
      <alignment horizontal="left" vertical="center" wrapText="1"/>
    </xf>
    <xf numFmtId="0" fontId="6" fillId="0" borderId="16" xfId="0" applyFont="1" applyBorder="1" applyAlignment="1">
      <alignment horizontal="left" vertical="center" wrapText="1"/>
    </xf>
    <xf numFmtId="0" fontId="1" fillId="0" borderId="16" xfId="0" applyFont="1" applyBorder="1" applyAlignment="1">
      <alignment horizontal="center" vertical="center" wrapText="1"/>
    </xf>
    <xf numFmtId="0" fontId="38" fillId="0" borderId="0" xfId="0" applyFont="1" applyFill="1" applyBorder="1" applyAlignment="1">
      <alignment horizontal="left" vertical="top" wrapText="1"/>
    </xf>
    <xf numFmtId="0" fontId="51" fillId="0" borderId="0" xfId="0" applyFont="1" applyFill="1" applyBorder="1" applyAlignment="1">
      <alignment horizontal="left" vertical="center" wrapText="1"/>
    </xf>
    <xf numFmtId="0" fontId="51" fillId="0" borderId="14" xfId="0" applyFont="1" applyFill="1" applyBorder="1" applyAlignment="1">
      <alignment horizontal="left" vertical="center" wrapText="1"/>
    </xf>
    <xf numFmtId="0" fontId="54" fillId="21" borderId="0" xfId="0" applyFont="1" applyFill="1" applyBorder="1" applyAlignment="1">
      <alignment horizontal="left" vertical="top" wrapText="1"/>
    </xf>
    <xf numFmtId="0" fontId="17" fillId="0" borderId="37" xfId="0" applyFont="1" applyBorder="1" applyAlignment="1">
      <alignment horizontal="center" vertical="center" wrapText="1"/>
    </xf>
    <xf numFmtId="0" fontId="6" fillId="0" borderId="21" xfId="0" applyFont="1" applyBorder="1" applyAlignment="1">
      <alignment vertical="center" wrapText="1"/>
    </xf>
    <xf numFmtId="0" fontId="6" fillId="0" borderId="33" xfId="0" applyFont="1" applyBorder="1" applyAlignment="1">
      <alignment vertical="center" wrapText="1"/>
    </xf>
    <xf numFmtId="0" fontId="17" fillId="0" borderId="21" xfId="0" applyFont="1" applyBorder="1" applyAlignment="1">
      <alignment horizontal="left" vertical="center" wrapText="1"/>
    </xf>
    <xf numFmtId="0" fontId="1" fillId="0" borderId="2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18" xfId="0" applyFont="1" applyBorder="1" applyAlignment="1">
      <alignment horizontal="center" vertical="center" wrapText="1"/>
    </xf>
    <xf numFmtId="0" fontId="6" fillId="0" borderId="21" xfId="0" applyFont="1" applyBorder="1" applyAlignment="1">
      <alignment horizontal="left" vertical="center" wrapText="1"/>
    </xf>
    <xf numFmtId="0" fontId="6" fillId="0" borderId="18" xfId="0" applyFont="1" applyBorder="1" applyAlignment="1">
      <alignment horizontal="left" vertical="center" wrapText="1"/>
    </xf>
    <xf numFmtId="0" fontId="1" fillId="12" borderId="21" xfId="0" applyFont="1" applyFill="1" applyBorder="1" applyAlignment="1">
      <alignment horizontal="center" vertical="center" wrapText="1"/>
    </xf>
    <xf numFmtId="0" fontId="1" fillId="12" borderId="18" xfId="0" applyFont="1" applyFill="1" applyBorder="1" applyAlignment="1">
      <alignment horizontal="center" vertical="center" wrapText="1"/>
    </xf>
    <xf numFmtId="0" fontId="1" fillId="21" borderId="21" xfId="0" applyFont="1" applyFill="1" applyBorder="1" applyAlignment="1">
      <alignment horizontal="center" vertical="center" wrapText="1"/>
    </xf>
    <xf numFmtId="0" fontId="1" fillId="21" borderId="18" xfId="0" applyFont="1" applyFill="1" applyBorder="1" applyAlignment="1">
      <alignment horizontal="center" vertical="center" wrapText="1"/>
    </xf>
    <xf numFmtId="0" fontId="6" fillId="0" borderId="21" xfId="0" applyFont="1" applyBorder="1" applyAlignment="1">
      <alignment horizontal="center" vertical="center" wrapText="1"/>
    </xf>
    <xf numFmtId="0" fontId="6" fillId="0" borderId="18" xfId="0" applyFont="1" applyBorder="1" applyAlignment="1">
      <alignment horizontal="center" vertical="center" wrapText="1"/>
    </xf>
    <xf numFmtId="0" fontId="1" fillId="21" borderId="33" xfId="0" applyFont="1" applyFill="1" applyBorder="1" applyAlignment="1">
      <alignment horizontal="center" vertical="center" wrapText="1"/>
    </xf>
    <xf numFmtId="0" fontId="24" fillId="21" borderId="21" xfId="0" applyFont="1" applyFill="1" applyBorder="1" applyAlignment="1">
      <alignment horizontal="center" vertical="center" wrapText="1"/>
    </xf>
    <xf numFmtId="0" fontId="24" fillId="21" borderId="33" xfId="0" applyFont="1" applyFill="1" applyBorder="1" applyAlignment="1">
      <alignment horizontal="center" vertical="center" wrapText="1"/>
    </xf>
    <xf numFmtId="0" fontId="24" fillId="21" borderId="18"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8"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21" borderId="34" xfId="0" applyFont="1" applyFill="1" applyBorder="1" applyAlignment="1">
      <alignment horizontal="left" vertical="center" wrapText="1"/>
    </xf>
    <xf numFmtId="0" fontId="1" fillId="21" borderId="36" xfId="0" applyFont="1" applyFill="1" applyBorder="1" applyAlignment="1">
      <alignment horizontal="left" vertical="center" wrapText="1"/>
    </xf>
    <xf numFmtId="0" fontId="6" fillId="0" borderId="33" xfId="0" applyFont="1" applyFill="1" applyBorder="1" applyAlignment="1">
      <alignment horizontal="center" vertical="center" wrapText="1"/>
    </xf>
    <xf numFmtId="0" fontId="6" fillId="0" borderId="18" xfId="0"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0" borderId="33" xfId="0" applyFont="1" applyBorder="1" applyAlignment="1">
      <alignment horizontal="center" vertical="center" wrapText="1"/>
    </xf>
    <xf numFmtId="0" fontId="2" fillId="0" borderId="33" xfId="0" applyFont="1" applyBorder="1" applyAlignment="1">
      <alignment horizontal="center" vertical="center" wrapText="1"/>
    </xf>
    <xf numFmtId="0" fontId="2" fillId="16" borderId="46" xfId="0" applyFont="1" applyFill="1" applyBorder="1" applyAlignment="1">
      <alignment horizontal="center" vertical="center"/>
    </xf>
    <xf numFmtId="0" fontId="6" fillId="0" borderId="34"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6" fillId="0" borderId="36" xfId="0" applyFont="1" applyFill="1" applyBorder="1" applyAlignment="1">
      <alignment horizontal="center" vertical="center" wrapText="1"/>
    </xf>
    <xf numFmtId="0" fontId="17" fillId="0" borderId="21" xfId="0" applyFont="1" applyBorder="1" applyAlignment="1">
      <alignment horizontal="center" vertical="center" wrapText="1"/>
    </xf>
    <xf numFmtId="0" fontId="17" fillId="0" borderId="18" xfId="0" applyFont="1" applyBorder="1" applyAlignment="1">
      <alignment horizontal="center" vertical="center" wrapText="1"/>
    </xf>
    <xf numFmtId="0" fontId="1" fillId="0" borderId="21" xfId="0" applyFont="1" applyBorder="1" applyAlignment="1">
      <alignment horizontal="center"/>
    </xf>
    <xf numFmtId="0" fontId="1" fillId="0" borderId="18" xfId="0" applyFont="1" applyBorder="1" applyAlignment="1">
      <alignment horizontal="center"/>
    </xf>
    <xf numFmtId="0" fontId="0" fillId="0" borderId="21" xfId="0" applyBorder="1" applyAlignment="1">
      <alignment horizontal="center" vertical="center" wrapText="1"/>
    </xf>
    <xf numFmtId="0" fontId="0" fillId="0" borderId="18" xfId="0" applyBorder="1" applyAlignment="1">
      <alignment horizontal="center" vertical="center" wrapText="1"/>
    </xf>
    <xf numFmtId="0" fontId="0" fillId="12" borderId="21" xfId="0" applyFill="1" applyBorder="1" applyAlignment="1">
      <alignment horizontal="center" vertical="center" wrapText="1"/>
    </xf>
    <xf numFmtId="0" fontId="0" fillId="12" borderId="33" xfId="0" applyFill="1" applyBorder="1" applyAlignment="1">
      <alignment horizontal="center" vertical="center" wrapText="1"/>
    </xf>
    <xf numFmtId="0" fontId="0" fillId="12" borderId="18" xfId="0" applyFill="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17" fillId="25" borderId="21" xfId="0" applyFont="1" applyFill="1" applyBorder="1" applyAlignment="1">
      <alignment horizontal="center" vertical="center" wrapText="1"/>
    </xf>
    <xf numFmtId="0" fontId="17" fillId="25" borderId="18" xfId="0" applyFont="1" applyFill="1" applyBorder="1" applyAlignment="1">
      <alignment horizontal="center" vertical="center" wrapText="1"/>
    </xf>
    <xf numFmtId="0" fontId="17" fillId="22" borderId="21" xfId="0" applyFont="1" applyFill="1" applyBorder="1" applyAlignment="1">
      <alignment horizontal="center" vertical="center" wrapText="1"/>
    </xf>
    <xf numFmtId="0" fontId="17" fillId="22" borderId="18" xfId="0" applyFont="1" applyFill="1" applyBorder="1" applyAlignment="1">
      <alignment horizontal="center" vertical="center" wrapText="1"/>
    </xf>
    <xf numFmtId="0" fontId="6" fillId="0" borderId="20" xfId="0" applyFont="1" applyBorder="1" applyAlignment="1">
      <alignment horizontal="center" vertical="center" wrapText="1"/>
    </xf>
    <xf numFmtId="0" fontId="6" fillId="0" borderId="28" xfId="0" applyFont="1" applyBorder="1" applyAlignment="1">
      <alignment horizontal="center" vertical="center" wrapText="1"/>
    </xf>
    <xf numFmtId="0" fontId="1" fillId="0" borderId="21" xfId="0" applyFont="1" applyBorder="1" applyAlignment="1">
      <alignment horizontal="left" vertical="center" wrapText="1"/>
    </xf>
    <xf numFmtId="0" fontId="1" fillId="0" borderId="33" xfId="0" applyFont="1" applyBorder="1" applyAlignment="1">
      <alignment horizontal="left" vertical="center" wrapText="1"/>
    </xf>
    <xf numFmtId="0" fontId="1" fillId="0" borderId="18" xfId="0" applyFont="1" applyBorder="1" applyAlignment="1">
      <alignment horizontal="left" vertical="center" wrapText="1"/>
    </xf>
    <xf numFmtId="0" fontId="6" fillId="16" borderId="21" xfId="0" applyFont="1" applyFill="1" applyBorder="1" applyAlignment="1">
      <alignment horizontal="center" vertical="center" wrapText="1"/>
    </xf>
    <xf numFmtId="0" fontId="6" fillId="16" borderId="18" xfId="0" applyFont="1" applyFill="1" applyBorder="1" applyAlignment="1">
      <alignment horizontal="center" vertical="center" wrapText="1"/>
    </xf>
    <xf numFmtId="0" fontId="6" fillId="0" borderId="41" xfId="0" applyFont="1" applyBorder="1" applyAlignment="1">
      <alignment horizontal="center" vertical="center" wrapText="1"/>
    </xf>
    <xf numFmtId="0" fontId="6" fillId="0" borderId="40" xfId="0" applyFont="1" applyBorder="1" applyAlignment="1">
      <alignment horizontal="center" vertical="center" wrapText="1"/>
    </xf>
    <xf numFmtId="0" fontId="1" fillId="0" borderId="21"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1" fillId="12" borderId="33" xfId="0" applyFont="1" applyFill="1" applyBorder="1" applyAlignment="1">
      <alignment horizontal="center" vertical="center" wrapText="1"/>
    </xf>
    <xf numFmtId="0" fontId="17" fillId="0" borderId="33" xfId="0" applyFont="1" applyBorder="1" applyAlignment="1">
      <alignment horizontal="center" vertical="center" wrapText="1"/>
    </xf>
    <xf numFmtId="0" fontId="17" fillId="23" borderId="21" xfId="0" applyFont="1" applyFill="1" applyBorder="1" applyAlignment="1">
      <alignment horizontal="center" vertical="center" wrapText="1"/>
    </xf>
    <xf numFmtId="0" fontId="17" fillId="23" borderId="33" xfId="0" applyFont="1" applyFill="1" applyBorder="1" applyAlignment="1">
      <alignment horizontal="center" vertical="center" wrapText="1"/>
    </xf>
    <xf numFmtId="0" fontId="17" fillId="23" borderId="18" xfId="0" applyFont="1" applyFill="1" applyBorder="1" applyAlignment="1">
      <alignment horizontal="center" vertical="center" wrapText="1"/>
    </xf>
    <xf numFmtId="0" fontId="38" fillId="0" borderId="1" xfId="0" applyFont="1" applyBorder="1" applyAlignment="1">
      <alignment horizontal="left" vertical="center" wrapText="1"/>
    </xf>
    <xf numFmtId="0" fontId="38" fillId="0" borderId="0" xfId="0" applyFont="1" applyAlignment="1">
      <alignment horizontal="left" vertical="top" wrapText="1"/>
    </xf>
    <xf numFmtId="0" fontId="38" fillId="0" borderId="0" xfId="0" applyFont="1" applyAlignment="1">
      <alignment horizontal="left" vertical="center" wrapText="1"/>
    </xf>
    <xf numFmtId="0" fontId="42" fillId="29" borderId="1" xfId="0" applyFont="1" applyFill="1" applyBorder="1" applyAlignment="1">
      <alignment horizontal="left" vertical="center" wrapText="1"/>
    </xf>
    <xf numFmtId="0" fontId="38" fillId="29" borderId="1" xfId="0" applyFont="1" applyFill="1" applyBorder="1" applyAlignment="1">
      <alignment horizontal="left" vertical="center" wrapText="1"/>
    </xf>
    <xf numFmtId="0" fontId="47" fillId="29" borderId="1" xfId="0" applyFont="1" applyFill="1" applyBorder="1" applyAlignment="1">
      <alignment horizontal="left" vertical="center" wrapText="1"/>
    </xf>
    <xf numFmtId="0" fontId="38" fillId="0" borderId="9" xfId="0" applyFont="1" applyBorder="1" applyAlignment="1">
      <alignment horizontal="left" vertical="top" wrapText="1"/>
    </xf>
    <xf numFmtId="0" fontId="38" fillId="0" borderId="8" xfId="0" applyFont="1" applyBorder="1" applyAlignment="1">
      <alignment horizontal="left" vertical="top" wrapText="1"/>
    </xf>
    <xf numFmtId="0" fontId="38" fillId="0" borderId="10" xfId="0" applyFont="1" applyBorder="1" applyAlignment="1">
      <alignment horizontal="left" vertical="top" wrapText="1"/>
    </xf>
    <xf numFmtId="0" fontId="38" fillId="0" borderId="15" xfId="0" applyFont="1" applyBorder="1" applyAlignment="1">
      <alignment horizontal="left" vertical="top" wrapText="1"/>
    </xf>
    <xf numFmtId="0" fontId="38" fillId="0" borderId="14" xfId="0" applyFont="1" applyBorder="1" applyAlignment="1">
      <alignment horizontal="left" vertical="top" wrapText="1"/>
    </xf>
    <xf numFmtId="0" fontId="38" fillId="0" borderId="11" xfId="0" applyFont="1" applyBorder="1" applyAlignment="1">
      <alignment horizontal="left" vertical="top" wrapText="1"/>
    </xf>
    <xf numFmtId="0" fontId="38" fillId="0" borderId="12" xfId="0" applyFont="1" applyBorder="1" applyAlignment="1">
      <alignment horizontal="left" vertical="top" wrapText="1"/>
    </xf>
    <xf numFmtId="0" fontId="38" fillId="0" borderId="13" xfId="0" applyFont="1" applyBorder="1" applyAlignment="1">
      <alignment horizontal="left" vertical="top" wrapText="1"/>
    </xf>
    <xf numFmtId="0" fontId="42" fillId="29" borderId="1" xfId="0" applyFont="1" applyFill="1" applyBorder="1" applyAlignment="1">
      <alignment horizontal="center" vertical="top" wrapText="1"/>
    </xf>
    <xf numFmtId="0" fontId="46" fillId="29" borderId="1" xfId="0" applyFont="1" applyFill="1" applyBorder="1" applyAlignment="1">
      <alignment horizontal="left" vertical="top" wrapText="1"/>
    </xf>
    <xf numFmtId="0" fontId="42" fillId="29" borderId="1" xfId="0" applyFont="1" applyFill="1" applyBorder="1" applyAlignment="1">
      <alignment horizontal="left" vertical="top" wrapText="1"/>
    </xf>
    <xf numFmtId="49" fontId="38" fillId="0" borderId="1" xfId="0" applyNumberFormat="1" applyFont="1" applyBorder="1" applyAlignment="1">
      <alignment horizontal="left" vertical="center" wrapText="1"/>
    </xf>
    <xf numFmtId="0" fontId="42" fillId="29" borderId="1" xfId="0" applyFont="1" applyFill="1" applyBorder="1" applyAlignment="1">
      <alignment horizontal="center" vertical="center" wrapText="1"/>
    </xf>
    <xf numFmtId="0" fontId="38" fillId="0" borderId="1" xfId="0" applyFont="1" applyBorder="1" applyAlignment="1">
      <alignment horizontal="left" vertical="top" wrapText="1"/>
    </xf>
    <xf numFmtId="0" fontId="2" fillId="0" borderId="1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5" xfId="0" applyFont="1" applyBorder="1" applyAlignment="1">
      <alignment horizontal="center" vertical="center" wrapText="1"/>
    </xf>
    <xf numFmtId="165" fontId="2" fillId="0" borderId="8"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6" fillId="0" borderId="10" xfId="0" applyFont="1" applyFill="1" applyBorder="1" applyAlignment="1">
      <alignment vertical="center" wrapText="1"/>
    </xf>
    <xf numFmtId="0" fontId="6" fillId="0" borderId="13" xfId="0" applyFont="1" applyFill="1" applyBorder="1" applyAlignment="1">
      <alignment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0" xfId="0" applyFont="1" applyAlignment="1">
      <alignment horizontal="left" vertical="center" wrapText="1"/>
    </xf>
    <xf numFmtId="0" fontId="1" fillId="0" borderId="12" xfId="0" applyFont="1" applyBorder="1" applyAlignment="1">
      <alignment horizontal="left"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2" fillId="0" borderId="11" xfId="0" applyFont="1" applyBorder="1" applyAlignment="1">
      <alignment horizontal="center" vertical="center" wrapText="1"/>
    </xf>
    <xf numFmtId="165" fontId="2" fillId="0" borderId="8" xfId="0" applyNumberFormat="1" applyFont="1" applyBorder="1" applyAlignment="1">
      <alignment horizontal="center" vertical="center" wrapText="1"/>
    </xf>
    <xf numFmtId="165" fontId="2" fillId="0" borderId="12" xfId="0" applyNumberFormat="1" applyFont="1" applyBorder="1" applyAlignment="1">
      <alignment horizontal="center" vertical="center" wrapText="1"/>
    </xf>
    <xf numFmtId="0" fontId="6" fillId="0" borderId="10" xfId="0" applyFont="1" applyFill="1" applyBorder="1" applyAlignment="1">
      <alignment horizontal="left" vertical="center" wrapText="1"/>
    </xf>
    <xf numFmtId="0" fontId="6" fillId="0" borderId="13"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165" fontId="2" fillId="0" borderId="0" xfId="0" applyNumberFormat="1" applyFont="1" applyBorder="1" applyAlignment="1">
      <alignment horizontal="center" vertical="center" wrapText="1"/>
    </xf>
    <xf numFmtId="0" fontId="6" fillId="0" borderId="14" xfId="0" applyFont="1" applyFill="1" applyBorder="1" applyAlignment="1">
      <alignment vertical="center" wrapText="1"/>
    </xf>
    <xf numFmtId="0" fontId="12" fillId="0" borderId="1" xfId="0" applyFont="1" applyBorder="1" applyAlignment="1">
      <alignment vertical="center" wrapText="1"/>
    </xf>
    <xf numFmtId="0" fontId="6" fillId="0" borderId="10"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11" fillId="12" borderId="2"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1" fillId="0" borderId="0" xfId="0" applyFont="1" applyBorder="1" applyAlignment="1">
      <alignment vertical="center" wrapText="1"/>
    </xf>
    <xf numFmtId="165" fontId="2" fillId="0" borderId="0" xfId="0" applyNumberFormat="1" applyFont="1" applyBorder="1" applyAlignment="1">
      <alignment horizontal="center" vertical="center"/>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3" xfId="0" applyFont="1" applyBorder="1" applyAlignment="1">
      <alignment vertical="center" wrapText="1"/>
    </xf>
    <xf numFmtId="0" fontId="6" fillId="0" borderId="16" xfId="0" applyFont="1" applyFill="1" applyBorder="1" applyAlignment="1">
      <alignment horizontal="left" vertical="center" wrapText="1"/>
    </xf>
    <xf numFmtId="0" fontId="1" fillId="0" borderId="16" xfId="0" applyFont="1" applyBorder="1" applyAlignment="1">
      <alignment horizontal="left" vertical="center" wrapText="1"/>
    </xf>
    <xf numFmtId="0" fontId="6" fillId="0" borderId="16" xfId="0" applyFont="1" applyBorder="1" applyAlignment="1">
      <alignment horizontal="left" vertical="center" wrapText="1"/>
    </xf>
    <xf numFmtId="0" fontId="6"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6" fillId="0" borderId="16" xfId="0" applyFont="1" applyFill="1" applyBorder="1" applyAlignment="1">
      <alignment horizontal="center" vertical="center" wrapText="1"/>
    </xf>
    <xf numFmtId="0" fontId="0" fillId="0" borderId="16" xfId="0" applyBorder="1" applyAlignment="1">
      <alignment horizontal="center" vertical="center" wrapText="1"/>
    </xf>
    <xf numFmtId="0" fontId="1" fillId="0" borderId="16" xfId="0" applyFont="1" applyBorder="1" applyAlignment="1">
      <alignment horizontal="center"/>
    </xf>
    <xf numFmtId="0" fontId="0" fillId="12" borderId="16" xfId="0" applyFill="1" applyBorder="1" applyAlignment="1">
      <alignment horizontal="center" vertical="center" wrapText="1"/>
    </xf>
    <xf numFmtId="0" fontId="38" fillId="0" borderId="15" xfId="0" applyFont="1" applyFill="1" applyBorder="1" applyAlignment="1">
      <alignment horizontal="left" vertical="top" wrapText="1"/>
    </xf>
    <xf numFmtId="0" fontId="38" fillId="0" borderId="0" xfId="0" applyFont="1" applyFill="1" applyBorder="1" applyAlignment="1">
      <alignment horizontal="left" vertical="top" wrapText="1"/>
    </xf>
    <xf numFmtId="0" fontId="38" fillId="0" borderId="14" xfId="0" applyFont="1" applyFill="1" applyBorder="1" applyAlignment="1">
      <alignment horizontal="left" vertical="top" wrapText="1"/>
    </xf>
    <xf numFmtId="0" fontId="48" fillId="0" borderId="0" xfId="0" applyFont="1" applyFill="1" applyBorder="1" applyAlignment="1">
      <alignment horizontal="center" vertical="top" wrapText="1"/>
    </xf>
    <xf numFmtId="0" fontId="51" fillId="0" borderId="15" xfId="0" applyFont="1" applyFill="1" applyBorder="1" applyAlignment="1">
      <alignment horizontal="left" vertical="top" wrapText="1"/>
    </xf>
    <xf numFmtId="0" fontId="51" fillId="0" borderId="0" xfId="0" applyFont="1" applyFill="1" applyBorder="1" applyAlignment="1">
      <alignment horizontal="left" vertical="top" wrapText="1"/>
    </xf>
    <xf numFmtId="0" fontId="51" fillId="0" borderId="14" xfId="0" applyFont="1" applyFill="1" applyBorder="1" applyAlignment="1">
      <alignment horizontal="left" vertical="top" wrapText="1"/>
    </xf>
    <xf numFmtId="0" fontId="48" fillId="0" borderId="15" xfId="0" applyFont="1" applyFill="1" applyBorder="1" applyAlignment="1">
      <alignment horizontal="left" vertical="top" wrapText="1"/>
    </xf>
    <xf numFmtId="0" fontId="48" fillId="0" borderId="0" xfId="0" applyFont="1" applyFill="1" applyBorder="1" applyAlignment="1">
      <alignment horizontal="left" vertical="top" wrapText="1"/>
    </xf>
    <xf numFmtId="0" fontId="48" fillId="0" borderId="14" xfId="0" applyFont="1" applyFill="1" applyBorder="1" applyAlignment="1">
      <alignment horizontal="left" vertical="top" wrapText="1"/>
    </xf>
    <xf numFmtId="0" fontId="31" fillId="0" borderId="15" xfId="0" applyFont="1" applyFill="1" applyBorder="1" applyAlignment="1">
      <alignment horizontal="left" vertical="top" wrapText="1"/>
    </xf>
    <xf numFmtId="0" fontId="38" fillId="0" borderId="9" xfId="0" applyFont="1" applyFill="1" applyBorder="1" applyAlignment="1">
      <alignment horizontal="left" vertical="top" wrapText="1"/>
    </xf>
    <xf numFmtId="0" fontId="38" fillId="0" borderId="8" xfId="0" applyFont="1" applyFill="1" applyBorder="1" applyAlignment="1">
      <alignment horizontal="left" vertical="top" wrapText="1"/>
    </xf>
    <xf numFmtId="0" fontId="38" fillId="0" borderId="10" xfId="0" applyFont="1" applyFill="1" applyBorder="1" applyAlignment="1">
      <alignment horizontal="left" vertical="top" wrapText="1"/>
    </xf>
    <xf numFmtId="0" fontId="38" fillId="0" borderId="15" xfId="0" applyFont="1" applyFill="1" applyBorder="1" applyAlignment="1">
      <alignment horizontal="center" vertical="top" wrapText="1"/>
    </xf>
    <xf numFmtId="0" fontId="38" fillId="0" borderId="0" xfId="0" applyFont="1" applyFill="1" applyBorder="1" applyAlignment="1">
      <alignment horizontal="center" vertical="top" wrapText="1"/>
    </xf>
    <xf numFmtId="0" fontId="38" fillId="0" borderId="14" xfId="0" applyFont="1" applyFill="1" applyBorder="1" applyAlignment="1">
      <alignment horizontal="center" vertical="top" wrapText="1"/>
    </xf>
    <xf numFmtId="0" fontId="48" fillId="0" borderId="9" xfId="0" applyFont="1" applyFill="1" applyBorder="1" applyAlignment="1">
      <alignment horizontal="left" vertical="top"/>
    </xf>
    <xf numFmtId="0" fontId="48" fillId="0" borderId="8" xfId="0" applyFont="1" applyFill="1" applyBorder="1" applyAlignment="1">
      <alignment horizontal="left" vertical="top"/>
    </xf>
    <xf numFmtId="0" fontId="48" fillId="0" borderId="10" xfId="0" applyFont="1" applyFill="1" applyBorder="1" applyAlignment="1">
      <alignment horizontal="left" vertical="top"/>
    </xf>
    <xf numFmtId="0" fontId="48" fillId="0" borderId="15" xfId="0" applyFont="1" applyFill="1" applyBorder="1" applyAlignment="1">
      <alignment horizontal="left" vertical="top"/>
    </xf>
    <xf numFmtId="0" fontId="48" fillId="0" borderId="0" xfId="0" applyFont="1" applyFill="1" applyBorder="1" applyAlignment="1">
      <alignment horizontal="left" vertical="top"/>
    </xf>
    <xf numFmtId="0" fontId="48" fillId="0" borderId="14" xfId="0" applyFont="1" applyFill="1" applyBorder="1" applyAlignment="1">
      <alignment horizontal="left" vertical="top"/>
    </xf>
    <xf numFmtId="0" fontId="52" fillId="0" borderId="15" xfId="0" applyFont="1" applyFill="1" applyBorder="1" applyAlignment="1">
      <alignment horizontal="left" vertical="top" wrapText="1"/>
    </xf>
    <xf numFmtId="0" fontId="52" fillId="0" borderId="0" xfId="0" applyFont="1" applyFill="1" applyBorder="1" applyAlignment="1">
      <alignment horizontal="left" vertical="top" wrapText="1"/>
    </xf>
    <xf numFmtId="0" fontId="52" fillId="0" borderId="14" xfId="0" applyFont="1" applyFill="1" applyBorder="1" applyAlignment="1">
      <alignment horizontal="left" vertical="top" wrapText="1"/>
    </xf>
    <xf numFmtId="0" fontId="31" fillId="0" borderId="0" xfId="0" applyFont="1" applyFill="1" applyBorder="1" applyAlignment="1">
      <alignment horizontal="left" vertical="top" wrapText="1"/>
    </xf>
    <xf numFmtId="0" fontId="31" fillId="0" borderId="14" xfId="0" applyFont="1" applyFill="1" applyBorder="1" applyAlignment="1">
      <alignment horizontal="left" vertical="top" wrapText="1"/>
    </xf>
    <xf numFmtId="0" fontId="48" fillId="0" borderId="1" xfId="0" applyFont="1" applyFill="1" applyBorder="1" applyAlignment="1">
      <alignment horizontal="left" vertical="top" wrapText="1"/>
    </xf>
    <xf numFmtId="0" fontId="50" fillId="0" borderId="15" xfId="0" applyFont="1" applyFill="1" applyBorder="1" applyAlignment="1">
      <alignment horizontal="left" vertical="top" wrapText="1"/>
    </xf>
    <xf numFmtId="0" fontId="50" fillId="0" borderId="0" xfId="0" applyFont="1" applyFill="1" applyBorder="1" applyAlignment="1">
      <alignment horizontal="left" vertical="top" wrapText="1"/>
    </xf>
    <xf numFmtId="0" fontId="50" fillId="0" borderId="14" xfId="0" applyFont="1" applyFill="1" applyBorder="1" applyAlignment="1">
      <alignment horizontal="left" vertical="top" wrapText="1"/>
    </xf>
    <xf numFmtId="0" fontId="50" fillId="0" borderId="11" xfId="0" applyFont="1" applyFill="1" applyBorder="1" applyAlignment="1">
      <alignment horizontal="left" vertical="top" wrapText="1"/>
    </xf>
    <xf numFmtId="0" fontId="50" fillId="0" borderId="12" xfId="0" applyFont="1" applyFill="1" applyBorder="1" applyAlignment="1">
      <alignment horizontal="left" vertical="top" wrapText="1"/>
    </xf>
    <xf numFmtId="0" fontId="50" fillId="0" borderId="13" xfId="0" applyFont="1" applyFill="1" applyBorder="1" applyAlignment="1">
      <alignment horizontal="left" vertical="top" wrapText="1"/>
    </xf>
    <xf numFmtId="0" fontId="52" fillId="0" borderId="15" xfId="0" applyFont="1" applyFill="1" applyBorder="1" applyAlignment="1">
      <alignment horizontal="left" wrapText="1"/>
    </xf>
    <xf numFmtId="0" fontId="52" fillId="0" borderId="0" xfId="0" applyFont="1" applyFill="1" applyBorder="1" applyAlignment="1">
      <alignment horizontal="left" wrapText="1"/>
    </xf>
    <xf numFmtId="0" fontId="52" fillId="0" borderId="14" xfId="0" applyFont="1" applyFill="1" applyBorder="1" applyAlignment="1">
      <alignment horizontal="left" wrapText="1"/>
    </xf>
    <xf numFmtId="0" fontId="38" fillId="0" borderId="11" xfId="0" applyFont="1" applyFill="1" applyBorder="1" applyAlignment="1">
      <alignment horizontal="left" vertical="top" wrapText="1"/>
    </xf>
    <xf numFmtId="0" fontId="38" fillId="0" borderId="12" xfId="0" applyFont="1" applyFill="1" applyBorder="1" applyAlignment="1">
      <alignment horizontal="left" vertical="top" wrapText="1"/>
    </xf>
    <xf numFmtId="0" fontId="38" fillId="0" borderId="13" xfId="0" applyFont="1" applyFill="1" applyBorder="1" applyAlignment="1">
      <alignment horizontal="left" vertical="top" wrapText="1"/>
    </xf>
    <xf numFmtId="0" fontId="51" fillId="0" borderId="9" xfId="0" applyFont="1" applyBorder="1" applyAlignment="1">
      <alignment horizontal="left" vertical="center"/>
    </xf>
    <xf numFmtId="0" fontId="51" fillId="0" borderId="8" xfId="0" applyFont="1" applyBorder="1" applyAlignment="1">
      <alignment horizontal="left" vertical="center"/>
    </xf>
    <xf numFmtId="0" fontId="51" fillId="0" borderId="10" xfId="0" applyFont="1" applyBorder="1" applyAlignment="1">
      <alignment horizontal="left" vertical="center"/>
    </xf>
    <xf numFmtId="0" fontId="51" fillId="0" borderId="15" xfId="0" applyFont="1" applyBorder="1" applyAlignment="1">
      <alignment horizontal="left" vertical="center"/>
    </xf>
    <xf numFmtId="0" fontId="51" fillId="0" borderId="0" xfId="0" applyFont="1" applyBorder="1" applyAlignment="1">
      <alignment horizontal="left" vertical="center"/>
    </xf>
    <xf numFmtId="0" fontId="51" fillId="0" borderId="14" xfId="0" applyFont="1" applyBorder="1" applyAlignment="1">
      <alignment horizontal="left" vertical="center"/>
    </xf>
    <xf numFmtId="0" fontId="51" fillId="0" borderId="9" xfId="0" applyFont="1" applyFill="1" applyBorder="1" applyAlignment="1">
      <alignment horizontal="left" vertical="center" wrapText="1"/>
    </xf>
    <xf numFmtId="0" fontId="51" fillId="0" borderId="8" xfId="0" applyFont="1" applyFill="1" applyBorder="1" applyAlignment="1">
      <alignment horizontal="left" vertical="center" wrapText="1"/>
    </xf>
    <xf numFmtId="0" fontId="51" fillId="0" borderId="10" xfId="0" applyFont="1" applyFill="1" applyBorder="1" applyAlignment="1">
      <alignment horizontal="left" vertical="center" wrapText="1"/>
    </xf>
    <xf numFmtId="0" fontId="51" fillId="0" borderId="15" xfId="0" applyFont="1" applyFill="1" applyBorder="1" applyAlignment="1">
      <alignment horizontal="left" vertical="center" wrapText="1"/>
    </xf>
    <xf numFmtId="0" fontId="51" fillId="0" borderId="0" xfId="0" applyFont="1" applyFill="1" applyBorder="1" applyAlignment="1">
      <alignment horizontal="left" vertical="center" wrapText="1"/>
    </xf>
    <xf numFmtId="0" fontId="51" fillId="0" borderId="14" xfId="0" applyFont="1" applyFill="1" applyBorder="1" applyAlignment="1">
      <alignment horizontal="left" vertical="center" wrapText="1"/>
    </xf>
    <xf numFmtId="0" fontId="47" fillId="0" borderId="15" xfId="0" applyFont="1" applyFill="1" applyBorder="1" applyAlignment="1">
      <alignment horizontal="left" vertical="top" wrapText="1"/>
    </xf>
    <xf numFmtId="0" fontId="33" fillId="0" borderId="15" xfId="0" applyFont="1" applyBorder="1" applyAlignment="1">
      <alignment horizontal="left" vertical="center"/>
    </xf>
    <xf numFmtId="0" fontId="33" fillId="0" borderId="0" xfId="0" applyFont="1" applyBorder="1" applyAlignment="1">
      <alignment horizontal="left" vertical="center"/>
    </xf>
    <xf numFmtId="0" fontId="33" fillId="0" borderId="14" xfId="0" applyFont="1" applyBorder="1" applyAlignment="1">
      <alignment horizontal="left" vertical="center"/>
    </xf>
    <xf numFmtId="0" fontId="29" fillId="0" borderId="15" xfId="0" applyFont="1" applyBorder="1" applyAlignment="1">
      <alignment horizontal="left" vertical="top" wrapText="1"/>
    </xf>
    <xf numFmtId="0" fontId="29" fillId="0" borderId="0" xfId="0" applyFont="1" applyBorder="1" applyAlignment="1">
      <alignment horizontal="left" vertical="top" wrapText="1"/>
    </xf>
    <xf numFmtId="0" fontId="29" fillId="0" borderId="14" xfId="0" applyFont="1" applyBorder="1" applyAlignment="1">
      <alignment horizontal="left" vertical="top" wrapText="1"/>
    </xf>
    <xf numFmtId="0" fontId="29" fillId="32" borderId="63" xfId="0" applyFont="1" applyFill="1" applyBorder="1" applyAlignment="1">
      <alignment horizontal="left" vertical="center" wrapText="1"/>
    </xf>
    <xf numFmtId="0" fontId="29" fillId="32" borderId="64" xfId="0" applyFont="1" applyFill="1" applyBorder="1" applyAlignment="1">
      <alignment horizontal="left" vertical="center" wrapText="1"/>
    </xf>
    <xf numFmtId="0" fontId="57" fillId="0" borderId="0" xfId="0" applyFont="1" applyFill="1" applyBorder="1" applyAlignment="1">
      <alignment horizontal="center" vertical="center"/>
    </xf>
    <xf numFmtId="0" fontId="28" fillId="0" borderId="0" xfId="0" applyFont="1" applyFill="1" applyBorder="1" applyAlignment="1">
      <alignment horizontal="center" vertical="center"/>
    </xf>
    <xf numFmtId="0" fontId="54" fillId="31" borderId="63" xfId="0" applyFont="1" applyFill="1" applyBorder="1" applyAlignment="1">
      <alignment horizontal="left" vertical="center" wrapText="1"/>
    </xf>
    <xf numFmtId="0" fontId="54" fillId="31" borderId="64" xfId="0" applyFont="1" applyFill="1" applyBorder="1" applyAlignment="1">
      <alignment horizontal="left" vertical="center" wrapText="1"/>
    </xf>
    <xf numFmtId="0" fontId="54" fillId="21" borderId="0" xfId="0" applyFont="1" applyFill="1" applyBorder="1" applyAlignment="1">
      <alignment horizontal="center" vertical="top" wrapText="1"/>
    </xf>
    <xf numFmtId="0" fontId="31" fillId="0" borderId="70" xfId="0" applyFont="1" applyFill="1" applyBorder="1" applyAlignment="1">
      <alignment horizontal="left" vertical="center" wrapText="1"/>
    </xf>
    <xf numFmtId="0" fontId="31" fillId="0" borderId="68" xfId="0" applyFont="1" applyFill="1" applyBorder="1" applyAlignment="1">
      <alignment horizontal="left" vertical="center" wrapText="1"/>
    </xf>
    <xf numFmtId="0" fontId="31" fillId="0" borderId="72" xfId="0" applyFont="1" applyFill="1" applyBorder="1" applyAlignment="1">
      <alignment horizontal="left" vertical="center" wrapText="1"/>
    </xf>
    <xf numFmtId="0" fontId="31" fillId="21" borderId="65" xfId="0" applyFont="1" applyFill="1" applyBorder="1" applyAlignment="1">
      <alignment horizontal="left" vertical="center" wrapText="1"/>
    </xf>
    <xf numFmtId="0" fontId="31" fillId="21" borderId="80" xfId="0" applyFont="1" applyFill="1" applyBorder="1" applyAlignment="1">
      <alignment horizontal="left" vertical="center" wrapText="1"/>
    </xf>
    <xf numFmtId="0" fontId="31" fillId="21" borderId="81" xfId="0" applyFont="1" applyFill="1" applyBorder="1" applyAlignment="1">
      <alignment horizontal="left" vertical="center" wrapText="1"/>
    </xf>
    <xf numFmtId="0" fontId="55" fillId="0" borderId="12" xfId="0" applyFont="1" applyFill="1" applyBorder="1" applyAlignment="1">
      <alignment horizontal="left" vertical="top" wrapText="1"/>
    </xf>
    <xf numFmtId="0" fontId="31" fillId="21" borderId="70" xfId="0" applyFont="1" applyFill="1" applyBorder="1" applyAlignment="1">
      <alignment horizontal="center" vertical="center" wrapText="1"/>
    </xf>
    <xf numFmtId="0" fontId="31" fillId="21" borderId="68" xfId="0" applyFont="1" applyFill="1" applyBorder="1" applyAlignment="1">
      <alignment horizontal="center" vertical="center" wrapText="1"/>
    </xf>
    <xf numFmtId="0" fontId="54" fillId="31" borderId="63" xfId="0" applyFont="1" applyFill="1" applyBorder="1" applyAlignment="1">
      <alignment horizontal="left" vertical="top" wrapText="1"/>
    </xf>
    <xf numFmtId="0" fontId="54" fillId="31" borderId="64" xfId="0" applyFont="1" applyFill="1" applyBorder="1" applyAlignment="1">
      <alignment horizontal="left" vertical="top" wrapText="1"/>
    </xf>
    <xf numFmtId="0" fontId="54" fillId="21" borderId="0" xfId="0" applyFont="1" applyFill="1" applyBorder="1" applyAlignment="1">
      <alignment horizontal="left" vertical="top" wrapText="1"/>
    </xf>
    <xf numFmtId="0" fontId="29" fillId="32" borderId="82" xfId="0" applyFont="1" applyFill="1" applyBorder="1" applyAlignment="1">
      <alignment horizontal="left" vertical="center" wrapText="1"/>
    </xf>
    <xf numFmtId="0" fontId="29" fillId="32" borderId="83" xfId="0" applyFont="1" applyFill="1" applyBorder="1" applyAlignment="1">
      <alignment horizontal="left" vertical="center" wrapText="1"/>
    </xf>
    <xf numFmtId="0" fontId="29" fillId="32" borderId="63" xfId="0" applyFont="1" applyFill="1" applyBorder="1" applyAlignment="1">
      <alignment horizontal="left" wrapText="1"/>
    </xf>
    <xf numFmtId="0" fontId="29" fillId="32" borderId="64" xfId="0" applyFont="1" applyFill="1" applyBorder="1" applyAlignment="1">
      <alignment horizontal="left" wrapText="1"/>
    </xf>
    <xf numFmtId="0" fontId="31" fillId="21" borderId="72" xfId="0" applyFont="1" applyFill="1" applyBorder="1" applyAlignment="1">
      <alignment horizontal="center" vertical="center" wrapText="1"/>
    </xf>
    <xf numFmtId="0" fontId="55" fillId="31" borderId="63" xfId="0" applyFont="1" applyFill="1" applyBorder="1" applyAlignment="1">
      <alignment horizontal="center" vertical="top" wrapText="1"/>
    </xf>
    <xf numFmtId="0" fontId="55" fillId="31" borderId="64" xfId="0" applyFont="1" applyFill="1" applyBorder="1" applyAlignment="1">
      <alignment horizontal="center" vertical="top" wrapText="1"/>
    </xf>
    <xf numFmtId="0" fontId="59" fillId="0" borderId="0" xfId="0" applyFont="1" applyFill="1" applyBorder="1" applyAlignment="1">
      <alignment horizontal="center" vertical="top"/>
    </xf>
    <xf numFmtId="0" fontId="54" fillId="0" borderId="63" xfId="0" applyFont="1" applyFill="1" applyBorder="1" applyAlignment="1">
      <alignment horizontal="center" vertical="center" wrapText="1"/>
    </xf>
    <xf numFmtId="0" fontId="32" fillId="0" borderId="80" xfId="0" applyFont="1" applyFill="1" applyBorder="1" applyAlignment="1">
      <alignment wrapText="1"/>
    </xf>
    <xf numFmtId="0" fontId="32" fillId="0" borderId="81" xfId="0" applyFont="1" applyFill="1" applyBorder="1" applyAlignment="1">
      <alignment wrapText="1"/>
    </xf>
    <xf numFmtId="0" fontId="58" fillId="0" borderId="61" xfId="0" applyFont="1" applyFill="1" applyBorder="1" applyAlignment="1">
      <alignment horizontal="center" vertical="center" wrapText="1"/>
    </xf>
    <xf numFmtId="0" fontId="58" fillId="0" borderId="82" xfId="0" applyFont="1" applyFill="1" applyBorder="1" applyAlignment="1">
      <alignment horizontal="center" vertical="center" wrapText="1"/>
    </xf>
    <xf numFmtId="0" fontId="58" fillId="0" borderId="83" xfId="0" applyFont="1" applyFill="1" applyBorder="1" applyAlignment="1">
      <alignment horizontal="center" vertical="center" wrapText="1"/>
    </xf>
    <xf numFmtId="0" fontId="55" fillId="0" borderId="84" xfId="0" applyFont="1" applyFill="1" applyBorder="1" applyAlignment="1">
      <alignment vertical="center" wrapText="1"/>
    </xf>
    <xf numFmtId="0" fontId="55" fillId="0" borderId="85" xfId="0" applyFont="1" applyFill="1" applyBorder="1" applyAlignment="1">
      <alignment vertical="center" wrapText="1"/>
    </xf>
    <xf numFmtId="0" fontId="55" fillId="0" borderId="86" xfId="0" applyFont="1" applyFill="1" applyBorder="1" applyAlignment="1">
      <alignment vertical="center" wrapText="1"/>
    </xf>
    <xf numFmtId="0" fontId="31" fillId="0" borderId="80" xfId="0" applyFont="1" applyFill="1" applyBorder="1" applyAlignment="1">
      <alignment wrapText="1"/>
    </xf>
    <xf numFmtId="0" fontId="31" fillId="0" borderId="81" xfId="0" applyFont="1" applyFill="1" applyBorder="1" applyAlignment="1">
      <alignment wrapText="1"/>
    </xf>
    <xf numFmtId="0" fontId="54" fillId="0" borderId="75" xfId="0" applyFont="1" applyFill="1" applyBorder="1" applyAlignment="1">
      <alignment horizontal="left" vertical="center"/>
    </xf>
    <xf numFmtId="0" fontId="54" fillId="0" borderId="76" xfId="0" applyFont="1" applyFill="1" applyBorder="1" applyAlignment="1">
      <alignment horizontal="left" vertical="center"/>
    </xf>
    <xf numFmtId="0" fontId="54" fillId="0" borderId="77" xfId="0" applyFont="1" applyFill="1" applyBorder="1" applyAlignment="1">
      <alignment horizontal="left" vertical="center"/>
    </xf>
    <xf numFmtId="0" fontId="53" fillId="0" borderId="75" xfId="0" applyFont="1" applyFill="1" applyBorder="1" applyAlignment="1">
      <alignment horizontal="left" vertical="center"/>
    </xf>
    <xf numFmtId="0" fontId="53" fillId="0" borderId="76" xfId="0" applyFont="1" applyFill="1" applyBorder="1" applyAlignment="1">
      <alignment horizontal="left" vertical="center"/>
    </xf>
    <xf numFmtId="0" fontId="53" fillId="0" borderId="77" xfId="0" applyFont="1" applyFill="1" applyBorder="1" applyAlignment="1">
      <alignment horizontal="left" vertical="center"/>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6" fillId="0" borderId="21" xfId="0" applyFont="1" applyBorder="1" applyAlignment="1">
      <alignment vertical="center" wrapText="1"/>
    </xf>
    <xf numFmtId="0" fontId="6" fillId="0" borderId="33" xfId="0" applyFont="1" applyBorder="1" applyAlignment="1">
      <alignment vertical="center" wrapText="1"/>
    </xf>
    <xf numFmtId="0" fontId="17" fillId="0" borderId="21" xfId="0" applyFont="1" applyBorder="1" applyAlignment="1">
      <alignment horizontal="left" vertical="center" wrapText="1"/>
    </xf>
    <xf numFmtId="0" fontId="0" fillId="0" borderId="43" xfId="0" applyBorder="1" applyAlignment="1">
      <alignment horizontal="left" vertical="center" wrapText="1"/>
    </xf>
    <xf numFmtId="0" fontId="17" fillId="0" borderId="37" xfId="0" applyFont="1" applyBorder="1" applyAlignment="1">
      <alignment horizontal="center"/>
    </xf>
    <xf numFmtId="0" fontId="17" fillId="0" borderId="38" xfId="0" applyFont="1" applyBorder="1" applyAlignment="1">
      <alignment horizontal="center"/>
    </xf>
  </cellXfs>
  <cellStyles count="3">
    <cellStyle name="Normal" xfId="0" builtinId="0"/>
    <cellStyle name="Normal 2" xfId="1" xr:uid="{00000000-0005-0000-0000-000001000000}"/>
    <cellStyle name="Porcentaje 2" xfId="2" xr:uid="{00000000-0005-0000-0000-000002000000}"/>
  </cellStyles>
  <dxfs count="8">
    <dxf>
      <font>
        <color theme="9" tint="0.39994506668294322"/>
      </font>
    </dxf>
    <dxf>
      <font>
        <color theme="9" tint="-0.24994659260841701"/>
      </font>
    </dxf>
    <dxf>
      <font>
        <color theme="0"/>
      </font>
    </dxf>
    <dxf>
      <font>
        <color theme="9" tint="-0.499984740745262"/>
      </font>
    </dxf>
    <dxf>
      <font>
        <color theme="9" tint="0.39994506668294322"/>
      </font>
    </dxf>
    <dxf>
      <font>
        <color theme="9" tint="-0.24994659260841701"/>
      </font>
    </dxf>
    <dxf>
      <font>
        <color theme="0"/>
      </font>
    </dxf>
    <dxf>
      <font>
        <color theme="9" tint="-0.499984740745262"/>
      </font>
    </dxf>
  </dxfs>
  <tableStyles count="0" defaultTableStyle="TableStyleMedium2" defaultPivotStyle="PivotStyleLight16"/>
  <colors>
    <mruColors>
      <color rgb="FF175259"/>
      <color rgb="FF94BA29"/>
      <color rgb="FFDEDBC6"/>
      <color rgb="FFCBDAF8"/>
      <color rgb="FFE6F3F9"/>
      <color rgb="FFEBF4D0"/>
      <color rgb="FFFDEFD3"/>
      <color rgb="FFF5B224"/>
      <color rgb="FF6DA945"/>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846917314144"/>
          <c:y val="0.115381809668158"/>
          <c:w val="0.55513618744676796"/>
          <c:h val="0.806015041389057"/>
        </c:manualLayout>
      </c:layout>
      <c:radarChart>
        <c:radarStyle val="marker"/>
        <c:varyColors val="0"/>
        <c:ser>
          <c:idx val="0"/>
          <c:order val="0"/>
          <c:spPr>
            <a:ln w="28575" cap="rnd">
              <a:solidFill>
                <a:srgbClr val="FF0000"/>
              </a:solidFill>
              <a:round/>
            </a:ln>
            <a:effectLst/>
          </c:spPr>
          <c:marker>
            <c:symbol val="circle"/>
            <c:size val="5"/>
            <c:spPr>
              <a:solidFill>
                <a:srgbClr val="FF0000"/>
              </a:solidFill>
              <a:ln w="9525">
                <a:solidFill>
                  <a:schemeClr val="accent1"/>
                </a:solidFill>
              </a:ln>
              <a:effectLst/>
            </c:spPr>
          </c:marker>
          <c:cat>
            <c:numRef>
              <c:f>summary!$K$2:$K$11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summary!$P$2:$P$11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7F57-4304-BE03-FF31BC693134}"/>
            </c:ext>
          </c:extLst>
        </c:ser>
        <c:dLbls>
          <c:showLegendKey val="0"/>
          <c:showVal val="0"/>
          <c:showCatName val="0"/>
          <c:showSerName val="0"/>
          <c:showPercent val="0"/>
          <c:showBubbleSize val="0"/>
        </c:dLbls>
        <c:axId val="-2136169624"/>
        <c:axId val="-2136181240"/>
      </c:radarChart>
      <c:catAx>
        <c:axId val="-2136169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2136181240"/>
        <c:crosses val="autoZero"/>
        <c:auto val="1"/>
        <c:lblAlgn val="ctr"/>
        <c:lblOffset val="100"/>
        <c:noMultiLvlLbl val="0"/>
      </c:catAx>
      <c:valAx>
        <c:axId val="-2136181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616962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304800</xdr:colOff>
      <xdr:row>23</xdr:row>
      <xdr:rowOff>63499</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32</xdr:col>
      <xdr:colOff>6350</xdr:colOff>
      <xdr:row>26</xdr:row>
      <xdr:rowOff>497682</xdr:rowOff>
    </xdr:to>
    <xdr:sp macro="" textlink="">
      <xdr:nvSpPr>
        <xdr:cNvPr id="2" name="Group Box 20" hidden="1">
          <a:extLst>
            <a:ext uri="{63B3BB69-23CF-44E3-9099-C40C66FF867C}">
              <a14:compatExt xmlns:a14="http://schemas.microsoft.com/office/drawing/2010/main" spid="_x0000_s2068"/>
            </a:ext>
            <a:ext uri="{FF2B5EF4-FFF2-40B4-BE49-F238E27FC236}">
              <a16:creationId xmlns:a16="http://schemas.microsoft.com/office/drawing/2014/main" id="{C25E3A4D-7ACC-4A10-91CC-25D02CBE7DDD}"/>
            </a:ext>
          </a:extLst>
        </xdr:cNvPr>
        <xdr:cNvSpPr/>
      </xdr:nvSpPr>
      <xdr:spPr bwMode="auto">
        <a:xfrm>
          <a:off x="19326225" y="3543300"/>
          <a:ext cx="13417550"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3" name="Option Button 30" hidden="1">
          <a:extLst>
            <a:ext uri="{63B3BB69-23CF-44E3-9099-C40C66FF867C}">
              <a14:compatExt xmlns:a14="http://schemas.microsoft.com/office/drawing/2010/main" spid="_x0000_s2078"/>
            </a:ext>
            <a:ext uri="{FF2B5EF4-FFF2-40B4-BE49-F238E27FC236}">
              <a16:creationId xmlns:a16="http://schemas.microsoft.com/office/drawing/2014/main" id="{0311536E-20D9-4FD9-A2F8-1B131BD3BA3D}"/>
            </a:ext>
            <a:ext uri="{147F2762-F138-4A5C-976F-8EAC2B608ADB}">
              <a16:predDERef xmlns:a16="http://schemas.microsoft.com/office/drawing/2014/main" pred="{00000000-0008-0000-0200-000014080000}"/>
            </a:ext>
          </a:extLst>
        </xdr:cNvPr>
        <xdr:cNvSpPr/>
      </xdr:nvSpPr>
      <xdr:spPr bwMode="auto">
        <a:xfrm>
          <a:off x="19326225" y="35433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4" name="Option Button 32" hidden="1">
          <a:extLst>
            <a:ext uri="{63B3BB69-23CF-44E3-9099-C40C66FF867C}">
              <a14:compatExt xmlns:a14="http://schemas.microsoft.com/office/drawing/2010/main" spid="_x0000_s2080"/>
            </a:ext>
            <a:ext uri="{FF2B5EF4-FFF2-40B4-BE49-F238E27FC236}">
              <a16:creationId xmlns:a16="http://schemas.microsoft.com/office/drawing/2014/main" id="{7021CDA5-4F79-49BD-99A4-2B17A26CB8BF}"/>
            </a:ext>
            <a:ext uri="{147F2762-F138-4A5C-976F-8EAC2B608ADB}">
              <a16:predDERef xmlns:a16="http://schemas.microsoft.com/office/drawing/2014/main" pred="{00000000-0008-0000-0200-00001E080000}"/>
            </a:ext>
          </a:extLst>
        </xdr:cNvPr>
        <xdr:cNvSpPr/>
      </xdr:nvSpPr>
      <xdr:spPr bwMode="auto">
        <a:xfrm>
          <a:off x="19326225" y="35433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5" name="Option Button 34" hidden="1">
          <a:extLst>
            <a:ext uri="{63B3BB69-23CF-44E3-9099-C40C66FF867C}">
              <a14:compatExt xmlns:a14="http://schemas.microsoft.com/office/drawing/2010/main" spid="_x0000_s2082"/>
            </a:ext>
            <a:ext uri="{FF2B5EF4-FFF2-40B4-BE49-F238E27FC236}">
              <a16:creationId xmlns:a16="http://schemas.microsoft.com/office/drawing/2014/main" id="{355F6F2A-A5D8-4BFB-94FC-6C3FDF0B76AF}"/>
            </a:ext>
            <a:ext uri="{147F2762-F138-4A5C-976F-8EAC2B608ADB}">
              <a16:predDERef xmlns:a16="http://schemas.microsoft.com/office/drawing/2014/main" pred="{00000000-0008-0000-0200-000020080000}"/>
            </a:ext>
          </a:extLst>
        </xdr:cNvPr>
        <xdr:cNvSpPr/>
      </xdr:nvSpPr>
      <xdr:spPr bwMode="auto">
        <a:xfrm>
          <a:off x="19326225" y="35433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6" name="Option Button 36" hidden="1">
          <a:extLst>
            <a:ext uri="{63B3BB69-23CF-44E3-9099-C40C66FF867C}">
              <a14:compatExt xmlns:a14="http://schemas.microsoft.com/office/drawing/2010/main" spid="_x0000_s2084"/>
            </a:ext>
            <a:ext uri="{FF2B5EF4-FFF2-40B4-BE49-F238E27FC236}">
              <a16:creationId xmlns:a16="http://schemas.microsoft.com/office/drawing/2014/main" id="{1E1DD0FF-DDAB-4A58-A54D-6308EBADFA3B}"/>
            </a:ext>
            <a:ext uri="{147F2762-F138-4A5C-976F-8EAC2B608ADB}">
              <a16:predDERef xmlns:a16="http://schemas.microsoft.com/office/drawing/2014/main" pred="{00000000-0008-0000-0200-000022080000}"/>
            </a:ext>
          </a:extLst>
        </xdr:cNvPr>
        <xdr:cNvSpPr/>
      </xdr:nvSpPr>
      <xdr:spPr bwMode="auto">
        <a:xfrm>
          <a:off x="19326225" y="35433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32</xdr:col>
      <xdr:colOff>6350</xdr:colOff>
      <xdr:row>32</xdr:row>
      <xdr:rowOff>599282</xdr:rowOff>
    </xdr:to>
    <xdr:sp macro="" textlink="">
      <xdr:nvSpPr>
        <xdr:cNvPr id="7" name="Group Box 37" hidden="1">
          <a:extLst>
            <a:ext uri="{63B3BB69-23CF-44E3-9099-C40C66FF867C}">
              <a14:compatExt xmlns:a14="http://schemas.microsoft.com/office/drawing/2010/main" spid="_x0000_s2085"/>
            </a:ext>
            <a:ext uri="{FF2B5EF4-FFF2-40B4-BE49-F238E27FC236}">
              <a16:creationId xmlns:a16="http://schemas.microsoft.com/office/drawing/2014/main" id="{95050B08-725D-47D7-A450-FB1F0A2791A0}"/>
            </a:ext>
            <a:ext uri="{147F2762-F138-4A5C-976F-8EAC2B608ADB}">
              <a16:predDERef xmlns:a16="http://schemas.microsoft.com/office/drawing/2014/main" pred="{00000000-0008-0000-0200-000024080000}"/>
            </a:ext>
          </a:extLst>
        </xdr:cNvPr>
        <xdr:cNvSpPr/>
      </xdr:nvSpPr>
      <xdr:spPr bwMode="auto">
        <a:xfrm>
          <a:off x="19326225" y="10496550"/>
          <a:ext cx="13417550" cy="3778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25</xdr:row>
      <xdr:rowOff>0</xdr:rowOff>
    </xdr:from>
    <xdr:to>
      <xdr:col>32</xdr:col>
      <xdr:colOff>6350</xdr:colOff>
      <xdr:row>32</xdr:row>
      <xdr:rowOff>599282</xdr:rowOff>
    </xdr:to>
    <xdr:sp macro="" textlink="">
      <xdr:nvSpPr>
        <xdr:cNvPr id="8" name="Group Box 42" hidden="1">
          <a:extLst>
            <a:ext uri="{63B3BB69-23CF-44E3-9099-C40C66FF867C}">
              <a14:compatExt xmlns:a14="http://schemas.microsoft.com/office/drawing/2010/main" spid="_x0000_s2090"/>
            </a:ext>
            <a:ext uri="{FF2B5EF4-FFF2-40B4-BE49-F238E27FC236}">
              <a16:creationId xmlns:a16="http://schemas.microsoft.com/office/drawing/2014/main" id="{03FEA10C-5377-4C41-A93F-D66F6D3D838D}"/>
            </a:ext>
            <a:ext uri="{147F2762-F138-4A5C-976F-8EAC2B608ADB}">
              <a16:predDERef xmlns:a16="http://schemas.microsoft.com/office/drawing/2014/main" pred="{00000000-0008-0000-0200-000025080000}"/>
            </a:ext>
          </a:extLst>
        </xdr:cNvPr>
        <xdr:cNvSpPr/>
      </xdr:nvSpPr>
      <xdr:spPr bwMode="auto">
        <a:xfrm>
          <a:off x="19326225" y="10496550"/>
          <a:ext cx="13417550" cy="3778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9" name="Option Button 51" hidden="1">
          <a:extLst>
            <a:ext uri="{63B3BB69-23CF-44E3-9099-C40C66FF867C}">
              <a14:compatExt xmlns:a14="http://schemas.microsoft.com/office/drawing/2010/main" spid="_x0000_s2099"/>
            </a:ext>
            <a:ext uri="{FF2B5EF4-FFF2-40B4-BE49-F238E27FC236}">
              <a16:creationId xmlns:a16="http://schemas.microsoft.com/office/drawing/2014/main" id="{C3449219-FBCA-4C6E-8720-92ADDDF46140}"/>
            </a:ext>
            <a:ext uri="{147F2762-F138-4A5C-976F-8EAC2B608ADB}">
              <a16:predDERef xmlns:a16="http://schemas.microsoft.com/office/drawing/2014/main" pred="{00000000-0008-0000-0200-00002A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0" name="Option Button 52" hidden="1">
          <a:extLst>
            <a:ext uri="{63B3BB69-23CF-44E3-9099-C40C66FF867C}">
              <a14:compatExt xmlns:a14="http://schemas.microsoft.com/office/drawing/2010/main" spid="_x0000_s2100"/>
            </a:ext>
            <a:ext uri="{FF2B5EF4-FFF2-40B4-BE49-F238E27FC236}">
              <a16:creationId xmlns:a16="http://schemas.microsoft.com/office/drawing/2014/main" id="{B6F94241-D935-4F4E-8AFD-9445A7C7D48D}"/>
            </a:ext>
            <a:ext uri="{147F2762-F138-4A5C-976F-8EAC2B608ADB}">
              <a16:predDERef xmlns:a16="http://schemas.microsoft.com/office/drawing/2014/main" pred="{00000000-0008-0000-0200-000033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1" name="Option Button 53" hidden="1">
          <a:extLst>
            <a:ext uri="{63B3BB69-23CF-44E3-9099-C40C66FF867C}">
              <a14:compatExt xmlns:a14="http://schemas.microsoft.com/office/drawing/2010/main" spid="_x0000_s2101"/>
            </a:ext>
            <a:ext uri="{FF2B5EF4-FFF2-40B4-BE49-F238E27FC236}">
              <a16:creationId xmlns:a16="http://schemas.microsoft.com/office/drawing/2014/main" id="{EC00522B-ED36-4D5E-84A8-F31795EC9D4A}"/>
            </a:ext>
            <a:ext uri="{147F2762-F138-4A5C-976F-8EAC2B608ADB}">
              <a16:predDERef xmlns:a16="http://schemas.microsoft.com/office/drawing/2014/main" pred="{00000000-0008-0000-0200-000034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2" name="Option Button 54" hidden="1">
          <a:extLst>
            <a:ext uri="{63B3BB69-23CF-44E3-9099-C40C66FF867C}">
              <a14:compatExt xmlns:a14="http://schemas.microsoft.com/office/drawing/2010/main" spid="_x0000_s2102"/>
            </a:ext>
            <a:ext uri="{FF2B5EF4-FFF2-40B4-BE49-F238E27FC236}">
              <a16:creationId xmlns:a16="http://schemas.microsoft.com/office/drawing/2014/main" id="{2E96BE2B-1A73-4353-87D4-1A9FC1DA3CC3}"/>
            </a:ext>
            <a:ext uri="{147F2762-F138-4A5C-976F-8EAC2B608ADB}">
              <a16:predDERef xmlns:a16="http://schemas.microsoft.com/office/drawing/2014/main" pred="{00000000-0008-0000-0200-000035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3" name="Option Button 59" hidden="1">
          <a:extLst>
            <a:ext uri="{63B3BB69-23CF-44E3-9099-C40C66FF867C}">
              <a14:compatExt xmlns:a14="http://schemas.microsoft.com/office/drawing/2010/main" spid="_x0000_s2107"/>
            </a:ext>
            <a:ext uri="{FF2B5EF4-FFF2-40B4-BE49-F238E27FC236}">
              <a16:creationId xmlns:a16="http://schemas.microsoft.com/office/drawing/2014/main" id="{26A20BEA-7100-4AC4-AE16-F46CF69D4474}"/>
            </a:ext>
            <a:ext uri="{147F2762-F138-4A5C-976F-8EAC2B608ADB}">
              <a16:predDERef xmlns:a16="http://schemas.microsoft.com/office/drawing/2014/main" pred="{00000000-0008-0000-0200-000036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4" name="Option Button 60" hidden="1">
          <a:extLst>
            <a:ext uri="{63B3BB69-23CF-44E3-9099-C40C66FF867C}">
              <a14:compatExt xmlns:a14="http://schemas.microsoft.com/office/drawing/2010/main" spid="_x0000_s2108"/>
            </a:ext>
            <a:ext uri="{FF2B5EF4-FFF2-40B4-BE49-F238E27FC236}">
              <a16:creationId xmlns:a16="http://schemas.microsoft.com/office/drawing/2014/main" id="{B66EA1AE-26E4-44BE-AE6F-C082B1ADFCDF}"/>
            </a:ext>
            <a:ext uri="{147F2762-F138-4A5C-976F-8EAC2B608ADB}">
              <a16:predDERef xmlns:a16="http://schemas.microsoft.com/office/drawing/2014/main" pred="{00000000-0008-0000-0200-00003B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5" name="Option Button 61" hidden="1">
          <a:extLst>
            <a:ext uri="{63B3BB69-23CF-44E3-9099-C40C66FF867C}">
              <a14:compatExt xmlns:a14="http://schemas.microsoft.com/office/drawing/2010/main" spid="_x0000_s2109"/>
            </a:ext>
            <a:ext uri="{FF2B5EF4-FFF2-40B4-BE49-F238E27FC236}">
              <a16:creationId xmlns:a16="http://schemas.microsoft.com/office/drawing/2014/main" id="{27837999-58C5-4F91-BC84-8176A63F6FC8}"/>
            </a:ext>
            <a:ext uri="{147F2762-F138-4A5C-976F-8EAC2B608ADB}">
              <a16:predDERef xmlns:a16="http://schemas.microsoft.com/office/drawing/2014/main" pred="{00000000-0008-0000-0200-00003C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6" name="Option Button 62" hidden="1">
          <a:extLst>
            <a:ext uri="{63B3BB69-23CF-44E3-9099-C40C66FF867C}">
              <a14:compatExt xmlns:a14="http://schemas.microsoft.com/office/drawing/2010/main" spid="_x0000_s2110"/>
            </a:ext>
            <a:ext uri="{FF2B5EF4-FFF2-40B4-BE49-F238E27FC236}">
              <a16:creationId xmlns:a16="http://schemas.microsoft.com/office/drawing/2014/main" id="{FE231A77-A5D8-492B-89E0-5C936F7246AD}"/>
            </a:ext>
            <a:ext uri="{147F2762-F138-4A5C-976F-8EAC2B608ADB}">
              <a16:predDERef xmlns:a16="http://schemas.microsoft.com/office/drawing/2014/main" pred="{00000000-0008-0000-0200-00003D080000}"/>
            </a:ext>
          </a:extLst>
        </xdr:cNvPr>
        <xdr:cNvSpPr/>
      </xdr:nvSpPr>
      <xdr:spPr bwMode="auto">
        <a:xfrm>
          <a:off x="19326225" y="104965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32</xdr:col>
      <xdr:colOff>6350</xdr:colOff>
      <xdr:row>59</xdr:row>
      <xdr:rowOff>571501</xdr:rowOff>
    </xdr:to>
    <xdr:sp macro="" textlink="">
      <xdr:nvSpPr>
        <xdr:cNvPr id="17" name="Group Box 63" hidden="1">
          <a:extLst>
            <a:ext uri="{63B3BB69-23CF-44E3-9099-C40C66FF867C}">
              <a14:compatExt xmlns:a14="http://schemas.microsoft.com/office/drawing/2010/main" spid="_x0000_s2111"/>
            </a:ext>
            <a:ext uri="{FF2B5EF4-FFF2-40B4-BE49-F238E27FC236}">
              <a16:creationId xmlns:a16="http://schemas.microsoft.com/office/drawing/2014/main" id="{C5A4F4BA-A819-4165-975E-C801C29F80D8}"/>
            </a:ext>
            <a:ext uri="{147F2762-F138-4A5C-976F-8EAC2B608ADB}">
              <a16:predDERef xmlns:a16="http://schemas.microsoft.com/office/drawing/2014/main" pred="{00000000-0008-0000-0200-00003E080000}"/>
            </a:ext>
          </a:extLst>
        </xdr:cNvPr>
        <xdr:cNvSpPr/>
      </xdr:nvSpPr>
      <xdr:spPr bwMode="auto">
        <a:xfrm>
          <a:off x="19326225" y="15601950"/>
          <a:ext cx="13417550"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18" name="Option Button 64" hidden="1">
          <a:extLst>
            <a:ext uri="{63B3BB69-23CF-44E3-9099-C40C66FF867C}">
              <a14:compatExt xmlns:a14="http://schemas.microsoft.com/office/drawing/2010/main" spid="_x0000_s2112"/>
            </a:ext>
            <a:ext uri="{FF2B5EF4-FFF2-40B4-BE49-F238E27FC236}">
              <a16:creationId xmlns:a16="http://schemas.microsoft.com/office/drawing/2014/main" id="{23AEAAE4-9E91-4F43-B6A3-5F36D905A0CF}"/>
            </a:ext>
            <a:ext uri="{147F2762-F138-4A5C-976F-8EAC2B608ADB}">
              <a16:predDERef xmlns:a16="http://schemas.microsoft.com/office/drawing/2014/main" pred="{00000000-0008-0000-0200-00003F080000}"/>
            </a:ext>
          </a:extLst>
        </xdr:cNvPr>
        <xdr:cNvSpPr/>
      </xdr:nvSpPr>
      <xdr:spPr bwMode="auto">
        <a:xfrm>
          <a:off x="19326225" y="156019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19" name="Option Button 65" hidden="1">
          <a:extLst>
            <a:ext uri="{63B3BB69-23CF-44E3-9099-C40C66FF867C}">
              <a14:compatExt xmlns:a14="http://schemas.microsoft.com/office/drawing/2010/main" spid="_x0000_s2113"/>
            </a:ext>
            <a:ext uri="{FF2B5EF4-FFF2-40B4-BE49-F238E27FC236}">
              <a16:creationId xmlns:a16="http://schemas.microsoft.com/office/drawing/2014/main" id="{09B6BCF6-F19A-4700-B3D4-576DEC3CC4C5}"/>
            </a:ext>
            <a:ext uri="{147F2762-F138-4A5C-976F-8EAC2B608ADB}">
              <a16:predDERef xmlns:a16="http://schemas.microsoft.com/office/drawing/2014/main" pred="{00000000-0008-0000-0200-000040080000}"/>
            </a:ext>
          </a:extLst>
        </xdr:cNvPr>
        <xdr:cNvSpPr/>
      </xdr:nvSpPr>
      <xdr:spPr bwMode="auto">
        <a:xfrm>
          <a:off x="19326225" y="156019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20" name="Option Button 66" hidden="1">
          <a:extLst>
            <a:ext uri="{63B3BB69-23CF-44E3-9099-C40C66FF867C}">
              <a14:compatExt xmlns:a14="http://schemas.microsoft.com/office/drawing/2010/main" spid="_x0000_s2114"/>
            </a:ext>
            <a:ext uri="{FF2B5EF4-FFF2-40B4-BE49-F238E27FC236}">
              <a16:creationId xmlns:a16="http://schemas.microsoft.com/office/drawing/2014/main" id="{65FC7FC9-F0C1-40F9-A8DF-884F9F214415}"/>
            </a:ext>
            <a:ext uri="{147F2762-F138-4A5C-976F-8EAC2B608ADB}">
              <a16:predDERef xmlns:a16="http://schemas.microsoft.com/office/drawing/2014/main" pred="{00000000-0008-0000-0200-000041080000}"/>
            </a:ext>
          </a:extLst>
        </xdr:cNvPr>
        <xdr:cNvSpPr/>
      </xdr:nvSpPr>
      <xdr:spPr bwMode="auto">
        <a:xfrm>
          <a:off x="19326225" y="156019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21" name="Option Button 67" hidden="1">
          <a:extLst>
            <a:ext uri="{63B3BB69-23CF-44E3-9099-C40C66FF867C}">
              <a14:compatExt xmlns:a14="http://schemas.microsoft.com/office/drawing/2010/main" spid="_x0000_s2115"/>
            </a:ext>
            <a:ext uri="{FF2B5EF4-FFF2-40B4-BE49-F238E27FC236}">
              <a16:creationId xmlns:a16="http://schemas.microsoft.com/office/drawing/2014/main" id="{83DA4C3B-2E97-4AEA-89F8-BCD5F7840A8D}"/>
            </a:ext>
            <a:ext uri="{147F2762-F138-4A5C-976F-8EAC2B608ADB}">
              <a16:predDERef xmlns:a16="http://schemas.microsoft.com/office/drawing/2014/main" pred="{00000000-0008-0000-0200-000042080000}"/>
            </a:ext>
          </a:extLst>
        </xdr:cNvPr>
        <xdr:cNvSpPr/>
      </xdr:nvSpPr>
      <xdr:spPr bwMode="auto">
        <a:xfrm>
          <a:off x="19326225" y="156019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32</xdr:col>
      <xdr:colOff>6350</xdr:colOff>
      <xdr:row>79</xdr:row>
      <xdr:rowOff>236310</xdr:rowOff>
    </xdr:to>
    <xdr:sp macro="" textlink="">
      <xdr:nvSpPr>
        <xdr:cNvPr id="22" name="Group Box 68" hidden="1">
          <a:extLst>
            <a:ext uri="{63B3BB69-23CF-44E3-9099-C40C66FF867C}">
              <a14:compatExt xmlns:a14="http://schemas.microsoft.com/office/drawing/2010/main" spid="_x0000_s2116"/>
            </a:ext>
            <a:ext uri="{FF2B5EF4-FFF2-40B4-BE49-F238E27FC236}">
              <a16:creationId xmlns:a16="http://schemas.microsoft.com/office/drawing/2014/main" id="{67EF33BC-9E33-4EA6-98A1-079E0AD10BD6}"/>
            </a:ext>
            <a:ext uri="{147F2762-F138-4A5C-976F-8EAC2B608ADB}">
              <a16:predDERef xmlns:a16="http://schemas.microsoft.com/office/drawing/2014/main" pred="{00000000-0008-0000-0200-000043080000}"/>
            </a:ext>
          </a:extLst>
        </xdr:cNvPr>
        <xdr:cNvSpPr/>
      </xdr:nvSpPr>
      <xdr:spPr bwMode="auto">
        <a:xfrm>
          <a:off x="19326225" y="27736800"/>
          <a:ext cx="13417550" cy="379186"/>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3" name="Option Button 69" hidden="1">
          <a:extLst>
            <a:ext uri="{63B3BB69-23CF-44E3-9099-C40C66FF867C}">
              <a14:compatExt xmlns:a14="http://schemas.microsoft.com/office/drawing/2010/main" spid="_x0000_s2117"/>
            </a:ext>
            <a:ext uri="{FF2B5EF4-FFF2-40B4-BE49-F238E27FC236}">
              <a16:creationId xmlns:a16="http://schemas.microsoft.com/office/drawing/2014/main" id="{7543C8D2-CAD5-41CA-A1B6-2A76360A42E1}"/>
            </a:ext>
            <a:ext uri="{147F2762-F138-4A5C-976F-8EAC2B608ADB}">
              <a16:predDERef xmlns:a16="http://schemas.microsoft.com/office/drawing/2014/main" pred="{00000000-0008-0000-0200-000044080000}"/>
            </a:ext>
          </a:extLst>
        </xdr:cNvPr>
        <xdr:cNvSpPr/>
      </xdr:nvSpPr>
      <xdr:spPr bwMode="auto">
        <a:xfrm>
          <a:off x="19326225" y="277368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4" name="Option Button 70" hidden="1">
          <a:extLst>
            <a:ext uri="{63B3BB69-23CF-44E3-9099-C40C66FF867C}">
              <a14:compatExt xmlns:a14="http://schemas.microsoft.com/office/drawing/2010/main" spid="_x0000_s2118"/>
            </a:ext>
            <a:ext uri="{FF2B5EF4-FFF2-40B4-BE49-F238E27FC236}">
              <a16:creationId xmlns:a16="http://schemas.microsoft.com/office/drawing/2014/main" id="{3D626BA0-A2B8-4528-9D06-888B6518587C}"/>
            </a:ext>
            <a:ext uri="{147F2762-F138-4A5C-976F-8EAC2B608ADB}">
              <a16:predDERef xmlns:a16="http://schemas.microsoft.com/office/drawing/2014/main" pred="{00000000-0008-0000-0200-000045080000}"/>
            </a:ext>
          </a:extLst>
        </xdr:cNvPr>
        <xdr:cNvSpPr/>
      </xdr:nvSpPr>
      <xdr:spPr bwMode="auto">
        <a:xfrm>
          <a:off x="19326225" y="277368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5" name="Option Button 71" hidden="1">
          <a:extLst>
            <a:ext uri="{63B3BB69-23CF-44E3-9099-C40C66FF867C}">
              <a14:compatExt xmlns:a14="http://schemas.microsoft.com/office/drawing/2010/main" spid="_x0000_s2119"/>
            </a:ext>
            <a:ext uri="{FF2B5EF4-FFF2-40B4-BE49-F238E27FC236}">
              <a16:creationId xmlns:a16="http://schemas.microsoft.com/office/drawing/2014/main" id="{2B88DC1A-DEA4-4729-BA66-03129997A7FD}"/>
            </a:ext>
            <a:ext uri="{147F2762-F138-4A5C-976F-8EAC2B608ADB}">
              <a16:predDERef xmlns:a16="http://schemas.microsoft.com/office/drawing/2014/main" pred="{00000000-0008-0000-0200-000046080000}"/>
            </a:ext>
          </a:extLst>
        </xdr:cNvPr>
        <xdr:cNvSpPr/>
      </xdr:nvSpPr>
      <xdr:spPr bwMode="auto">
        <a:xfrm>
          <a:off x="19326225" y="277368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6" name="Option Button 72" hidden="1">
          <a:extLst>
            <a:ext uri="{63B3BB69-23CF-44E3-9099-C40C66FF867C}">
              <a14:compatExt xmlns:a14="http://schemas.microsoft.com/office/drawing/2010/main" spid="_x0000_s2120"/>
            </a:ext>
            <a:ext uri="{FF2B5EF4-FFF2-40B4-BE49-F238E27FC236}">
              <a16:creationId xmlns:a16="http://schemas.microsoft.com/office/drawing/2014/main" id="{ECA59434-07EC-4F60-97DC-5E3751966797}"/>
            </a:ext>
            <a:ext uri="{147F2762-F138-4A5C-976F-8EAC2B608ADB}">
              <a16:predDERef xmlns:a16="http://schemas.microsoft.com/office/drawing/2014/main" pred="{00000000-0008-0000-0200-000047080000}"/>
            </a:ext>
          </a:extLst>
        </xdr:cNvPr>
        <xdr:cNvSpPr/>
      </xdr:nvSpPr>
      <xdr:spPr bwMode="auto">
        <a:xfrm>
          <a:off x="19326225" y="277368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32</xdr:col>
      <xdr:colOff>6350</xdr:colOff>
      <xdr:row>61</xdr:row>
      <xdr:rowOff>413544</xdr:rowOff>
    </xdr:to>
    <xdr:sp macro="" textlink="">
      <xdr:nvSpPr>
        <xdr:cNvPr id="27" name="Group Box 73" hidden="1">
          <a:extLst>
            <a:ext uri="{63B3BB69-23CF-44E3-9099-C40C66FF867C}">
              <a14:compatExt xmlns:a14="http://schemas.microsoft.com/office/drawing/2010/main" spid="_x0000_s2121"/>
            </a:ext>
            <a:ext uri="{FF2B5EF4-FFF2-40B4-BE49-F238E27FC236}">
              <a16:creationId xmlns:a16="http://schemas.microsoft.com/office/drawing/2014/main" id="{B776E95E-620F-4C39-9394-FBEA6903400C}"/>
            </a:ext>
            <a:ext uri="{147F2762-F138-4A5C-976F-8EAC2B608ADB}">
              <a16:predDERef xmlns:a16="http://schemas.microsoft.com/office/drawing/2014/main" pred="{00000000-0008-0000-0200-000048080000}"/>
            </a:ext>
          </a:extLst>
        </xdr:cNvPr>
        <xdr:cNvSpPr/>
      </xdr:nvSpPr>
      <xdr:spPr bwMode="auto">
        <a:xfrm>
          <a:off x="19326225" y="37090350"/>
          <a:ext cx="13417550" cy="42545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28" name="Option Button 74" hidden="1">
          <a:extLst>
            <a:ext uri="{63B3BB69-23CF-44E3-9099-C40C66FF867C}">
              <a14:compatExt xmlns:a14="http://schemas.microsoft.com/office/drawing/2010/main" spid="_x0000_s2122"/>
            </a:ext>
            <a:ext uri="{FF2B5EF4-FFF2-40B4-BE49-F238E27FC236}">
              <a16:creationId xmlns:a16="http://schemas.microsoft.com/office/drawing/2014/main" id="{52CFE656-ECB4-4089-8B7F-C490F850025C}"/>
            </a:ext>
            <a:ext uri="{147F2762-F138-4A5C-976F-8EAC2B608ADB}">
              <a16:predDERef xmlns:a16="http://schemas.microsoft.com/office/drawing/2014/main" pred="{00000000-0008-0000-0200-000049080000}"/>
            </a:ext>
          </a:extLst>
        </xdr:cNvPr>
        <xdr:cNvSpPr/>
      </xdr:nvSpPr>
      <xdr:spPr bwMode="auto">
        <a:xfrm>
          <a:off x="19326225" y="370903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29" name="Option Button 75" hidden="1">
          <a:extLst>
            <a:ext uri="{63B3BB69-23CF-44E3-9099-C40C66FF867C}">
              <a14:compatExt xmlns:a14="http://schemas.microsoft.com/office/drawing/2010/main" spid="_x0000_s2123"/>
            </a:ext>
            <a:ext uri="{FF2B5EF4-FFF2-40B4-BE49-F238E27FC236}">
              <a16:creationId xmlns:a16="http://schemas.microsoft.com/office/drawing/2014/main" id="{B5C893F0-C716-41E0-A187-F7268101CAAD}"/>
            </a:ext>
            <a:ext uri="{147F2762-F138-4A5C-976F-8EAC2B608ADB}">
              <a16:predDERef xmlns:a16="http://schemas.microsoft.com/office/drawing/2014/main" pred="{00000000-0008-0000-0200-00004A080000}"/>
            </a:ext>
          </a:extLst>
        </xdr:cNvPr>
        <xdr:cNvSpPr/>
      </xdr:nvSpPr>
      <xdr:spPr bwMode="auto">
        <a:xfrm>
          <a:off x="19326225" y="370903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30" name="Option Button 76" hidden="1">
          <a:extLst>
            <a:ext uri="{63B3BB69-23CF-44E3-9099-C40C66FF867C}">
              <a14:compatExt xmlns:a14="http://schemas.microsoft.com/office/drawing/2010/main" spid="_x0000_s2124"/>
            </a:ext>
            <a:ext uri="{FF2B5EF4-FFF2-40B4-BE49-F238E27FC236}">
              <a16:creationId xmlns:a16="http://schemas.microsoft.com/office/drawing/2014/main" id="{43FBECB2-3BFB-45F7-BB14-D5BDE26E0D54}"/>
            </a:ext>
            <a:ext uri="{147F2762-F138-4A5C-976F-8EAC2B608ADB}">
              <a16:predDERef xmlns:a16="http://schemas.microsoft.com/office/drawing/2014/main" pred="{00000000-0008-0000-0200-00004B080000}"/>
            </a:ext>
          </a:extLst>
        </xdr:cNvPr>
        <xdr:cNvSpPr/>
      </xdr:nvSpPr>
      <xdr:spPr bwMode="auto">
        <a:xfrm>
          <a:off x="19326225" y="370903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31" name="Option Button 77" hidden="1">
          <a:extLst>
            <a:ext uri="{63B3BB69-23CF-44E3-9099-C40C66FF867C}">
              <a14:compatExt xmlns:a14="http://schemas.microsoft.com/office/drawing/2010/main" spid="_x0000_s2125"/>
            </a:ext>
            <a:ext uri="{FF2B5EF4-FFF2-40B4-BE49-F238E27FC236}">
              <a16:creationId xmlns:a16="http://schemas.microsoft.com/office/drawing/2014/main" id="{2A62069E-E7F0-44AA-9530-7782E2378A83}"/>
            </a:ext>
            <a:ext uri="{147F2762-F138-4A5C-976F-8EAC2B608ADB}">
              <a16:predDERef xmlns:a16="http://schemas.microsoft.com/office/drawing/2014/main" pred="{00000000-0008-0000-0200-00004C080000}"/>
            </a:ext>
          </a:extLst>
        </xdr:cNvPr>
        <xdr:cNvSpPr/>
      </xdr:nvSpPr>
      <xdr:spPr bwMode="auto">
        <a:xfrm>
          <a:off x="19326225" y="3709035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32</xdr:col>
      <xdr:colOff>6350</xdr:colOff>
      <xdr:row>61</xdr:row>
      <xdr:rowOff>365918</xdr:rowOff>
    </xdr:to>
    <xdr:sp macro="" textlink="">
      <xdr:nvSpPr>
        <xdr:cNvPr id="32" name="Group Box 78" hidden="1">
          <a:extLst>
            <a:ext uri="{63B3BB69-23CF-44E3-9099-C40C66FF867C}">
              <a14:compatExt xmlns:a14="http://schemas.microsoft.com/office/drawing/2010/main" spid="_x0000_s2126"/>
            </a:ext>
            <a:ext uri="{FF2B5EF4-FFF2-40B4-BE49-F238E27FC236}">
              <a16:creationId xmlns:a16="http://schemas.microsoft.com/office/drawing/2014/main" id="{6EDEAFA9-A0C7-4B47-A73E-79E3E647E568}"/>
            </a:ext>
            <a:ext uri="{147F2762-F138-4A5C-976F-8EAC2B608ADB}">
              <a16:predDERef xmlns:a16="http://schemas.microsoft.com/office/drawing/2014/main" pred="{00000000-0008-0000-0200-00004D080000}"/>
            </a:ext>
          </a:extLst>
        </xdr:cNvPr>
        <xdr:cNvSpPr/>
      </xdr:nvSpPr>
      <xdr:spPr bwMode="auto">
        <a:xfrm>
          <a:off x="19326225" y="38214300"/>
          <a:ext cx="13417550" cy="3778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3" name="Option Button 79" hidden="1">
          <a:extLst>
            <a:ext uri="{63B3BB69-23CF-44E3-9099-C40C66FF867C}">
              <a14:compatExt xmlns:a14="http://schemas.microsoft.com/office/drawing/2010/main" spid="_x0000_s2127"/>
            </a:ext>
            <a:ext uri="{FF2B5EF4-FFF2-40B4-BE49-F238E27FC236}">
              <a16:creationId xmlns:a16="http://schemas.microsoft.com/office/drawing/2014/main" id="{A8B6AB48-C2A1-4C15-BB21-DD25851F3B8F}"/>
            </a:ext>
            <a:ext uri="{147F2762-F138-4A5C-976F-8EAC2B608ADB}">
              <a16:predDERef xmlns:a16="http://schemas.microsoft.com/office/drawing/2014/main" pred="{00000000-0008-0000-0200-00004E080000}"/>
            </a:ext>
          </a:extLst>
        </xdr:cNvPr>
        <xdr:cNvSpPr/>
      </xdr:nvSpPr>
      <xdr:spPr bwMode="auto">
        <a:xfrm>
          <a:off x="19326225" y="382143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4" name="Option Button 80" hidden="1">
          <a:extLst>
            <a:ext uri="{63B3BB69-23CF-44E3-9099-C40C66FF867C}">
              <a14:compatExt xmlns:a14="http://schemas.microsoft.com/office/drawing/2010/main" spid="_x0000_s2128"/>
            </a:ext>
            <a:ext uri="{FF2B5EF4-FFF2-40B4-BE49-F238E27FC236}">
              <a16:creationId xmlns:a16="http://schemas.microsoft.com/office/drawing/2014/main" id="{A7246903-B8B8-4CD1-8682-D9321987F2A9}"/>
            </a:ext>
            <a:ext uri="{147F2762-F138-4A5C-976F-8EAC2B608ADB}">
              <a16:predDERef xmlns:a16="http://schemas.microsoft.com/office/drawing/2014/main" pred="{00000000-0008-0000-0200-00004F080000}"/>
            </a:ext>
          </a:extLst>
        </xdr:cNvPr>
        <xdr:cNvSpPr/>
      </xdr:nvSpPr>
      <xdr:spPr bwMode="auto">
        <a:xfrm>
          <a:off x="19326225" y="382143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5" name="Option Button 81" hidden="1">
          <a:extLst>
            <a:ext uri="{63B3BB69-23CF-44E3-9099-C40C66FF867C}">
              <a14:compatExt xmlns:a14="http://schemas.microsoft.com/office/drawing/2010/main" spid="_x0000_s2129"/>
            </a:ext>
            <a:ext uri="{FF2B5EF4-FFF2-40B4-BE49-F238E27FC236}">
              <a16:creationId xmlns:a16="http://schemas.microsoft.com/office/drawing/2014/main" id="{07A25210-2F89-4595-817A-C423CBBC51AB}"/>
            </a:ext>
            <a:ext uri="{147F2762-F138-4A5C-976F-8EAC2B608ADB}">
              <a16:predDERef xmlns:a16="http://schemas.microsoft.com/office/drawing/2014/main" pred="{00000000-0008-0000-0200-000050080000}"/>
            </a:ext>
          </a:extLst>
        </xdr:cNvPr>
        <xdr:cNvSpPr/>
      </xdr:nvSpPr>
      <xdr:spPr bwMode="auto">
        <a:xfrm>
          <a:off x="19326225" y="382143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6" name="Option Button 82" hidden="1">
          <a:extLst>
            <a:ext uri="{63B3BB69-23CF-44E3-9099-C40C66FF867C}">
              <a14:compatExt xmlns:a14="http://schemas.microsoft.com/office/drawing/2010/main" spid="_x0000_s2130"/>
            </a:ext>
            <a:ext uri="{FF2B5EF4-FFF2-40B4-BE49-F238E27FC236}">
              <a16:creationId xmlns:a16="http://schemas.microsoft.com/office/drawing/2014/main" id="{904DD5BF-5820-4C37-8979-B4F7DC412107}"/>
            </a:ext>
            <a:ext uri="{147F2762-F138-4A5C-976F-8EAC2B608ADB}">
              <a16:predDERef xmlns:a16="http://schemas.microsoft.com/office/drawing/2014/main" pred="{00000000-0008-0000-0200-000051080000}"/>
            </a:ext>
          </a:extLst>
        </xdr:cNvPr>
        <xdr:cNvSpPr/>
      </xdr:nvSpPr>
      <xdr:spPr bwMode="auto">
        <a:xfrm>
          <a:off x="19326225" y="382143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32</xdr:col>
      <xdr:colOff>6350</xdr:colOff>
      <xdr:row>72</xdr:row>
      <xdr:rowOff>120649</xdr:rowOff>
    </xdr:to>
    <xdr:sp macro="" textlink="">
      <xdr:nvSpPr>
        <xdr:cNvPr id="37" name="Group Box 83" hidden="1">
          <a:extLst>
            <a:ext uri="{63B3BB69-23CF-44E3-9099-C40C66FF867C}">
              <a14:compatExt xmlns:a14="http://schemas.microsoft.com/office/drawing/2010/main" spid="_x0000_s2131"/>
            </a:ext>
            <a:ext uri="{FF2B5EF4-FFF2-40B4-BE49-F238E27FC236}">
              <a16:creationId xmlns:a16="http://schemas.microsoft.com/office/drawing/2014/main" id="{18D0DEEF-DEC0-4805-B96C-A9160D7ED0EB}"/>
            </a:ext>
            <a:ext uri="{147F2762-F138-4A5C-976F-8EAC2B608ADB}">
              <a16:predDERef xmlns:a16="http://schemas.microsoft.com/office/drawing/2014/main" pred="{00000000-0008-0000-0200-000052080000}"/>
            </a:ext>
          </a:extLst>
        </xdr:cNvPr>
        <xdr:cNvSpPr/>
      </xdr:nvSpPr>
      <xdr:spPr bwMode="auto">
        <a:xfrm>
          <a:off x="19326225" y="39214425"/>
          <a:ext cx="13417550" cy="3778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38" name="Option Button 84" hidden="1">
          <a:extLst>
            <a:ext uri="{63B3BB69-23CF-44E3-9099-C40C66FF867C}">
              <a14:compatExt xmlns:a14="http://schemas.microsoft.com/office/drawing/2010/main" spid="_x0000_s2132"/>
            </a:ext>
            <a:ext uri="{FF2B5EF4-FFF2-40B4-BE49-F238E27FC236}">
              <a16:creationId xmlns:a16="http://schemas.microsoft.com/office/drawing/2014/main" id="{3405F08B-9C6E-488B-9B05-9BAE003280FC}"/>
            </a:ext>
            <a:ext uri="{147F2762-F138-4A5C-976F-8EAC2B608ADB}">
              <a16:predDERef xmlns:a16="http://schemas.microsoft.com/office/drawing/2014/main" pred="{00000000-0008-0000-0200-000053080000}"/>
            </a:ext>
          </a:extLst>
        </xdr:cNvPr>
        <xdr:cNvSpPr/>
      </xdr:nvSpPr>
      <xdr:spPr bwMode="auto">
        <a:xfrm>
          <a:off x="19326225" y="392906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39" name="Option Button 85" hidden="1">
          <a:extLst>
            <a:ext uri="{63B3BB69-23CF-44E3-9099-C40C66FF867C}">
              <a14:compatExt xmlns:a14="http://schemas.microsoft.com/office/drawing/2010/main" spid="_x0000_s2133"/>
            </a:ext>
            <a:ext uri="{FF2B5EF4-FFF2-40B4-BE49-F238E27FC236}">
              <a16:creationId xmlns:a16="http://schemas.microsoft.com/office/drawing/2014/main" id="{57961242-2EF0-4B75-A7E8-CB63E2B57F2B}"/>
            </a:ext>
            <a:ext uri="{147F2762-F138-4A5C-976F-8EAC2B608ADB}">
              <a16:predDERef xmlns:a16="http://schemas.microsoft.com/office/drawing/2014/main" pred="{00000000-0008-0000-0200-000054080000}"/>
            </a:ext>
          </a:extLst>
        </xdr:cNvPr>
        <xdr:cNvSpPr/>
      </xdr:nvSpPr>
      <xdr:spPr bwMode="auto">
        <a:xfrm>
          <a:off x="19326225" y="392906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40" name="Option Button 86" hidden="1">
          <a:extLst>
            <a:ext uri="{63B3BB69-23CF-44E3-9099-C40C66FF867C}">
              <a14:compatExt xmlns:a14="http://schemas.microsoft.com/office/drawing/2010/main" spid="_x0000_s2134"/>
            </a:ext>
            <a:ext uri="{FF2B5EF4-FFF2-40B4-BE49-F238E27FC236}">
              <a16:creationId xmlns:a16="http://schemas.microsoft.com/office/drawing/2014/main" id="{015E1C5F-6561-4B40-A702-5CC8DB3FD66C}"/>
            </a:ext>
            <a:ext uri="{147F2762-F138-4A5C-976F-8EAC2B608ADB}">
              <a16:predDERef xmlns:a16="http://schemas.microsoft.com/office/drawing/2014/main" pred="{00000000-0008-0000-0200-000055080000}"/>
            </a:ext>
          </a:extLst>
        </xdr:cNvPr>
        <xdr:cNvSpPr/>
      </xdr:nvSpPr>
      <xdr:spPr bwMode="auto">
        <a:xfrm>
          <a:off x="19326225" y="392906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41" name="Option Button 87" hidden="1">
          <a:extLst>
            <a:ext uri="{63B3BB69-23CF-44E3-9099-C40C66FF867C}">
              <a14:compatExt xmlns:a14="http://schemas.microsoft.com/office/drawing/2010/main" spid="_x0000_s2135"/>
            </a:ext>
            <a:ext uri="{FF2B5EF4-FFF2-40B4-BE49-F238E27FC236}">
              <a16:creationId xmlns:a16="http://schemas.microsoft.com/office/drawing/2014/main" id="{5313A51E-3E1C-4415-98AE-1F4604855E1C}"/>
            </a:ext>
            <a:ext uri="{147F2762-F138-4A5C-976F-8EAC2B608ADB}">
              <a16:predDERef xmlns:a16="http://schemas.microsoft.com/office/drawing/2014/main" pred="{00000000-0008-0000-0200-000056080000}"/>
            </a:ext>
          </a:extLst>
        </xdr:cNvPr>
        <xdr:cNvSpPr/>
      </xdr:nvSpPr>
      <xdr:spPr bwMode="auto">
        <a:xfrm>
          <a:off x="19326225" y="392906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28575</xdr:rowOff>
    </xdr:from>
    <xdr:to>
      <xdr:col>32</xdr:col>
      <xdr:colOff>6350</xdr:colOff>
      <xdr:row>67</xdr:row>
      <xdr:rowOff>944563</xdr:rowOff>
    </xdr:to>
    <xdr:sp macro="" textlink="">
      <xdr:nvSpPr>
        <xdr:cNvPr id="42" name="Group Box 88" hidden="1">
          <a:extLst>
            <a:ext uri="{63B3BB69-23CF-44E3-9099-C40C66FF867C}">
              <a14:compatExt xmlns:a14="http://schemas.microsoft.com/office/drawing/2010/main" spid="_x0000_s2136"/>
            </a:ext>
            <a:ext uri="{FF2B5EF4-FFF2-40B4-BE49-F238E27FC236}">
              <a16:creationId xmlns:a16="http://schemas.microsoft.com/office/drawing/2014/main" id="{EE17A492-2C92-4796-A43D-9E586E3129B6}"/>
            </a:ext>
            <a:ext uri="{147F2762-F138-4A5C-976F-8EAC2B608ADB}">
              <a16:predDERef xmlns:a16="http://schemas.microsoft.com/office/drawing/2014/main" pred="{00000000-0008-0000-0200-000057080000}"/>
            </a:ext>
          </a:extLst>
        </xdr:cNvPr>
        <xdr:cNvSpPr/>
      </xdr:nvSpPr>
      <xdr:spPr bwMode="auto">
        <a:xfrm>
          <a:off x="19326225" y="42786300"/>
          <a:ext cx="13417550" cy="3778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3" name="Option Button 89" hidden="1">
          <a:extLst>
            <a:ext uri="{63B3BB69-23CF-44E3-9099-C40C66FF867C}">
              <a14:compatExt xmlns:a14="http://schemas.microsoft.com/office/drawing/2010/main" spid="_x0000_s2137"/>
            </a:ext>
            <a:ext uri="{FF2B5EF4-FFF2-40B4-BE49-F238E27FC236}">
              <a16:creationId xmlns:a16="http://schemas.microsoft.com/office/drawing/2014/main" id="{E64669D8-B276-4809-8E3D-19DF2AF40FC6}"/>
            </a:ext>
            <a:ext uri="{147F2762-F138-4A5C-976F-8EAC2B608ADB}">
              <a16:predDERef xmlns:a16="http://schemas.microsoft.com/office/drawing/2014/main" pred="{00000000-0008-0000-0200-000058080000}"/>
            </a:ext>
          </a:extLst>
        </xdr:cNvPr>
        <xdr:cNvSpPr/>
      </xdr:nvSpPr>
      <xdr:spPr bwMode="auto">
        <a:xfrm>
          <a:off x="19326225" y="428625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4" name="Option Button 90" hidden="1">
          <a:extLst>
            <a:ext uri="{63B3BB69-23CF-44E3-9099-C40C66FF867C}">
              <a14:compatExt xmlns:a14="http://schemas.microsoft.com/office/drawing/2010/main" spid="_x0000_s2138"/>
            </a:ext>
            <a:ext uri="{FF2B5EF4-FFF2-40B4-BE49-F238E27FC236}">
              <a16:creationId xmlns:a16="http://schemas.microsoft.com/office/drawing/2014/main" id="{4B71FAB7-60D6-48DA-8C0E-CCA7A781F77E}"/>
            </a:ext>
            <a:ext uri="{147F2762-F138-4A5C-976F-8EAC2B608ADB}">
              <a16:predDERef xmlns:a16="http://schemas.microsoft.com/office/drawing/2014/main" pred="{00000000-0008-0000-0200-000059080000}"/>
            </a:ext>
          </a:extLst>
        </xdr:cNvPr>
        <xdr:cNvSpPr/>
      </xdr:nvSpPr>
      <xdr:spPr bwMode="auto">
        <a:xfrm>
          <a:off x="19326225" y="428625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5" name="Option Button 91" hidden="1">
          <a:extLst>
            <a:ext uri="{63B3BB69-23CF-44E3-9099-C40C66FF867C}">
              <a14:compatExt xmlns:a14="http://schemas.microsoft.com/office/drawing/2010/main" spid="_x0000_s2139"/>
            </a:ext>
            <a:ext uri="{FF2B5EF4-FFF2-40B4-BE49-F238E27FC236}">
              <a16:creationId xmlns:a16="http://schemas.microsoft.com/office/drawing/2014/main" id="{C78BEFA0-1C9D-4771-9D18-53729B27F8FC}"/>
            </a:ext>
            <a:ext uri="{147F2762-F138-4A5C-976F-8EAC2B608ADB}">
              <a16:predDERef xmlns:a16="http://schemas.microsoft.com/office/drawing/2014/main" pred="{00000000-0008-0000-0200-00005A080000}"/>
            </a:ext>
          </a:extLst>
        </xdr:cNvPr>
        <xdr:cNvSpPr/>
      </xdr:nvSpPr>
      <xdr:spPr bwMode="auto">
        <a:xfrm>
          <a:off x="19326225" y="428625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6" name="Option Button 92" hidden="1">
          <a:extLst>
            <a:ext uri="{63B3BB69-23CF-44E3-9099-C40C66FF867C}">
              <a14:compatExt xmlns:a14="http://schemas.microsoft.com/office/drawing/2010/main" spid="_x0000_s2140"/>
            </a:ext>
            <a:ext uri="{FF2B5EF4-FFF2-40B4-BE49-F238E27FC236}">
              <a16:creationId xmlns:a16="http://schemas.microsoft.com/office/drawing/2014/main" id="{AD4822BC-8617-4DF2-B5F6-90EB97FADE99}"/>
            </a:ext>
            <a:ext uri="{147F2762-F138-4A5C-976F-8EAC2B608ADB}">
              <a16:predDERef xmlns:a16="http://schemas.microsoft.com/office/drawing/2014/main" pred="{00000000-0008-0000-0200-00005B080000}"/>
            </a:ext>
          </a:extLst>
        </xdr:cNvPr>
        <xdr:cNvSpPr/>
      </xdr:nvSpPr>
      <xdr:spPr bwMode="auto">
        <a:xfrm>
          <a:off x="19326225" y="428625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oneCellAnchor>
    <xdr:from>
      <xdr:col>10</xdr:col>
      <xdr:colOff>0</xdr:colOff>
      <xdr:row>2</xdr:row>
      <xdr:rowOff>0</xdr:rowOff>
    </xdr:from>
    <xdr:ext cx="13365163" cy="374424"/>
    <xdr:sp macro="" textlink="">
      <xdr:nvSpPr>
        <xdr:cNvPr id="86" name="Group Box 93" hidden="1">
          <a:extLst>
            <a:ext uri="{63B3BB69-23CF-44E3-9099-C40C66FF867C}">
              <a14:compatExt xmlns:a14="http://schemas.microsoft.com/office/drawing/2010/main" spid="_x0000_s2141"/>
            </a:ext>
            <a:ext uri="{FF2B5EF4-FFF2-40B4-BE49-F238E27FC236}">
              <a16:creationId xmlns:a16="http://schemas.microsoft.com/office/drawing/2014/main" id="{6B46A2AE-B29A-48E3-8385-9C8E0D1D7A56}"/>
            </a:ext>
            <a:ext uri="{147F2762-F138-4A5C-976F-8EAC2B608ADB}">
              <a16:predDERef xmlns:a16="http://schemas.microsoft.com/office/drawing/2014/main" pred="{00000000-0008-0000-0200-00005C080000}"/>
            </a:ext>
          </a:extLst>
        </xdr:cNvPr>
        <xdr:cNvSpPr/>
      </xdr:nvSpPr>
      <xdr:spPr bwMode="auto">
        <a:xfrm>
          <a:off x="19326225" y="74018775"/>
          <a:ext cx="13417550" cy="37918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oneCellAnchor>
  <xdr:twoCellAnchor editAs="oneCell">
    <xdr:from>
      <xdr:col>10</xdr:col>
      <xdr:colOff>0</xdr:colOff>
      <xdr:row>112</xdr:row>
      <xdr:rowOff>0</xdr:rowOff>
    </xdr:from>
    <xdr:to>
      <xdr:col>11</xdr:col>
      <xdr:colOff>438151</xdr:colOff>
      <xdr:row>119</xdr:row>
      <xdr:rowOff>2382</xdr:rowOff>
    </xdr:to>
    <xdr:sp macro="" textlink="">
      <xdr:nvSpPr>
        <xdr:cNvPr id="48" name="Option Button 94" hidden="1">
          <a:extLst>
            <a:ext uri="{63B3BB69-23CF-44E3-9099-C40C66FF867C}">
              <a14:compatExt xmlns:a14="http://schemas.microsoft.com/office/drawing/2010/main" spid="_x0000_s2142"/>
            </a:ext>
            <a:ext uri="{FF2B5EF4-FFF2-40B4-BE49-F238E27FC236}">
              <a16:creationId xmlns:a16="http://schemas.microsoft.com/office/drawing/2014/main" id="{9D194F61-555C-4DA7-BFC6-BAA4C619D577}"/>
            </a:ext>
            <a:ext uri="{147F2762-F138-4A5C-976F-8EAC2B608ADB}">
              <a16:predDERef xmlns:a16="http://schemas.microsoft.com/office/drawing/2014/main" pred="{00000000-0008-0000-0200-00005D080000}"/>
            </a:ext>
          </a:extLst>
        </xdr:cNvPr>
        <xdr:cNvSpPr/>
      </xdr:nvSpPr>
      <xdr:spPr bwMode="auto">
        <a:xfrm>
          <a:off x="19326225" y="740187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49" name="Option Button 95" hidden="1">
          <a:extLst>
            <a:ext uri="{63B3BB69-23CF-44E3-9099-C40C66FF867C}">
              <a14:compatExt xmlns:a14="http://schemas.microsoft.com/office/drawing/2010/main" spid="_x0000_s2143"/>
            </a:ext>
            <a:ext uri="{FF2B5EF4-FFF2-40B4-BE49-F238E27FC236}">
              <a16:creationId xmlns:a16="http://schemas.microsoft.com/office/drawing/2014/main" id="{9A9B5E43-7D51-4DD0-9DD8-5D9D7A5082F2}"/>
            </a:ext>
            <a:ext uri="{147F2762-F138-4A5C-976F-8EAC2B608ADB}">
              <a16:predDERef xmlns:a16="http://schemas.microsoft.com/office/drawing/2014/main" pred="{00000000-0008-0000-0200-00005E080000}"/>
            </a:ext>
          </a:extLst>
        </xdr:cNvPr>
        <xdr:cNvSpPr/>
      </xdr:nvSpPr>
      <xdr:spPr bwMode="auto">
        <a:xfrm>
          <a:off x="19326225" y="740187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50" name="Option Button 96" hidden="1">
          <a:extLst>
            <a:ext uri="{63B3BB69-23CF-44E3-9099-C40C66FF867C}">
              <a14:compatExt xmlns:a14="http://schemas.microsoft.com/office/drawing/2010/main" spid="_x0000_s2144"/>
            </a:ext>
            <a:ext uri="{FF2B5EF4-FFF2-40B4-BE49-F238E27FC236}">
              <a16:creationId xmlns:a16="http://schemas.microsoft.com/office/drawing/2014/main" id="{BD5F5FB9-BC87-4F0E-8CDB-62062E5CF815}"/>
            </a:ext>
            <a:ext uri="{147F2762-F138-4A5C-976F-8EAC2B608ADB}">
              <a16:predDERef xmlns:a16="http://schemas.microsoft.com/office/drawing/2014/main" pred="{00000000-0008-0000-0200-00005F080000}"/>
            </a:ext>
          </a:extLst>
        </xdr:cNvPr>
        <xdr:cNvSpPr/>
      </xdr:nvSpPr>
      <xdr:spPr bwMode="auto">
        <a:xfrm>
          <a:off x="19326225" y="740187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51" name="Option Button 97" hidden="1">
          <a:extLst>
            <a:ext uri="{63B3BB69-23CF-44E3-9099-C40C66FF867C}">
              <a14:compatExt xmlns:a14="http://schemas.microsoft.com/office/drawing/2010/main" spid="_x0000_s2145"/>
            </a:ext>
            <a:ext uri="{FF2B5EF4-FFF2-40B4-BE49-F238E27FC236}">
              <a16:creationId xmlns:a16="http://schemas.microsoft.com/office/drawing/2014/main" id="{66CF583E-ED25-4539-A8D7-81E63BE5FE6D}"/>
            </a:ext>
            <a:ext uri="{147F2762-F138-4A5C-976F-8EAC2B608ADB}">
              <a16:predDERef xmlns:a16="http://schemas.microsoft.com/office/drawing/2014/main" pred="{00000000-0008-0000-0200-000060080000}"/>
            </a:ext>
          </a:extLst>
        </xdr:cNvPr>
        <xdr:cNvSpPr/>
      </xdr:nvSpPr>
      <xdr:spPr bwMode="auto">
        <a:xfrm>
          <a:off x="19326225" y="740187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oneCellAnchor>
    <xdr:from>
      <xdr:col>10</xdr:col>
      <xdr:colOff>0</xdr:colOff>
      <xdr:row>3</xdr:row>
      <xdr:rowOff>0</xdr:rowOff>
    </xdr:from>
    <xdr:ext cx="13365163" cy="377825"/>
    <xdr:sp macro="" textlink="">
      <xdr:nvSpPr>
        <xdr:cNvPr id="87" name="Group Box 98" hidden="1">
          <a:extLst>
            <a:ext uri="{63B3BB69-23CF-44E3-9099-C40C66FF867C}">
              <a14:compatExt xmlns:a14="http://schemas.microsoft.com/office/drawing/2010/main" spid="_x0000_s2146"/>
            </a:ext>
            <a:ext uri="{FF2B5EF4-FFF2-40B4-BE49-F238E27FC236}">
              <a16:creationId xmlns:a16="http://schemas.microsoft.com/office/drawing/2014/main" id="{3098DB9A-EF01-4552-B781-9A925363EC85}"/>
            </a:ext>
            <a:ext uri="{147F2762-F138-4A5C-976F-8EAC2B608ADB}">
              <a16:predDERef xmlns:a16="http://schemas.microsoft.com/office/drawing/2014/main" pred="{00000000-0008-0000-0200-000061080000}"/>
            </a:ext>
          </a:extLst>
        </xdr:cNvPr>
        <xdr:cNvSpPr/>
      </xdr:nvSpPr>
      <xdr:spPr bwMode="auto">
        <a:xfrm>
          <a:off x="19326225" y="76228575"/>
          <a:ext cx="13417550" cy="3778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3</xdr:row>
      <xdr:rowOff>0</xdr:rowOff>
    </xdr:from>
    <xdr:ext cx="1045370" cy="206375"/>
    <xdr:sp macro="" textlink="">
      <xdr:nvSpPr>
        <xdr:cNvPr id="88" name="Option Button 99" hidden="1">
          <a:extLst>
            <a:ext uri="{63B3BB69-23CF-44E3-9099-C40C66FF867C}">
              <a14:compatExt xmlns:a14="http://schemas.microsoft.com/office/drawing/2010/main" spid="_x0000_s2147"/>
            </a:ext>
            <a:ext uri="{FF2B5EF4-FFF2-40B4-BE49-F238E27FC236}">
              <a16:creationId xmlns:a16="http://schemas.microsoft.com/office/drawing/2014/main" id="{CCD87297-D18D-4A3E-A60F-48830CEFBDD6}"/>
            </a:ext>
            <a:ext uri="{147F2762-F138-4A5C-976F-8EAC2B608ADB}">
              <a16:predDERef xmlns:a16="http://schemas.microsoft.com/office/drawing/2014/main" pred="{00000000-0008-0000-0200-000062080000}"/>
            </a:ext>
          </a:extLst>
        </xdr:cNvPr>
        <xdr:cNvSpPr/>
      </xdr:nvSpPr>
      <xdr:spPr bwMode="auto">
        <a:xfrm>
          <a:off x="19326225" y="7630477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89" name="Option Button 100" hidden="1">
          <a:extLst>
            <a:ext uri="{63B3BB69-23CF-44E3-9099-C40C66FF867C}">
              <a14:compatExt xmlns:a14="http://schemas.microsoft.com/office/drawing/2010/main" spid="_x0000_s2148"/>
            </a:ext>
            <a:ext uri="{FF2B5EF4-FFF2-40B4-BE49-F238E27FC236}">
              <a16:creationId xmlns:a16="http://schemas.microsoft.com/office/drawing/2014/main" id="{5889885B-6018-4217-BC82-FB75909018D6}"/>
            </a:ext>
            <a:ext uri="{147F2762-F138-4A5C-976F-8EAC2B608ADB}">
              <a16:predDERef xmlns:a16="http://schemas.microsoft.com/office/drawing/2014/main" pred="{00000000-0008-0000-0200-000063080000}"/>
            </a:ext>
          </a:extLst>
        </xdr:cNvPr>
        <xdr:cNvSpPr/>
      </xdr:nvSpPr>
      <xdr:spPr bwMode="auto">
        <a:xfrm>
          <a:off x="19326225" y="7630477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90" name="Option Button 101" hidden="1">
          <a:extLst>
            <a:ext uri="{63B3BB69-23CF-44E3-9099-C40C66FF867C}">
              <a14:compatExt xmlns:a14="http://schemas.microsoft.com/office/drawing/2010/main" spid="_x0000_s2149"/>
            </a:ext>
            <a:ext uri="{FF2B5EF4-FFF2-40B4-BE49-F238E27FC236}">
              <a16:creationId xmlns:a16="http://schemas.microsoft.com/office/drawing/2014/main" id="{EDC193DD-9DE7-4A13-B122-1F0E95367BAA}"/>
            </a:ext>
            <a:ext uri="{147F2762-F138-4A5C-976F-8EAC2B608ADB}">
              <a16:predDERef xmlns:a16="http://schemas.microsoft.com/office/drawing/2014/main" pred="{00000000-0008-0000-0200-000064080000}"/>
            </a:ext>
          </a:extLst>
        </xdr:cNvPr>
        <xdr:cNvSpPr/>
      </xdr:nvSpPr>
      <xdr:spPr bwMode="auto">
        <a:xfrm>
          <a:off x="19326225" y="7630477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91" name="Option Button 102" hidden="1">
          <a:extLst>
            <a:ext uri="{63B3BB69-23CF-44E3-9099-C40C66FF867C}">
              <a14:compatExt xmlns:a14="http://schemas.microsoft.com/office/drawing/2010/main" spid="_x0000_s2150"/>
            </a:ext>
            <a:ext uri="{FF2B5EF4-FFF2-40B4-BE49-F238E27FC236}">
              <a16:creationId xmlns:a16="http://schemas.microsoft.com/office/drawing/2014/main" id="{E38E9C2C-96E3-4E9E-81D9-89A81C84B77E}"/>
            </a:ext>
            <a:ext uri="{147F2762-F138-4A5C-976F-8EAC2B608ADB}">
              <a16:predDERef xmlns:a16="http://schemas.microsoft.com/office/drawing/2014/main" pred="{00000000-0008-0000-0200-000065080000}"/>
            </a:ext>
          </a:extLst>
        </xdr:cNvPr>
        <xdr:cNvSpPr/>
      </xdr:nvSpPr>
      <xdr:spPr bwMode="auto">
        <a:xfrm>
          <a:off x="19326225" y="7630477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twoCellAnchor editAs="oneCell">
    <xdr:from>
      <xdr:col>10</xdr:col>
      <xdr:colOff>0</xdr:colOff>
      <xdr:row>113</xdr:row>
      <xdr:rowOff>28575</xdr:rowOff>
    </xdr:from>
    <xdr:to>
      <xdr:col>32</xdr:col>
      <xdr:colOff>6350</xdr:colOff>
      <xdr:row>301</xdr:row>
      <xdr:rowOff>26194</xdr:rowOff>
    </xdr:to>
    <xdr:sp macro="" textlink="">
      <xdr:nvSpPr>
        <xdr:cNvPr id="57" name="Group Box 103" hidden="1">
          <a:extLst>
            <a:ext uri="{63B3BB69-23CF-44E3-9099-C40C66FF867C}">
              <a14:compatExt xmlns:a14="http://schemas.microsoft.com/office/drawing/2010/main" spid="_x0000_s2151"/>
            </a:ext>
            <a:ext uri="{FF2B5EF4-FFF2-40B4-BE49-F238E27FC236}">
              <a16:creationId xmlns:a16="http://schemas.microsoft.com/office/drawing/2014/main" id="{CAF763F2-8FCD-4BCB-B944-4C06931BD45B}"/>
            </a:ext>
            <a:ext uri="{147F2762-F138-4A5C-976F-8EAC2B608ADB}">
              <a16:predDERef xmlns:a16="http://schemas.microsoft.com/office/drawing/2014/main" pred="{00000000-0008-0000-0200-000066080000}"/>
            </a:ext>
          </a:extLst>
        </xdr:cNvPr>
        <xdr:cNvSpPr/>
      </xdr:nvSpPr>
      <xdr:spPr bwMode="auto">
        <a:xfrm>
          <a:off x="19326225" y="79781400"/>
          <a:ext cx="13417550" cy="3905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58" name="Option Button 104" hidden="1">
          <a:extLst>
            <a:ext uri="{63B3BB69-23CF-44E3-9099-C40C66FF867C}">
              <a14:compatExt xmlns:a14="http://schemas.microsoft.com/office/drawing/2010/main" spid="_x0000_s2152"/>
            </a:ext>
            <a:ext uri="{FF2B5EF4-FFF2-40B4-BE49-F238E27FC236}">
              <a16:creationId xmlns:a16="http://schemas.microsoft.com/office/drawing/2014/main" id="{B0FCB23A-CEA7-4809-9304-99AC451C47F6}"/>
            </a:ext>
            <a:ext uri="{147F2762-F138-4A5C-976F-8EAC2B608ADB}">
              <a16:predDERef xmlns:a16="http://schemas.microsoft.com/office/drawing/2014/main" pred="{00000000-0008-0000-0200-000067080000}"/>
            </a:ext>
          </a:extLst>
        </xdr:cNvPr>
        <xdr:cNvSpPr/>
      </xdr:nvSpPr>
      <xdr:spPr bwMode="auto">
        <a:xfrm>
          <a:off x="19326225" y="798576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59" name="Option Button 105" hidden="1">
          <a:extLst>
            <a:ext uri="{63B3BB69-23CF-44E3-9099-C40C66FF867C}">
              <a14:compatExt xmlns:a14="http://schemas.microsoft.com/office/drawing/2010/main" spid="_x0000_s2153"/>
            </a:ext>
            <a:ext uri="{FF2B5EF4-FFF2-40B4-BE49-F238E27FC236}">
              <a16:creationId xmlns:a16="http://schemas.microsoft.com/office/drawing/2014/main" id="{DFD514D2-2C6B-4421-9D18-790AEEBA5BC6}"/>
            </a:ext>
            <a:ext uri="{147F2762-F138-4A5C-976F-8EAC2B608ADB}">
              <a16:predDERef xmlns:a16="http://schemas.microsoft.com/office/drawing/2014/main" pred="{00000000-0008-0000-0200-000068080000}"/>
            </a:ext>
          </a:extLst>
        </xdr:cNvPr>
        <xdr:cNvSpPr/>
      </xdr:nvSpPr>
      <xdr:spPr bwMode="auto">
        <a:xfrm>
          <a:off x="19326225" y="798576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60" name="Option Button 106" hidden="1">
          <a:extLst>
            <a:ext uri="{63B3BB69-23CF-44E3-9099-C40C66FF867C}">
              <a14:compatExt xmlns:a14="http://schemas.microsoft.com/office/drawing/2010/main" spid="_x0000_s2154"/>
            </a:ext>
            <a:ext uri="{FF2B5EF4-FFF2-40B4-BE49-F238E27FC236}">
              <a16:creationId xmlns:a16="http://schemas.microsoft.com/office/drawing/2014/main" id="{78059983-432D-4A69-92F2-ACC998C44DCD}"/>
            </a:ext>
            <a:ext uri="{147F2762-F138-4A5C-976F-8EAC2B608ADB}">
              <a16:predDERef xmlns:a16="http://schemas.microsoft.com/office/drawing/2014/main" pred="{00000000-0008-0000-0200-000069080000}"/>
            </a:ext>
          </a:extLst>
        </xdr:cNvPr>
        <xdr:cNvSpPr/>
      </xdr:nvSpPr>
      <xdr:spPr bwMode="auto">
        <a:xfrm>
          <a:off x="19326225" y="798576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61" name="Option Button 107" hidden="1">
          <a:extLst>
            <a:ext uri="{63B3BB69-23CF-44E3-9099-C40C66FF867C}">
              <a14:compatExt xmlns:a14="http://schemas.microsoft.com/office/drawing/2010/main" spid="_x0000_s2155"/>
            </a:ext>
            <a:ext uri="{FF2B5EF4-FFF2-40B4-BE49-F238E27FC236}">
              <a16:creationId xmlns:a16="http://schemas.microsoft.com/office/drawing/2014/main" id="{512654B3-29CF-4726-8D3F-B4FF3071AC69}"/>
            </a:ext>
            <a:ext uri="{147F2762-F138-4A5C-976F-8EAC2B608ADB}">
              <a16:predDERef xmlns:a16="http://schemas.microsoft.com/office/drawing/2014/main" pred="{00000000-0008-0000-0200-00006A080000}"/>
            </a:ext>
          </a:extLst>
        </xdr:cNvPr>
        <xdr:cNvSpPr/>
      </xdr:nvSpPr>
      <xdr:spPr bwMode="auto">
        <a:xfrm>
          <a:off x="19326225" y="79857600"/>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28575</xdr:rowOff>
    </xdr:from>
    <xdr:to>
      <xdr:col>32</xdr:col>
      <xdr:colOff>6350</xdr:colOff>
      <xdr:row>59</xdr:row>
      <xdr:rowOff>552451</xdr:rowOff>
    </xdr:to>
    <xdr:sp macro="" textlink="">
      <xdr:nvSpPr>
        <xdr:cNvPr id="62" name="Group Box 108" hidden="1">
          <a:extLst>
            <a:ext uri="{63B3BB69-23CF-44E3-9099-C40C66FF867C}">
              <a14:compatExt xmlns:a14="http://schemas.microsoft.com/office/drawing/2010/main" spid="_x0000_s2156"/>
            </a:ext>
            <a:ext uri="{FF2B5EF4-FFF2-40B4-BE49-F238E27FC236}">
              <a16:creationId xmlns:a16="http://schemas.microsoft.com/office/drawing/2014/main" id="{ED1050A0-A243-40BC-87C8-DB35EF307050}"/>
            </a:ext>
            <a:ext uri="{147F2762-F138-4A5C-976F-8EAC2B608ADB}">
              <a16:predDERef xmlns:a16="http://schemas.microsoft.com/office/drawing/2014/main" pred="{00000000-0008-0000-0200-00006B080000}"/>
            </a:ext>
          </a:extLst>
        </xdr:cNvPr>
        <xdr:cNvSpPr/>
      </xdr:nvSpPr>
      <xdr:spPr bwMode="auto">
        <a:xfrm>
          <a:off x="19326225" y="15630525"/>
          <a:ext cx="13417550" cy="390525"/>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3" name="Option Button 109" hidden="1">
          <a:extLst>
            <a:ext uri="{63B3BB69-23CF-44E3-9099-C40C66FF867C}">
              <a14:compatExt xmlns:a14="http://schemas.microsoft.com/office/drawing/2010/main" spid="_x0000_s2157"/>
            </a:ext>
            <a:ext uri="{FF2B5EF4-FFF2-40B4-BE49-F238E27FC236}">
              <a16:creationId xmlns:a16="http://schemas.microsoft.com/office/drawing/2014/main" id="{316A3F41-DC97-4C9F-B0CE-61220E8FCB53}"/>
            </a:ext>
            <a:ext uri="{147F2762-F138-4A5C-976F-8EAC2B608ADB}">
              <a16:predDERef xmlns:a16="http://schemas.microsoft.com/office/drawing/2014/main" pred="{00000000-0008-0000-0200-00006C080000}"/>
            </a:ext>
          </a:extLst>
        </xdr:cNvPr>
        <xdr:cNvSpPr/>
      </xdr:nvSpPr>
      <xdr:spPr bwMode="auto">
        <a:xfrm>
          <a:off x="19326225" y="157067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4" name="Option Button 110" hidden="1">
          <a:extLst>
            <a:ext uri="{63B3BB69-23CF-44E3-9099-C40C66FF867C}">
              <a14:compatExt xmlns:a14="http://schemas.microsoft.com/office/drawing/2010/main" spid="_x0000_s2158"/>
            </a:ext>
            <a:ext uri="{FF2B5EF4-FFF2-40B4-BE49-F238E27FC236}">
              <a16:creationId xmlns:a16="http://schemas.microsoft.com/office/drawing/2014/main" id="{703EB8B4-C914-4AFC-AAE9-1857B0B40535}"/>
            </a:ext>
            <a:ext uri="{147F2762-F138-4A5C-976F-8EAC2B608ADB}">
              <a16:predDERef xmlns:a16="http://schemas.microsoft.com/office/drawing/2014/main" pred="{00000000-0008-0000-0200-00006D080000}"/>
            </a:ext>
          </a:extLst>
        </xdr:cNvPr>
        <xdr:cNvSpPr/>
      </xdr:nvSpPr>
      <xdr:spPr bwMode="auto">
        <a:xfrm>
          <a:off x="19326225" y="157067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5" name="Option Button 111" hidden="1">
          <a:extLst>
            <a:ext uri="{63B3BB69-23CF-44E3-9099-C40C66FF867C}">
              <a14:compatExt xmlns:a14="http://schemas.microsoft.com/office/drawing/2010/main" spid="_x0000_s2159"/>
            </a:ext>
            <a:ext uri="{FF2B5EF4-FFF2-40B4-BE49-F238E27FC236}">
              <a16:creationId xmlns:a16="http://schemas.microsoft.com/office/drawing/2014/main" id="{E930BF2D-8B20-4399-A093-106B4D4E461D}"/>
            </a:ext>
            <a:ext uri="{147F2762-F138-4A5C-976F-8EAC2B608ADB}">
              <a16:predDERef xmlns:a16="http://schemas.microsoft.com/office/drawing/2014/main" pred="{00000000-0008-0000-0200-00006E080000}"/>
            </a:ext>
          </a:extLst>
        </xdr:cNvPr>
        <xdr:cNvSpPr/>
      </xdr:nvSpPr>
      <xdr:spPr bwMode="auto">
        <a:xfrm>
          <a:off x="19326225" y="157067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6" name="Option Button 112" hidden="1">
          <a:extLst>
            <a:ext uri="{63B3BB69-23CF-44E3-9099-C40C66FF867C}">
              <a14:compatExt xmlns:a14="http://schemas.microsoft.com/office/drawing/2010/main" spid="_x0000_s2160"/>
            </a:ext>
            <a:ext uri="{FF2B5EF4-FFF2-40B4-BE49-F238E27FC236}">
              <a16:creationId xmlns:a16="http://schemas.microsoft.com/office/drawing/2014/main" id="{3EFDF75A-22B8-4D83-93ED-DF3DCF4265F0}"/>
            </a:ext>
            <a:ext uri="{147F2762-F138-4A5C-976F-8EAC2B608ADB}">
              <a16:predDERef xmlns:a16="http://schemas.microsoft.com/office/drawing/2014/main" pred="{00000000-0008-0000-0200-00006F080000}"/>
            </a:ext>
          </a:extLst>
        </xdr:cNvPr>
        <xdr:cNvSpPr/>
      </xdr:nvSpPr>
      <xdr:spPr bwMode="auto">
        <a:xfrm>
          <a:off x="19326225" y="15706725"/>
          <a:ext cx="1047750" cy="206375"/>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oneCellAnchor>
    <xdr:from>
      <xdr:col>10</xdr:col>
      <xdr:colOff>0</xdr:colOff>
      <xdr:row>70</xdr:row>
      <xdr:rowOff>0</xdr:rowOff>
    </xdr:from>
    <xdr:ext cx="13420725" cy="381000"/>
    <xdr:sp macro="" textlink="">
      <xdr:nvSpPr>
        <xdr:cNvPr id="67" name="Group Box 113" hidden="1">
          <a:extLst>
            <a:ext uri="{63B3BB69-23CF-44E3-9099-C40C66FF867C}">
              <a14:compatExt xmlns:a14="http://schemas.microsoft.com/office/drawing/2010/main" spid="_x0000_s2161"/>
            </a:ext>
            <a:ext uri="{FF2B5EF4-FFF2-40B4-BE49-F238E27FC236}">
              <a16:creationId xmlns:a16="http://schemas.microsoft.com/office/drawing/2014/main" id="{E462E22F-B946-4091-86E3-BFCD1515CB97}"/>
            </a:ext>
            <a:ext uri="{147F2762-F138-4A5C-976F-8EAC2B608ADB}">
              <a16:predDERef xmlns:a16="http://schemas.microsoft.com/office/drawing/2014/main" pred="{00000000-0008-0000-0200-000070080000}"/>
            </a:ext>
          </a:extLst>
        </xdr:cNvPr>
        <xdr:cNvSpPr/>
      </xdr:nvSpPr>
      <xdr:spPr bwMode="auto">
        <a:xfrm>
          <a:off x="19326225" y="49368075"/>
          <a:ext cx="13420725"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70</xdr:row>
      <xdr:rowOff>0</xdr:rowOff>
    </xdr:from>
    <xdr:ext cx="1047750" cy="209550"/>
    <xdr:sp macro="" textlink="">
      <xdr:nvSpPr>
        <xdr:cNvPr id="68" name="Option Button 114" hidden="1">
          <a:extLst>
            <a:ext uri="{63B3BB69-23CF-44E3-9099-C40C66FF867C}">
              <a14:compatExt xmlns:a14="http://schemas.microsoft.com/office/drawing/2010/main" spid="_x0000_s2162"/>
            </a:ext>
            <a:ext uri="{FF2B5EF4-FFF2-40B4-BE49-F238E27FC236}">
              <a16:creationId xmlns:a16="http://schemas.microsoft.com/office/drawing/2014/main" id="{18ED4CBE-0F1E-4D71-AA80-58F3A02B717A}"/>
            </a:ext>
            <a:ext uri="{147F2762-F138-4A5C-976F-8EAC2B608ADB}">
              <a16:predDERef xmlns:a16="http://schemas.microsoft.com/office/drawing/2014/main" pred="{0EC04E8C-0742-45DF-AEE8-B9CFFA650B6E}"/>
            </a:ext>
          </a:extLst>
        </xdr:cNvPr>
        <xdr:cNvSpPr/>
      </xdr:nvSpPr>
      <xdr:spPr bwMode="auto">
        <a:xfrm>
          <a:off x="19326225" y="494442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69" name="Option Button 115" hidden="1">
          <a:extLst>
            <a:ext uri="{63B3BB69-23CF-44E3-9099-C40C66FF867C}">
              <a14:compatExt xmlns:a14="http://schemas.microsoft.com/office/drawing/2010/main" spid="_x0000_s2163"/>
            </a:ext>
            <a:ext uri="{FF2B5EF4-FFF2-40B4-BE49-F238E27FC236}">
              <a16:creationId xmlns:a16="http://schemas.microsoft.com/office/drawing/2014/main" id="{8A168949-44FA-4572-9444-4C9C133E88AE}"/>
            </a:ext>
            <a:ext uri="{147F2762-F138-4A5C-976F-8EAC2B608ADB}">
              <a16:predDERef xmlns:a16="http://schemas.microsoft.com/office/drawing/2014/main" pred="{6BEEA6EE-EE17-49DE-B00B-4140082A04F2}"/>
            </a:ext>
          </a:extLst>
        </xdr:cNvPr>
        <xdr:cNvSpPr/>
      </xdr:nvSpPr>
      <xdr:spPr bwMode="auto">
        <a:xfrm>
          <a:off x="19326225" y="494442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70" name="Option Button 116" hidden="1">
          <a:extLst>
            <a:ext uri="{63B3BB69-23CF-44E3-9099-C40C66FF867C}">
              <a14:compatExt xmlns:a14="http://schemas.microsoft.com/office/drawing/2010/main" spid="_x0000_s2164"/>
            </a:ext>
            <a:ext uri="{FF2B5EF4-FFF2-40B4-BE49-F238E27FC236}">
              <a16:creationId xmlns:a16="http://schemas.microsoft.com/office/drawing/2014/main" id="{E02C0822-6C8C-4A94-B8E1-2C4E0ADC1F58}"/>
            </a:ext>
            <a:ext uri="{147F2762-F138-4A5C-976F-8EAC2B608ADB}">
              <a16:predDERef xmlns:a16="http://schemas.microsoft.com/office/drawing/2014/main" pred="{DB4AF23A-8998-434E-8A98-9CB60D43BE55}"/>
            </a:ext>
          </a:extLst>
        </xdr:cNvPr>
        <xdr:cNvSpPr/>
      </xdr:nvSpPr>
      <xdr:spPr bwMode="auto">
        <a:xfrm>
          <a:off x="19326225" y="494442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71" name="Option Button 117" hidden="1">
          <a:extLst>
            <a:ext uri="{63B3BB69-23CF-44E3-9099-C40C66FF867C}">
              <a14:compatExt xmlns:a14="http://schemas.microsoft.com/office/drawing/2010/main" spid="_x0000_s2165"/>
            </a:ext>
            <a:ext uri="{FF2B5EF4-FFF2-40B4-BE49-F238E27FC236}">
              <a16:creationId xmlns:a16="http://schemas.microsoft.com/office/drawing/2014/main" id="{504D0762-9E1F-4EBB-8A75-62E4F84E68C9}"/>
            </a:ext>
            <a:ext uri="{147F2762-F138-4A5C-976F-8EAC2B608ADB}">
              <a16:predDERef xmlns:a16="http://schemas.microsoft.com/office/drawing/2014/main" pred="{9F0E6BF7-5720-46A7-85DC-68AC8A503455}"/>
            </a:ext>
          </a:extLst>
        </xdr:cNvPr>
        <xdr:cNvSpPr/>
      </xdr:nvSpPr>
      <xdr:spPr bwMode="auto">
        <a:xfrm>
          <a:off x="19326225" y="49444275"/>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twoCellAnchor editAs="oneCell">
    <xdr:from>
      <xdr:col>10</xdr:col>
      <xdr:colOff>0</xdr:colOff>
      <xdr:row>29</xdr:row>
      <xdr:rowOff>0</xdr:rowOff>
    </xdr:from>
    <xdr:to>
      <xdr:col>32</xdr:col>
      <xdr:colOff>6350</xdr:colOff>
      <xdr:row>38</xdr:row>
      <xdr:rowOff>294482</xdr:rowOff>
    </xdr:to>
    <xdr:sp macro="" textlink="">
      <xdr:nvSpPr>
        <xdr:cNvPr id="72" name="Group Box 37" hidden="1">
          <a:extLst>
            <a:ext uri="{63B3BB69-23CF-44E3-9099-C40C66FF867C}">
              <a14:compatExt xmlns:a14="http://schemas.microsoft.com/office/drawing/2010/main" spid="_x0000_s2085"/>
            </a:ext>
            <a:ext uri="{FF2B5EF4-FFF2-40B4-BE49-F238E27FC236}">
              <a16:creationId xmlns:a16="http://schemas.microsoft.com/office/drawing/2014/main" id="{EEC85C66-ECF3-48C7-9452-D7E63B258267}"/>
            </a:ext>
            <a:ext uri="{147F2762-F138-4A5C-976F-8EAC2B608ADB}">
              <a16:predDERef xmlns:a16="http://schemas.microsoft.com/office/drawing/2014/main" pred="{504D0762-9E1F-4EBB-8A75-62E4F84E68C9}"/>
            </a:ext>
          </a:extLst>
        </xdr:cNvPr>
        <xdr:cNvSpPr/>
      </xdr:nvSpPr>
      <xdr:spPr bwMode="auto">
        <a:xfrm>
          <a:off x="25003125" y="11896725"/>
          <a:ext cx="13417550" cy="377826"/>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29</xdr:row>
      <xdr:rowOff>0</xdr:rowOff>
    </xdr:from>
    <xdr:to>
      <xdr:col>32</xdr:col>
      <xdr:colOff>6350</xdr:colOff>
      <xdr:row>38</xdr:row>
      <xdr:rowOff>294482</xdr:rowOff>
    </xdr:to>
    <xdr:sp macro="" textlink="">
      <xdr:nvSpPr>
        <xdr:cNvPr id="73" name="Group Box 42" hidden="1">
          <a:extLst>
            <a:ext uri="{63B3BB69-23CF-44E3-9099-C40C66FF867C}">
              <a14:compatExt xmlns:a14="http://schemas.microsoft.com/office/drawing/2010/main" spid="_x0000_s2090"/>
            </a:ext>
            <a:ext uri="{FF2B5EF4-FFF2-40B4-BE49-F238E27FC236}">
              <a16:creationId xmlns:a16="http://schemas.microsoft.com/office/drawing/2014/main" id="{036E970A-BF97-4F21-A1AF-26DDD024E63B}"/>
            </a:ext>
            <a:ext uri="{147F2762-F138-4A5C-976F-8EAC2B608ADB}">
              <a16:predDERef xmlns:a16="http://schemas.microsoft.com/office/drawing/2014/main" pred="{EEC85C66-ECF3-48C7-9452-D7E63B258267}"/>
            </a:ext>
          </a:extLst>
        </xdr:cNvPr>
        <xdr:cNvSpPr/>
      </xdr:nvSpPr>
      <xdr:spPr bwMode="auto">
        <a:xfrm>
          <a:off x="25003125" y="11896725"/>
          <a:ext cx="13417550" cy="377826"/>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90713</xdr:colOff>
      <xdr:row>7</xdr:row>
      <xdr:rowOff>27214</xdr:rowOff>
    </xdr:from>
    <xdr:to>
      <xdr:col>4</xdr:col>
      <xdr:colOff>632088</xdr:colOff>
      <xdr:row>28</xdr:row>
      <xdr:rowOff>99786</xdr:rowOff>
    </xdr:to>
    <xdr:pic>
      <xdr:nvPicPr>
        <xdr:cNvPr id="2" name="Picture 1">
          <a:extLst>
            <a:ext uri="{FF2B5EF4-FFF2-40B4-BE49-F238E27FC236}">
              <a16:creationId xmlns:a16="http://schemas.microsoft.com/office/drawing/2014/main" id="{C443977A-0EDF-4AA7-9ADB-CC8066877E35}"/>
            </a:ext>
          </a:extLst>
        </xdr:cNvPr>
        <xdr:cNvPicPr>
          <a:picLocks noChangeAspect="1"/>
        </xdr:cNvPicPr>
      </xdr:nvPicPr>
      <xdr:blipFill>
        <a:blip xmlns:r="http://schemas.openxmlformats.org/officeDocument/2006/relationships" r:embed="rId1"/>
        <a:stretch>
          <a:fillRect/>
        </a:stretch>
      </xdr:blipFill>
      <xdr:spPr>
        <a:xfrm>
          <a:off x="90713" y="1925864"/>
          <a:ext cx="3589375" cy="49303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33</xdr:col>
      <xdr:colOff>6350</xdr:colOff>
      <xdr:row>6</xdr:row>
      <xdr:rowOff>177800</xdr:rowOff>
    </xdr:to>
    <xdr:sp macro="" textlink="">
      <xdr:nvSpPr>
        <xdr:cNvPr id="2" name="Group Box 37" hidden="1">
          <a:extLst>
            <a:ext uri="{63B3BB69-23CF-44E3-9099-C40C66FF867C}">
              <a14:compatExt xmlns:a14="http://schemas.microsoft.com/office/drawing/2010/main" spid="_x0000_s2085"/>
            </a:ext>
            <a:ext uri="{FF2B5EF4-FFF2-40B4-BE49-F238E27FC236}">
              <a16:creationId xmlns:a16="http://schemas.microsoft.com/office/drawing/2014/main" id="{86A76B7C-F267-422E-A333-FC0BE7717821}"/>
            </a:ext>
            <a:ext uri="{147F2762-F138-4A5C-976F-8EAC2B608ADB}">
              <a16:predDERef xmlns:a16="http://schemas.microsoft.com/office/drawing/2014/main" pred="{00000000-0008-0000-0200-000024080000}"/>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3" name="Group Box 42" hidden="1">
          <a:extLst>
            <a:ext uri="{63B3BB69-23CF-44E3-9099-C40C66FF867C}">
              <a14:compatExt xmlns:a14="http://schemas.microsoft.com/office/drawing/2010/main" spid="_x0000_s2090"/>
            </a:ext>
            <a:ext uri="{FF2B5EF4-FFF2-40B4-BE49-F238E27FC236}">
              <a16:creationId xmlns:a16="http://schemas.microsoft.com/office/drawing/2014/main" id="{9D91A364-FAB1-434D-9A86-F0FC87BFCC08}"/>
            </a:ext>
            <a:ext uri="{147F2762-F138-4A5C-976F-8EAC2B608ADB}">
              <a16:predDERef xmlns:a16="http://schemas.microsoft.com/office/drawing/2014/main" pred="{86A76B7C-F267-422E-A333-FC0BE7717821}"/>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4" name="Option Button 51" hidden="1">
          <a:extLst>
            <a:ext uri="{63B3BB69-23CF-44E3-9099-C40C66FF867C}">
              <a14:compatExt xmlns:a14="http://schemas.microsoft.com/office/drawing/2010/main" spid="_x0000_s2099"/>
            </a:ext>
            <a:ext uri="{FF2B5EF4-FFF2-40B4-BE49-F238E27FC236}">
              <a16:creationId xmlns:a16="http://schemas.microsoft.com/office/drawing/2014/main" id="{B215CD7F-1766-4334-8C6F-EE965ED7E7C5}"/>
            </a:ext>
            <a:ext uri="{147F2762-F138-4A5C-976F-8EAC2B608ADB}">
              <a16:predDERef xmlns:a16="http://schemas.microsoft.com/office/drawing/2014/main" pred="{9D91A364-FAB1-434D-9A86-F0FC87BFCC08}"/>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5" name="Option Button 52" hidden="1">
          <a:extLst>
            <a:ext uri="{63B3BB69-23CF-44E3-9099-C40C66FF867C}">
              <a14:compatExt xmlns:a14="http://schemas.microsoft.com/office/drawing/2010/main" spid="_x0000_s2100"/>
            </a:ext>
            <a:ext uri="{FF2B5EF4-FFF2-40B4-BE49-F238E27FC236}">
              <a16:creationId xmlns:a16="http://schemas.microsoft.com/office/drawing/2014/main" id="{E1A2AC2C-0324-44BC-8F7B-D2A02AF6D68B}"/>
            </a:ext>
            <a:ext uri="{147F2762-F138-4A5C-976F-8EAC2B608ADB}">
              <a16:predDERef xmlns:a16="http://schemas.microsoft.com/office/drawing/2014/main" pred="{B215CD7F-1766-4334-8C6F-EE965ED7E7C5}"/>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6" name="Option Button 53" hidden="1">
          <a:extLst>
            <a:ext uri="{63B3BB69-23CF-44E3-9099-C40C66FF867C}">
              <a14:compatExt xmlns:a14="http://schemas.microsoft.com/office/drawing/2010/main" spid="_x0000_s2101"/>
            </a:ext>
            <a:ext uri="{FF2B5EF4-FFF2-40B4-BE49-F238E27FC236}">
              <a16:creationId xmlns:a16="http://schemas.microsoft.com/office/drawing/2014/main" id="{913E1879-6D5D-4427-B79E-AAB04D14D2EF}"/>
            </a:ext>
            <a:ext uri="{147F2762-F138-4A5C-976F-8EAC2B608ADB}">
              <a16:predDERef xmlns:a16="http://schemas.microsoft.com/office/drawing/2014/main" pred="{E1A2AC2C-0324-44BC-8F7B-D2A02AF6D68B}"/>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7" name="Option Button 54" hidden="1">
          <a:extLst>
            <a:ext uri="{63B3BB69-23CF-44E3-9099-C40C66FF867C}">
              <a14:compatExt xmlns:a14="http://schemas.microsoft.com/office/drawing/2010/main" spid="_x0000_s2102"/>
            </a:ext>
            <a:ext uri="{FF2B5EF4-FFF2-40B4-BE49-F238E27FC236}">
              <a16:creationId xmlns:a16="http://schemas.microsoft.com/office/drawing/2014/main" id="{1AD26929-CA2B-4C6A-BB8B-DB840F73B6E3}"/>
            </a:ext>
            <a:ext uri="{147F2762-F138-4A5C-976F-8EAC2B608ADB}">
              <a16:predDERef xmlns:a16="http://schemas.microsoft.com/office/drawing/2014/main" pred="{913E1879-6D5D-4427-B79E-AAB04D14D2EF}"/>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8" name="Option Button 59" hidden="1">
          <a:extLst>
            <a:ext uri="{63B3BB69-23CF-44E3-9099-C40C66FF867C}">
              <a14:compatExt xmlns:a14="http://schemas.microsoft.com/office/drawing/2010/main" spid="_x0000_s2107"/>
            </a:ext>
            <a:ext uri="{FF2B5EF4-FFF2-40B4-BE49-F238E27FC236}">
              <a16:creationId xmlns:a16="http://schemas.microsoft.com/office/drawing/2014/main" id="{BDEE6BE6-DCD0-4362-AD6F-79B35C38856D}"/>
            </a:ext>
            <a:ext uri="{147F2762-F138-4A5C-976F-8EAC2B608ADB}">
              <a16:predDERef xmlns:a16="http://schemas.microsoft.com/office/drawing/2014/main" pred="{1AD26929-CA2B-4C6A-BB8B-DB840F73B6E3}"/>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9" name="Option Button 60" hidden="1">
          <a:extLst>
            <a:ext uri="{63B3BB69-23CF-44E3-9099-C40C66FF867C}">
              <a14:compatExt xmlns:a14="http://schemas.microsoft.com/office/drawing/2010/main" spid="_x0000_s2108"/>
            </a:ext>
            <a:ext uri="{FF2B5EF4-FFF2-40B4-BE49-F238E27FC236}">
              <a16:creationId xmlns:a16="http://schemas.microsoft.com/office/drawing/2014/main" id="{529BA80F-BABA-4871-88FB-F2B1863D6CE2}"/>
            </a:ext>
            <a:ext uri="{147F2762-F138-4A5C-976F-8EAC2B608ADB}">
              <a16:predDERef xmlns:a16="http://schemas.microsoft.com/office/drawing/2014/main" pred="{BDEE6BE6-DCD0-4362-AD6F-79B35C38856D}"/>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0" name="Option Button 61" hidden="1">
          <a:extLst>
            <a:ext uri="{63B3BB69-23CF-44E3-9099-C40C66FF867C}">
              <a14:compatExt xmlns:a14="http://schemas.microsoft.com/office/drawing/2010/main" spid="_x0000_s2109"/>
            </a:ext>
            <a:ext uri="{FF2B5EF4-FFF2-40B4-BE49-F238E27FC236}">
              <a16:creationId xmlns:a16="http://schemas.microsoft.com/office/drawing/2014/main" id="{D86556EC-0FA9-4D77-9B32-8BEFBBA97FB9}"/>
            </a:ext>
            <a:ext uri="{147F2762-F138-4A5C-976F-8EAC2B608ADB}">
              <a16:predDERef xmlns:a16="http://schemas.microsoft.com/office/drawing/2014/main" pred="{529BA80F-BABA-4871-88FB-F2B1863D6CE2}"/>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1" name="Option Button 62" hidden="1">
          <a:extLst>
            <a:ext uri="{63B3BB69-23CF-44E3-9099-C40C66FF867C}">
              <a14:compatExt xmlns:a14="http://schemas.microsoft.com/office/drawing/2010/main" spid="_x0000_s2110"/>
            </a:ext>
            <a:ext uri="{FF2B5EF4-FFF2-40B4-BE49-F238E27FC236}">
              <a16:creationId xmlns:a16="http://schemas.microsoft.com/office/drawing/2014/main" id="{E7BC57DE-9C1B-443C-887D-5A87F04E6EE9}"/>
            </a:ext>
            <a:ext uri="{147F2762-F138-4A5C-976F-8EAC2B608ADB}">
              <a16:predDERef xmlns:a16="http://schemas.microsoft.com/office/drawing/2014/main" pred="{D86556EC-0FA9-4D77-9B32-8BEFBBA97FB9}"/>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12" name="Group Box 37" hidden="1">
          <a:extLst>
            <a:ext uri="{63B3BB69-23CF-44E3-9099-C40C66FF867C}">
              <a14:compatExt xmlns:a14="http://schemas.microsoft.com/office/drawing/2010/main" spid="_x0000_s2085"/>
            </a:ext>
            <a:ext uri="{FF2B5EF4-FFF2-40B4-BE49-F238E27FC236}">
              <a16:creationId xmlns:a16="http://schemas.microsoft.com/office/drawing/2014/main" id="{3C7EB420-0F81-406E-AA6C-DF17E1BD6125}"/>
            </a:ext>
            <a:ext uri="{147F2762-F138-4A5C-976F-8EAC2B608ADB}">
              <a16:predDERef xmlns:a16="http://schemas.microsoft.com/office/drawing/2014/main" pred="{E7BC57DE-9C1B-443C-887D-5A87F04E6EE9}"/>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13" name="Group Box 42" hidden="1">
          <a:extLst>
            <a:ext uri="{63B3BB69-23CF-44E3-9099-C40C66FF867C}">
              <a14:compatExt xmlns:a14="http://schemas.microsoft.com/office/drawing/2010/main" spid="_x0000_s2090"/>
            </a:ext>
            <a:ext uri="{FF2B5EF4-FFF2-40B4-BE49-F238E27FC236}">
              <a16:creationId xmlns:a16="http://schemas.microsoft.com/office/drawing/2014/main" id="{5D510BF0-83DC-4BE8-94C6-AF4E4230F5F5}"/>
            </a:ext>
            <a:ext uri="{147F2762-F138-4A5C-976F-8EAC2B608ADB}">
              <a16:predDERef xmlns:a16="http://schemas.microsoft.com/office/drawing/2014/main" pred="{3C7EB420-0F81-406E-AA6C-DF17E1BD6125}"/>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4" name="Option Button 51" hidden="1">
          <a:extLst>
            <a:ext uri="{63B3BB69-23CF-44E3-9099-C40C66FF867C}">
              <a14:compatExt xmlns:a14="http://schemas.microsoft.com/office/drawing/2010/main" spid="_x0000_s2099"/>
            </a:ext>
            <a:ext uri="{FF2B5EF4-FFF2-40B4-BE49-F238E27FC236}">
              <a16:creationId xmlns:a16="http://schemas.microsoft.com/office/drawing/2014/main" id="{B8CC3D6E-5290-4418-9FFC-F6EEABDC0382}"/>
            </a:ext>
            <a:ext uri="{147F2762-F138-4A5C-976F-8EAC2B608ADB}">
              <a16:predDERef xmlns:a16="http://schemas.microsoft.com/office/drawing/2014/main" pred="{5D510BF0-83DC-4BE8-94C6-AF4E4230F5F5}"/>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5" name="Option Button 52" hidden="1">
          <a:extLst>
            <a:ext uri="{63B3BB69-23CF-44E3-9099-C40C66FF867C}">
              <a14:compatExt xmlns:a14="http://schemas.microsoft.com/office/drawing/2010/main" spid="_x0000_s2100"/>
            </a:ext>
            <a:ext uri="{FF2B5EF4-FFF2-40B4-BE49-F238E27FC236}">
              <a16:creationId xmlns:a16="http://schemas.microsoft.com/office/drawing/2014/main" id="{EC7DF95E-402A-453E-B26E-D97B1D092968}"/>
            </a:ext>
            <a:ext uri="{147F2762-F138-4A5C-976F-8EAC2B608ADB}">
              <a16:predDERef xmlns:a16="http://schemas.microsoft.com/office/drawing/2014/main" pred="{B8CC3D6E-5290-4418-9FFC-F6EEABDC0382}"/>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6" name="Option Button 53" hidden="1">
          <a:extLst>
            <a:ext uri="{63B3BB69-23CF-44E3-9099-C40C66FF867C}">
              <a14:compatExt xmlns:a14="http://schemas.microsoft.com/office/drawing/2010/main" spid="_x0000_s2101"/>
            </a:ext>
            <a:ext uri="{FF2B5EF4-FFF2-40B4-BE49-F238E27FC236}">
              <a16:creationId xmlns:a16="http://schemas.microsoft.com/office/drawing/2014/main" id="{5DD9AA35-BC46-495B-B656-5A7652A35F36}"/>
            </a:ext>
            <a:ext uri="{147F2762-F138-4A5C-976F-8EAC2B608ADB}">
              <a16:predDERef xmlns:a16="http://schemas.microsoft.com/office/drawing/2014/main" pred="{EC7DF95E-402A-453E-B26E-D97B1D092968}"/>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7" name="Option Button 54" hidden="1">
          <a:extLst>
            <a:ext uri="{63B3BB69-23CF-44E3-9099-C40C66FF867C}">
              <a14:compatExt xmlns:a14="http://schemas.microsoft.com/office/drawing/2010/main" spid="_x0000_s2102"/>
            </a:ext>
            <a:ext uri="{FF2B5EF4-FFF2-40B4-BE49-F238E27FC236}">
              <a16:creationId xmlns:a16="http://schemas.microsoft.com/office/drawing/2014/main" id="{F684A365-7B1E-42A2-8C58-9184BE9A5802}"/>
            </a:ext>
            <a:ext uri="{147F2762-F138-4A5C-976F-8EAC2B608ADB}">
              <a16:predDERef xmlns:a16="http://schemas.microsoft.com/office/drawing/2014/main" pred="{5DD9AA35-BC46-495B-B656-5A7652A35F36}"/>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8" name="Option Button 59" hidden="1">
          <a:extLst>
            <a:ext uri="{63B3BB69-23CF-44E3-9099-C40C66FF867C}">
              <a14:compatExt xmlns:a14="http://schemas.microsoft.com/office/drawing/2010/main" spid="_x0000_s2107"/>
            </a:ext>
            <a:ext uri="{FF2B5EF4-FFF2-40B4-BE49-F238E27FC236}">
              <a16:creationId xmlns:a16="http://schemas.microsoft.com/office/drawing/2014/main" id="{02848A43-B8FB-4337-BF77-968FBE418CCF}"/>
            </a:ext>
            <a:ext uri="{147F2762-F138-4A5C-976F-8EAC2B608ADB}">
              <a16:predDERef xmlns:a16="http://schemas.microsoft.com/office/drawing/2014/main" pred="{F684A365-7B1E-42A2-8C58-9184BE9A5802}"/>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9" name="Option Button 60" hidden="1">
          <a:extLst>
            <a:ext uri="{63B3BB69-23CF-44E3-9099-C40C66FF867C}">
              <a14:compatExt xmlns:a14="http://schemas.microsoft.com/office/drawing/2010/main" spid="_x0000_s2108"/>
            </a:ext>
            <a:ext uri="{FF2B5EF4-FFF2-40B4-BE49-F238E27FC236}">
              <a16:creationId xmlns:a16="http://schemas.microsoft.com/office/drawing/2014/main" id="{67195904-95A1-4411-9F8C-9F43E3D059CA}"/>
            </a:ext>
            <a:ext uri="{147F2762-F138-4A5C-976F-8EAC2B608ADB}">
              <a16:predDERef xmlns:a16="http://schemas.microsoft.com/office/drawing/2014/main" pred="{02848A43-B8FB-4337-BF77-968FBE418CCF}"/>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20" name="Option Button 61" hidden="1">
          <a:extLst>
            <a:ext uri="{63B3BB69-23CF-44E3-9099-C40C66FF867C}">
              <a14:compatExt xmlns:a14="http://schemas.microsoft.com/office/drawing/2010/main" spid="_x0000_s2109"/>
            </a:ext>
            <a:ext uri="{FF2B5EF4-FFF2-40B4-BE49-F238E27FC236}">
              <a16:creationId xmlns:a16="http://schemas.microsoft.com/office/drawing/2014/main" id="{19242683-BA86-4981-98E8-7D2CAFE311FC}"/>
            </a:ext>
            <a:ext uri="{147F2762-F138-4A5C-976F-8EAC2B608ADB}">
              <a16:predDERef xmlns:a16="http://schemas.microsoft.com/office/drawing/2014/main" pred="{67195904-95A1-4411-9F8C-9F43E3D059CA}"/>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21" name="Option Button 62" hidden="1">
          <a:extLst>
            <a:ext uri="{63B3BB69-23CF-44E3-9099-C40C66FF867C}">
              <a14:compatExt xmlns:a14="http://schemas.microsoft.com/office/drawing/2010/main" spid="_x0000_s2110"/>
            </a:ext>
            <a:ext uri="{FF2B5EF4-FFF2-40B4-BE49-F238E27FC236}">
              <a16:creationId xmlns:a16="http://schemas.microsoft.com/office/drawing/2014/main" id="{5DCF7D84-F6FD-463B-BEB5-BF2CEBCFA82C}"/>
            </a:ext>
            <a:ext uri="{147F2762-F138-4A5C-976F-8EAC2B608ADB}">
              <a16:predDERef xmlns:a16="http://schemas.microsoft.com/office/drawing/2014/main" pred="{19242683-BA86-4981-98E8-7D2CAFE311FC}"/>
            </a:ext>
          </a:extLst>
        </xdr:cNvPr>
        <xdr:cNvSpPr/>
      </xdr:nvSpPr>
      <xdr:spPr bwMode="auto">
        <a:xfrm>
          <a:off x="18440400" y="8534400"/>
          <a:ext cx="1047750" cy="20955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57150</xdr:colOff>
      <xdr:row>9</xdr:row>
      <xdr:rowOff>28575</xdr:rowOff>
    </xdr:from>
    <xdr:to>
      <xdr:col>12</xdr:col>
      <xdr:colOff>19050</xdr:colOff>
      <xdr:row>11</xdr:row>
      <xdr:rowOff>28575</xdr:rowOff>
    </xdr:to>
    <xdr:sp macro="" textlink="">
      <xdr:nvSpPr>
        <xdr:cNvPr id="10241" name="Group Box 1" hidden="1">
          <a:extLst>
            <a:ext uri="{63B3BB69-23CF-44E3-9099-C40C66FF867C}">
              <a14:compatExt xmlns:a14="http://schemas.microsoft.com/office/drawing/2010/main" spid="_x0000_s10241"/>
            </a:ext>
            <a:ext uri="{FF2B5EF4-FFF2-40B4-BE49-F238E27FC236}">
              <a16:creationId xmlns:a16="http://schemas.microsoft.com/office/drawing/2014/main" id="{3B1F81D5-52A9-477B-8B5F-636083B8CCDD}"/>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8</xdr:row>
      <xdr:rowOff>0</xdr:rowOff>
    </xdr:from>
    <xdr:to>
      <xdr:col>8</xdr:col>
      <xdr:colOff>2609850</xdr:colOff>
      <xdr:row>8</xdr:row>
      <xdr:rowOff>0</xdr:rowOff>
    </xdr:to>
    <xdr:sp macro="" textlink="">
      <xdr:nvSpPr>
        <xdr:cNvPr id="10242" name="Option Button 2" hidden="1">
          <a:extLst>
            <a:ext uri="{63B3BB69-23CF-44E3-9099-C40C66FF867C}">
              <a14:compatExt xmlns:a14="http://schemas.microsoft.com/office/drawing/2010/main" spid="_x0000_s10242"/>
            </a:ext>
            <a:ext uri="{FF2B5EF4-FFF2-40B4-BE49-F238E27FC236}">
              <a16:creationId xmlns:a16="http://schemas.microsoft.com/office/drawing/2014/main" id="{572AF643-F6B3-4ECC-A30F-7EF8884C73F8}"/>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8</xdr:row>
      <xdr:rowOff>0</xdr:rowOff>
    </xdr:from>
    <xdr:to>
      <xdr:col>9</xdr:col>
      <xdr:colOff>2667000</xdr:colOff>
      <xdr:row>8</xdr:row>
      <xdr:rowOff>0</xdr:rowOff>
    </xdr:to>
    <xdr:sp macro="" textlink="">
      <xdr:nvSpPr>
        <xdr:cNvPr id="10243" name="Option Button 3" hidden="1">
          <a:extLst>
            <a:ext uri="{63B3BB69-23CF-44E3-9099-C40C66FF867C}">
              <a14:compatExt xmlns:a14="http://schemas.microsoft.com/office/drawing/2010/main" spid="_x0000_s10243"/>
            </a:ext>
            <a:ext uri="{FF2B5EF4-FFF2-40B4-BE49-F238E27FC236}">
              <a16:creationId xmlns:a16="http://schemas.microsoft.com/office/drawing/2014/main" id="{D05C6233-C386-43BE-A1F8-AD6EAB1CFFC6}"/>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8</xdr:row>
      <xdr:rowOff>0</xdr:rowOff>
    </xdr:from>
    <xdr:to>
      <xdr:col>10</xdr:col>
      <xdr:colOff>2609850</xdr:colOff>
      <xdr:row>8</xdr:row>
      <xdr:rowOff>0</xdr:rowOff>
    </xdr:to>
    <xdr:sp macro="" textlink="">
      <xdr:nvSpPr>
        <xdr:cNvPr id="10244" name="Option Button 4" hidden="1">
          <a:extLst>
            <a:ext uri="{63B3BB69-23CF-44E3-9099-C40C66FF867C}">
              <a14:compatExt xmlns:a14="http://schemas.microsoft.com/office/drawing/2010/main" spid="_x0000_s10244"/>
            </a:ext>
            <a:ext uri="{FF2B5EF4-FFF2-40B4-BE49-F238E27FC236}">
              <a16:creationId xmlns:a16="http://schemas.microsoft.com/office/drawing/2014/main" id="{BDC580CF-3A28-4CA2-8987-22AECECB466B}"/>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8</xdr:row>
      <xdr:rowOff>0</xdr:rowOff>
    </xdr:from>
    <xdr:to>
      <xdr:col>11</xdr:col>
      <xdr:colOff>2686050</xdr:colOff>
      <xdr:row>8</xdr:row>
      <xdr:rowOff>0</xdr:rowOff>
    </xdr:to>
    <xdr:sp macro="" textlink="">
      <xdr:nvSpPr>
        <xdr:cNvPr id="10245" name="Option Button 5" hidden="1">
          <a:extLst>
            <a:ext uri="{63B3BB69-23CF-44E3-9099-C40C66FF867C}">
              <a14:compatExt xmlns:a14="http://schemas.microsoft.com/office/drawing/2010/main" spid="_x0000_s10245"/>
            </a:ext>
            <a:ext uri="{FF2B5EF4-FFF2-40B4-BE49-F238E27FC236}">
              <a16:creationId xmlns:a16="http://schemas.microsoft.com/office/drawing/2014/main" id="{4F2F5FCF-4C60-4A02-BADE-BEB3BC0EA556}"/>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12</xdr:row>
      <xdr:rowOff>0</xdr:rowOff>
    </xdr:from>
    <xdr:to>
      <xdr:col>12</xdr:col>
      <xdr:colOff>19050</xdr:colOff>
      <xdr:row>14</xdr:row>
      <xdr:rowOff>0</xdr:rowOff>
    </xdr:to>
    <xdr:sp macro="" textlink="">
      <xdr:nvSpPr>
        <xdr:cNvPr id="10246" name="Group Box 6" hidden="1">
          <a:extLst>
            <a:ext uri="{63B3BB69-23CF-44E3-9099-C40C66FF867C}">
              <a14:compatExt xmlns:a14="http://schemas.microsoft.com/office/drawing/2010/main" spid="_x0000_s10246"/>
            </a:ext>
            <a:ext uri="{FF2B5EF4-FFF2-40B4-BE49-F238E27FC236}">
              <a16:creationId xmlns:a16="http://schemas.microsoft.com/office/drawing/2014/main" id="{9086D6C4-5ED6-44B5-9A28-63D513FF42CD}"/>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57150</xdr:colOff>
      <xdr:row>12</xdr:row>
      <xdr:rowOff>0</xdr:rowOff>
    </xdr:from>
    <xdr:to>
      <xdr:col>12</xdr:col>
      <xdr:colOff>19050</xdr:colOff>
      <xdr:row>14</xdr:row>
      <xdr:rowOff>0</xdr:rowOff>
    </xdr:to>
    <xdr:sp macro="" textlink="">
      <xdr:nvSpPr>
        <xdr:cNvPr id="10247" name="Group Box 7" hidden="1">
          <a:extLst>
            <a:ext uri="{63B3BB69-23CF-44E3-9099-C40C66FF867C}">
              <a14:compatExt xmlns:a14="http://schemas.microsoft.com/office/drawing/2010/main" spid="_x0000_s10247"/>
            </a:ext>
            <a:ext uri="{FF2B5EF4-FFF2-40B4-BE49-F238E27FC236}">
              <a16:creationId xmlns:a16="http://schemas.microsoft.com/office/drawing/2014/main" id="{CBAE9903-95C9-4600-A689-5CD702A01356}"/>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12</xdr:row>
      <xdr:rowOff>0</xdr:rowOff>
    </xdr:from>
    <xdr:to>
      <xdr:col>8</xdr:col>
      <xdr:colOff>2609850</xdr:colOff>
      <xdr:row>13</xdr:row>
      <xdr:rowOff>19050</xdr:rowOff>
    </xdr:to>
    <xdr:sp macro="" textlink="">
      <xdr:nvSpPr>
        <xdr:cNvPr id="10248" name="Option Button 8" hidden="1">
          <a:extLst>
            <a:ext uri="{63B3BB69-23CF-44E3-9099-C40C66FF867C}">
              <a14:compatExt xmlns:a14="http://schemas.microsoft.com/office/drawing/2010/main" spid="_x0000_s10248"/>
            </a:ext>
            <a:ext uri="{FF2B5EF4-FFF2-40B4-BE49-F238E27FC236}">
              <a16:creationId xmlns:a16="http://schemas.microsoft.com/office/drawing/2014/main" id="{0BB9B81B-E7F8-4747-8A97-B9EC181F3441}"/>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12</xdr:row>
      <xdr:rowOff>0</xdr:rowOff>
    </xdr:from>
    <xdr:to>
      <xdr:col>9</xdr:col>
      <xdr:colOff>2667000</xdr:colOff>
      <xdr:row>13</xdr:row>
      <xdr:rowOff>19050</xdr:rowOff>
    </xdr:to>
    <xdr:sp macro="" textlink="">
      <xdr:nvSpPr>
        <xdr:cNvPr id="10249" name="Option Button 9" hidden="1">
          <a:extLst>
            <a:ext uri="{63B3BB69-23CF-44E3-9099-C40C66FF867C}">
              <a14:compatExt xmlns:a14="http://schemas.microsoft.com/office/drawing/2010/main" spid="_x0000_s10249"/>
            </a:ext>
            <a:ext uri="{FF2B5EF4-FFF2-40B4-BE49-F238E27FC236}">
              <a16:creationId xmlns:a16="http://schemas.microsoft.com/office/drawing/2014/main" id="{5A881404-17E1-46E7-9B7D-BFED560751B1}"/>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12</xdr:row>
      <xdr:rowOff>0</xdr:rowOff>
    </xdr:from>
    <xdr:to>
      <xdr:col>10</xdr:col>
      <xdr:colOff>2609850</xdr:colOff>
      <xdr:row>13</xdr:row>
      <xdr:rowOff>19050</xdr:rowOff>
    </xdr:to>
    <xdr:sp macro="" textlink="">
      <xdr:nvSpPr>
        <xdr:cNvPr id="10250" name="Option Button 10" hidden="1">
          <a:extLst>
            <a:ext uri="{63B3BB69-23CF-44E3-9099-C40C66FF867C}">
              <a14:compatExt xmlns:a14="http://schemas.microsoft.com/office/drawing/2010/main" spid="_x0000_s10250"/>
            </a:ext>
            <a:ext uri="{FF2B5EF4-FFF2-40B4-BE49-F238E27FC236}">
              <a16:creationId xmlns:a16="http://schemas.microsoft.com/office/drawing/2014/main" id="{076FE8BC-C102-4237-8DB6-1F64D58CD41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12</xdr:row>
      <xdr:rowOff>0</xdr:rowOff>
    </xdr:from>
    <xdr:to>
      <xdr:col>11</xdr:col>
      <xdr:colOff>2686050</xdr:colOff>
      <xdr:row>13</xdr:row>
      <xdr:rowOff>19050</xdr:rowOff>
    </xdr:to>
    <xdr:sp macro="" textlink="">
      <xdr:nvSpPr>
        <xdr:cNvPr id="10251" name="Option Button 11" hidden="1">
          <a:extLst>
            <a:ext uri="{63B3BB69-23CF-44E3-9099-C40C66FF867C}">
              <a14:compatExt xmlns:a14="http://schemas.microsoft.com/office/drawing/2010/main" spid="_x0000_s10251"/>
            </a:ext>
            <a:ext uri="{FF2B5EF4-FFF2-40B4-BE49-F238E27FC236}">
              <a16:creationId xmlns:a16="http://schemas.microsoft.com/office/drawing/2014/main" id="{98258075-F204-4C7F-A063-BA7ECB71AC8C}"/>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1562100</xdr:colOff>
      <xdr:row>12</xdr:row>
      <xdr:rowOff>0</xdr:rowOff>
    </xdr:from>
    <xdr:to>
      <xdr:col>8</xdr:col>
      <xdr:colOff>2609850</xdr:colOff>
      <xdr:row>13</xdr:row>
      <xdr:rowOff>19050</xdr:rowOff>
    </xdr:to>
    <xdr:sp macro="" textlink="">
      <xdr:nvSpPr>
        <xdr:cNvPr id="10252" name="Option Button 12" hidden="1">
          <a:extLst>
            <a:ext uri="{63B3BB69-23CF-44E3-9099-C40C66FF867C}">
              <a14:compatExt xmlns:a14="http://schemas.microsoft.com/office/drawing/2010/main" spid="_x0000_s10252"/>
            </a:ext>
            <a:ext uri="{FF2B5EF4-FFF2-40B4-BE49-F238E27FC236}">
              <a16:creationId xmlns:a16="http://schemas.microsoft.com/office/drawing/2014/main" id="{3A1F91D5-FEC2-4582-9850-21C7C8289F02}"/>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12</xdr:row>
      <xdr:rowOff>0</xdr:rowOff>
    </xdr:from>
    <xdr:to>
      <xdr:col>9</xdr:col>
      <xdr:colOff>2667000</xdr:colOff>
      <xdr:row>13</xdr:row>
      <xdr:rowOff>19050</xdr:rowOff>
    </xdr:to>
    <xdr:sp macro="" textlink="">
      <xdr:nvSpPr>
        <xdr:cNvPr id="10253" name="Option Button 13" hidden="1">
          <a:extLst>
            <a:ext uri="{63B3BB69-23CF-44E3-9099-C40C66FF867C}">
              <a14:compatExt xmlns:a14="http://schemas.microsoft.com/office/drawing/2010/main" spid="_x0000_s10253"/>
            </a:ext>
            <a:ext uri="{FF2B5EF4-FFF2-40B4-BE49-F238E27FC236}">
              <a16:creationId xmlns:a16="http://schemas.microsoft.com/office/drawing/2014/main" id="{734ED024-E2C1-4A88-B914-94ADAF2D2A44}"/>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12</xdr:row>
      <xdr:rowOff>0</xdr:rowOff>
    </xdr:from>
    <xdr:to>
      <xdr:col>10</xdr:col>
      <xdr:colOff>2609850</xdr:colOff>
      <xdr:row>13</xdr:row>
      <xdr:rowOff>19050</xdr:rowOff>
    </xdr:to>
    <xdr:sp macro="" textlink="">
      <xdr:nvSpPr>
        <xdr:cNvPr id="10254" name="Option Button 14" hidden="1">
          <a:extLst>
            <a:ext uri="{63B3BB69-23CF-44E3-9099-C40C66FF867C}">
              <a14:compatExt xmlns:a14="http://schemas.microsoft.com/office/drawing/2010/main" spid="_x0000_s10254"/>
            </a:ext>
            <a:ext uri="{FF2B5EF4-FFF2-40B4-BE49-F238E27FC236}">
              <a16:creationId xmlns:a16="http://schemas.microsoft.com/office/drawing/2014/main" id="{B9BC7A4B-6D53-44A6-AB48-56459ABD8ED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12</xdr:row>
      <xdr:rowOff>0</xdr:rowOff>
    </xdr:from>
    <xdr:to>
      <xdr:col>11</xdr:col>
      <xdr:colOff>2686050</xdr:colOff>
      <xdr:row>13</xdr:row>
      <xdr:rowOff>19050</xdr:rowOff>
    </xdr:to>
    <xdr:sp macro="" textlink="">
      <xdr:nvSpPr>
        <xdr:cNvPr id="10255" name="Option Button 15" hidden="1">
          <a:extLst>
            <a:ext uri="{63B3BB69-23CF-44E3-9099-C40C66FF867C}">
              <a14:compatExt xmlns:a14="http://schemas.microsoft.com/office/drawing/2010/main" spid="_x0000_s10255"/>
            </a:ext>
            <a:ext uri="{FF2B5EF4-FFF2-40B4-BE49-F238E27FC236}">
              <a16:creationId xmlns:a16="http://schemas.microsoft.com/office/drawing/2014/main" id="{D71DC188-5B47-4421-BE4F-064F6C467D27}"/>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14</xdr:row>
      <xdr:rowOff>0</xdr:rowOff>
    </xdr:from>
    <xdr:to>
      <xdr:col>12</xdr:col>
      <xdr:colOff>19050</xdr:colOff>
      <xdr:row>16</xdr:row>
      <xdr:rowOff>0</xdr:rowOff>
    </xdr:to>
    <xdr:sp macro="" textlink="">
      <xdr:nvSpPr>
        <xdr:cNvPr id="10256" name="Group Box 16" hidden="1">
          <a:extLst>
            <a:ext uri="{63B3BB69-23CF-44E3-9099-C40C66FF867C}">
              <a14:compatExt xmlns:a14="http://schemas.microsoft.com/office/drawing/2010/main" spid="_x0000_s10256"/>
            </a:ext>
            <a:ext uri="{FF2B5EF4-FFF2-40B4-BE49-F238E27FC236}">
              <a16:creationId xmlns:a16="http://schemas.microsoft.com/office/drawing/2014/main" id="{7C9A492A-5F19-41C7-986A-A632A6DA65AC}"/>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14</xdr:row>
      <xdr:rowOff>0</xdr:rowOff>
    </xdr:from>
    <xdr:to>
      <xdr:col>8</xdr:col>
      <xdr:colOff>2609850</xdr:colOff>
      <xdr:row>15</xdr:row>
      <xdr:rowOff>19050</xdr:rowOff>
    </xdr:to>
    <xdr:sp macro="" textlink="">
      <xdr:nvSpPr>
        <xdr:cNvPr id="10257" name="Option Button 17" hidden="1">
          <a:extLst>
            <a:ext uri="{63B3BB69-23CF-44E3-9099-C40C66FF867C}">
              <a14:compatExt xmlns:a14="http://schemas.microsoft.com/office/drawing/2010/main" spid="_x0000_s10257"/>
            </a:ext>
            <a:ext uri="{FF2B5EF4-FFF2-40B4-BE49-F238E27FC236}">
              <a16:creationId xmlns:a16="http://schemas.microsoft.com/office/drawing/2014/main" id="{6FC81041-632B-4D44-A691-22310AA9EBB2}"/>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14</xdr:row>
      <xdr:rowOff>0</xdr:rowOff>
    </xdr:from>
    <xdr:to>
      <xdr:col>9</xdr:col>
      <xdr:colOff>2667000</xdr:colOff>
      <xdr:row>15</xdr:row>
      <xdr:rowOff>19050</xdr:rowOff>
    </xdr:to>
    <xdr:sp macro="" textlink="">
      <xdr:nvSpPr>
        <xdr:cNvPr id="10258" name="Option Button 18" hidden="1">
          <a:extLst>
            <a:ext uri="{63B3BB69-23CF-44E3-9099-C40C66FF867C}">
              <a14:compatExt xmlns:a14="http://schemas.microsoft.com/office/drawing/2010/main" spid="_x0000_s10258"/>
            </a:ext>
            <a:ext uri="{FF2B5EF4-FFF2-40B4-BE49-F238E27FC236}">
              <a16:creationId xmlns:a16="http://schemas.microsoft.com/office/drawing/2014/main" id="{DEAF7F15-6457-4D04-BD7D-27478B145386}"/>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14</xdr:row>
      <xdr:rowOff>0</xdr:rowOff>
    </xdr:from>
    <xdr:to>
      <xdr:col>10</xdr:col>
      <xdr:colOff>2609850</xdr:colOff>
      <xdr:row>15</xdr:row>
      <xdr:rowOff>19050</xdr:rowOff>
    </xdr:to>
    <xdr:sp macro="" textlink="">
      <xdr:nvSpPr>
        <xdr:cNvPr id="10259" name="Option Button 19" hidden="1">
          <a:extLst>
            <a:ext uri="{63B3BB69-23CF-44E3-9099-C40C66FF867C}">
              <a14:compatExt xmlns:a14="http://schemas.microsoft.com/office/drawing/2010/main" spid="_x0000_s10259"/>
            </a:ext>
            <a:ext uri="{FF2B5EF4-FFF2-40B4-BE49-F238E27FC236}">
              <a16:creationId xmlns:a16="http://schemas.microsoft.com/office/drawing/2014/main" id="{70195AAD-9A37-4DC3-BF70-8EDB4926FDBE}"/>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14</xdr:row>
      <xdr:rowOff>0</xdr:rowOff>
    </xdr:from>
    <xdr:to>
      <xdr:col>11</xdr:col>
      <xdr:colOff>2686050</xdr:colOff>
      <xdr:row>15</xdr:row>
      <xdr:rowOff>19050</xdr:rowOff>
    </xdr:to>
    <xdr:sp macro="" textlink="">
      <xdr:nvSpPr>
        <xdr:cNvPr id="10260" name="Option Button 20" hidden="1">
          <a:extLst>
            <a:ext uri="{63B3BB69-23CF-44E3-9099-C40C66FF867C}">
              <a14:compatExt xmlns:a14="http://schemas.microsoft.com/office/drawing/2010/main" spid="_x0000_s10260"/>
            </a:ext>
            <a:ext uri="{FF2B5EF4-FFF2-40B4-BE49-F238E27FC236}">
              <a16:creationId xmlns:a16="http://schemas.microsoft.com/office/drawing/2014/main" id="{23E53A7D-9C6A-4ABA-99FF-0A3133457077}"/>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17</xdr:row>
      <xdr:rowOff>28575</xdr:rowOff>
    </xdr:from>
    <xdr:to>
      <xdr:col>12</xdr:col>
      <xdr:colOff>19050</xdr:colOff>
      <xdr:row>19</xdr:row>
      <xdr:rowOff>28575</xdr:rowOff>
    </xdr:to>
    <xdr:sp macro="" textlink="">
      <xdr:nvSpPr>
        <xdr:cNvPr id="10261" name="Group Box 21" hidden="1">
          <a:extLst>
            <a:ext uri="{63B3BB69-23CF-44E3-9099-C40C66FF867C}">
              <a14:compatExt xmlns:a14="http://schemas.microsoft.com/office/drawing/2010/main" spid="_x0000_s10261"/>
            </a:ext>
            <a:ext uri="{FF2B5EF4-FFF2-40B4-BE49-F238E27FC236}">
              <a16:creationId xmlns:a16="http://schemas.microsoft.com/office/drawing/2014/main" id="{EF44DA85-334A-4185-9A4F-64649E733629}"/>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17</xdr:row>
      <xdr:rowOff>104775</xdr:rowOff>
    </xdr:from>
    <xdr:to>
      <xdr:col>8</xdr:col>
      <xdr:colOff>2609850</xdr:colOff>
      <xdr:row>18</xdr:row>
      <xdr:rowOff>123825</xdr:rowOff>
    </xdr:to>
    <xdr:sp macro="" textlink="">
      <xdr:nvSpPr>
        <xdr:cNvPr id="10262" name="Option Button 22" hidden="1">
          <a:extLst>
            <a:ext uri="{63B3BB69-23CF-44E3-9099-C40C66FF867C}">
              <a14:compatExt xmlns:a14="http://schemas.microsoft.com/office/drawing/2010/main" spid="_x0000_s10262"/>
            </a:ext>
            <a:ext uri="{FF2B5EF4-FFF2-40B4-BE49-F238E27FC236}">
              <a16:creationId xmlns:a16="http://schemas.microsoft.com/office/drawing/2014/main" id="{B451F844-2113-4FE1-8DDF-F0699261F4DA}"/>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17</xdr:row>
      <xdr:rowOff>104775</xdr:rowOff>
    </xdr:from>
    <xdr:to>
      <xdr:col>9</xdr:col>
      <xdr:colOff>2667000</xdr:colOff>
      <xdr:row>18</xdr:row>
      <xdr:rowOff>123825</xdr:rowOff>
    </xdr:to>
    <xdr:sp macro="" textlink="">
      <xdr:nvSpPr>
        <xdr:cNvPr id="10263" name="Option Button 23" hidden="1">
          <a:extLst>
            <a:ext uri="{63B3BB69-23CF-44E3-9099-C40C66FF867C}">
              <a14:compatExt xmlns:a14="http://schemas.microsoft.com/office/drawing/2010/main" spid="_x0000_s10263"/>
            </a:ext>
            <a:ext uri="{FF2B5EF4-FFF2-40B4-BE49-F238E27FC236}">
              <a16:creationId xmlns:a16="http://schemas.microsoft.com/office/drawing/2014/main" id="{12B0894B-E12E-41F6-BD91-E0DAB866234A}"/>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17</xdr:row>
      <xdr:rowOff>104775</xdr:rowOff>
    </xdr:from>
    <xdr:to>
      <xdr:col>10</xdr:col>
      <xdr:colOff>2609850</xdr:colOff>
      <xdr:row>18</xdr:row>
      <xdr:rowOff>123825</xdr:rowOff>
    </xdr:to>
    <xdr:sp macro="" textlink="">
      <xdr:nvSpPr>
        <xdr:cNvPr id="10264" name="Option Button 24" hidden="1">
          <a:extLst>
            <a:ext uri="{63B3BB69-23CF-44E3-9099-C40C66FF867C}">
              <a14:compatExt xmlns:a14="http://schemas.microsoft.com/office/drawing/2010/main" spid="_x0000_s10264"/>
            </a:ext>
            <a:ext uri="{FF2B5EF4-FFF2-40B4-BE49-F238E27FC236}">
              <a16:creationId xmlns:a16="http://schemas.microsoft.com/office/drawing/2014/main" id="{5224CA33-73CC-46F6-B396-DBD8C5C19BA8}"/>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17</xdr:row>
      <xdr:rowOff>104775</xdr:rowOff>
    </xdr:from>
    <xdr:to>
      <xdr:col>11</xdr:col>
      <xdr:colOff>2686050</xdr:colOff>
      <xdr:row>18</xdr:row>
      <xdr:rowOff>123825</xdr:rowOff>
    </xdr:to>
    <xdr:sp macro="" textlink="">
      <xdr:nvSpPr>
        <xdr:cNvPr id="10265" name="Option Button 25" hidden="1">
          <a:extLst>
            <a:ext uri="{63B3BB69-23CF-44E3-9099-C40C66FF867C}">
              <a14:compatExt xmlns:a14="http://schemas.microsoft.com/office/drawing/2010/main" spid="_x0000_s10265"/>
            </a:ext>
            <a:ext uri="{FF2B5EF4-FFF2-40B4-BE49-F238E27FC236}">
              <a16:creationId xmlns:a16="http://schemas.microsoft.com/office/drawing/2014/main" id="{E8569144-511A-4166-826D-FD667B871D2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23</xdr:row>
      <xdr:rowOff>0</xdr:rowOff>
    </xdr:from>
    <xdr:to>
      <xdr:col>12</xdr:col>
      <xdr:colOff>19050</xdr:colOff>
      <xdr:row>25</xdr:row>
      <xdr:rowOff>47625</xdr:rowOff>
    </xdr:to>
    <xdr:sp macro="" textlink="">
      <xdr:nvSpPr>
        <xdr:cNvPr id="10266" name="Group Box 26" hidden="1">
          <a:extLst>
            <a:ext uri="{63B3BB69-23CF-44E3-9099-C40C66FF867C}">
              <a14:compatExt xmlns:a14="http://schemas.microsoft.com/office/drawing/2010/main" spid="_x0000_s10266"/>
            </a:ext>
            <a:ext uri="{FF2B5EF4-FFF2-40B4-BE49-F238E27FC236}">
              <a16:creationId xmlns:a16="http://schemas.microsoft.com/office/drawing/2014/main" id="{99896EAA-5F7B-4804-9F90-DEA5BD5E5B8B}"/>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23</xdr:row>
      <xdr:rowOff>0</xdr:rowOff>
    </xdr:from>
    <xdr:to>
      <xdr:col>8</xdr:col>
      <xdr:colOff>2609850</xdr:colOff>
      <xdr:row>24</xdr:row>
      <xdr:rowOff>19050</xdr:rowOff>
    </xdr:to>
    <xdr:sp macro="" textlink="">
      <xdr:nvSpPr>
        <xdr:cNvPr id="10267" name="Option Button 27" hidden="1">
          <a:extLst>
            <a:ext uri="{63B3BB69-23CF-44E3-9099-C40C66FF867C}">
              <a14:compatExt xmlns:a14="http://schemas.microsoft.com/office/drawing/2010/main" spid="_x0000_s10267"/>
            </a:ext>
            <a:ext uri="{FF2B5EF4-FFF2-40B4-BE49-F238E27FC236}">
              <a16:creationId xmlns:a16="http://schemas.microsoft.com/office/drawing/2014/main" id="{EDCB45C5-C6E4-4DEC-B2C3-14A5A89A3B2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23</xdr:row>
      <xdr:rowOff>0</xdr:rowOff>
    </xdr:from>
    <xdr:to>
      <xdr:col>9</xdr:col>
      <xdr:colOff>2667000</xdr:colOff>
      <xdr:row>24</xdr:row>
      <xdr:rowOff>19050</xdr:rowOff>
    </xdr:to>
    <xdr:sp macro="" textlink="">
      <xdr:nvSpPr>
        <xdr:cNvPr id="10268" name="Option Button 28" hidden="1">
          <a:extLst>
            <a:ext uri="{63B3BB69-23CF-44E3-9099-C40C66FF867C}">
              <a14:compatExt xmlns:a14="http://schemas.microsoft.com/office/drawing/2010/main" spid="_x0000_s10268"/>
            </a:ext>
            <a:ext uri="{FF2B5EF4-FFF2-40B4-BE49-F238E27FC236}">
              <a16:creationId xmlns:a16="http://schemas.microsoft.com/office/drawing/2014/main" id="{186D20D9-A4A7-4AB3-AA8D-F155F54D1C6A}"/>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23</xdr:row>
      <xdr:rowOff>0</xdr:rowOff>
    </xdr:from>
    <xdr:to>
      <xdr:col>10</xdr:col>
      <xdr:colOff>2609850</xdr:colOff>
      <xdr:row>24</xdr:row>
      <xdr:rowOff>19050</xdr:rowOff>
    </xdr:to>
    <xdr:sp macro="" textlink="">
      <xdr:nvSpPr>
        <xdr:cNvPr id="10269" name="Option Button 29" hidden="1">
          <a:extLst>
            <a:ext uri="{63B3BB69-23CF-44E3-9099-C40C66FF867C}">
              <a14:compatExt xmlns:a14="http://schemas.microsoft.com/office/drawing/2010/main" spid="_x0000_s10269"/>
            </a:ext>
            <a:ext uri="{FF2B5EF4-FFF2-40B4-BE49-F238E27FC236}">
              <a16:creationId xmlns:a16="http://schemas.microsoft.com/office/drawing/2014/main" id="{88716E24-52DD-4956-B3D0-9537DE8609CE}"/>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23</xdr:row>
      <xdr:rowOff>0</xdr:rowOff>
    </xdr:from>
    <xdr:to>
      <xdr:col>11</xdr:col>
      <xdr:colOff>2686050</xdr:colOff>
      <xdr:row>24</xdr:row>
      <xdr:rowOff>19050</xdr:rowOff>
    </xdr:to>
    <xdr:sp macro="" textlink="">
      <xdr:nvSpPr>
        <xdr:cNvPr id="10270" name="Option Button 30" hidden="1">
          <a:extLst>
            <a:ext uri="{63B3BB69-23CF-44E3-9099-C40C66FF867C}">
              <a14:compatExt xmlns:a14="http://schemas.microsoft.com/office/drawing/2010/main" spid="_x0000_s10270"/>
            </a:ext>
            <a:ext uri="{FF2B5EF4-FFF2-40B4-BE49-F238E27FC236}">
              <a16:creationId xmlns:a16="http://schemas.microsoft.com/office/drawing/2014/main" id="{8CDFE338-84C6-4A3C-9548-5082C4405602}"/>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31</xdr:row>
      <xdr:rowOff>28575</xdr:rowOff>
    </xdr:from>
    <xdr:to>
      <xdr:col>12</xdr:col>
      <xdr:colOff>19050</xdr:colOff>
      <xdr:row>33</xdr:row>
      <xdr:rowOff>28575</xdr:rowOff>
    </xdr:to>
    <xdr:sp macro="" textlink="">
      <xdr:nvSpPr>
        <xdr:cNvPr id="10271" name="Group Box 31" hidden="1">
          <a:extLst>
            <a:ext uri="{63B3BB69-23CF-44E3-9099-C40C66FF867C}">
              <a14:compatExt xmlns:a14="http://schemas.microsoft.com/office/drawing/2010/main" spid="_x0000_s10271"/>
            </a:ext>
            <a:ext uri="{FF2B5EF4-FFF2-40B4-BE49-F238E27FC236}">
              <a16:creationId xmlns:a16="http://schemas.microsoft.com/office/drawing/2014/main" id="{A60237A0-C45C-4205-8685-1BF2321CA723}"/>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31</xdr:row>
      <xdr:rowOff>104775</xdr:rowOff>
    </xdr:from>
    <xdr:to>
      <xdr:col>8</xdr:col>
      <xdr:colOff>2609850</xdr:colOff>
      <xdr:row>32</xdr:row>
      <xdr:rowOff>123825</xdr:rowOff>
    </xdr:to>
    <xdr:sp macro="" textlink="">
      <xdr:nvSpPr>
        <xdr:cNvPr id="10272" name="Option Button 32" hidden="1">
          <a:extLst>
            <a:ext uri="{63B3BB69-23CF-44E3-9099-C40C66FF867C}">
              <a14:compatExt xmlns:a14="http://schemas.microsoft.com/office/drawing/2010/main" spid="_x0000_s10272"/>
            </a:ext>
            <a:ext uri="{FF2B5EF4-FFF2-40B4-BE49-F238E27FC236}">
              <a16:creationId xmlns:a16="http://schemas.microsoft.com/office/drawing/2014/main" id="{308A4E2A-B3CD-42D8-A771-96EC5CE9063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31</xdr:row>
      <xdr:rowOff>104775</xdr:rowOff>
    </xdr:from>
    <xdr:to>
      <xdr:col>9</xdr:col>
      <xdr:colOff>2667000</xdr:colOff>
      <xdr:row>32</xdr:row>
      <xdr:rowOff>123825</xdr:rowOff>
    </xdr:to>
    <xdr:sp macro="" textlink="">
      <xdr:nvSpPr>
        <xdr:cNvPr id="10273" name="Option Button 33" hidden="1">
          <a:extLst>
            <a:ext uri="{63B3BB69-23CF-44E3-9099-C40C66FF867C}">
              <a14:compatExt xmlns:a14="http://schemas.microsoft.com/office/drawing/2010/main" spid="_x0000_s10273"/>
            </a:ext>
            <a:ext uri="{FF2B5EF4-FFF2-40B4-BE49-F238E27FC236}">
              <a16:creationId xmlns:a16="http://schemas.microsoft.com/office/drawing/2014/main" id="{C7771018-26F8-424D-B529-A91E6C57CDF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31</xdr:row>
      <xdr:rowOff>104775</xdr:rowOff>
    </xdr:from>
    <xdr:to>
      <xdr:col>10</xdr:col>
      <xdr:colOff>2609850</xdr:colOff>
      <xdr:row>32</xdr:row>
      <xdr:rowOff>123825</xdr:rowOff>
    </xdr:to>
    <xdr:sp macro="" textlink="">
      <xdr:nvSpPr>
        <xdr:cNvPr id="10274" name="Option Button 34" hidden="1">
          <a:extLst>
            <a:ext uri="{63B3BB69-23CF-44E3-9099-C40C66FF867C}">
              <a14:compatExt xmlns:a14="http://schemas.microsoft.com/office/drawing/2010/main" spid="_x0000_s10274"/>
            </a:ext>
            <a:ext uri="{FF2B5EF4-FFF2-40B4-BE49-F238E27FC236}">
              <a16:creationId xmlns:a16="http://schemas.microsoft.com/office/drawing/2014/main" id="{EEF01310-582B-468D-A364-96D400B3A66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31</xdr:row>
      <xdr:rowOff>104775</xdr:rowOff>
    </xdr:from>
    <xdr:to>
      <xdr:col>11</xdr:col>
      <xdr:colOff>2686050</xdr:colOff>
      <xdr:row>32</xdr:row>
      <xdr:rowOff>123825</xdr:rowOff>
    </xdr:to>
    <xdr:sp macro="" textlink="">
      <xdr:nvSpPr>
        <xdr:cNvPr id="10275" name="Option Button 35" hidden="1">
          <a:extLst>
            <a:ext uri="{63B3BB69-23CF-44E3-9099-C40C66FF867C}">
              <a14:compatExt xmlns:a14="http://schemas.microsoft.com/office/drawing/2010/main" spid="_x0000_s10275"/>
            </a:ext>
            <a:ext uri="{FF2B5EF4-FFF2-40B4-BE49-F238E27FC236}">
              <a16:creationId xmlns:a16="http://schemas.microsoft.com/office/drawing/2014/main" id="{FD0F5156-478F-4086-ACC2-B9F61059256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37</xdr:row>
      <xdr:rowOff>28575</xdr:rowOff>
    </xdr:from>
    <xdr:to>
      <xdr:col>12</xdr:col>
      <xdr:colOff>19050</xdr:colOff>
      <xdr:row>39</xdr:row>
      <xdr:rowOff>28575</xdr:rowOff>
    </xdr:to>
    <xdr:sp macro="" textlink="">
      <xdr:nvSpPr>
        <xdr:cNvPr id="10276" name="Group Box 36" hidden="1">
          <a:extLst>
            <a:ext uri="{63B3BB69-23CF-44E3-9099-C40C66FF867C}">
              <a14:compatExt xmlns:a14="http://schemas.microsoft.com/office/drawing/2010/main" spid="_x0000_s10276"/>
            </a:ext>
            <a:ext uri="{FF2B5EF4-FFF2-40B4-BE49-F238E27FC236}">
              <a16:creationId xmlns:a16="http://schemas.microsoft.com/office/drawing/2014/main" id="{863FAFFE-6749-4EBD-9664-E242E379725F}"/>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37</xdr:row>
      <xdr:rowOff>104775</xdr:rowOff>
    </xdr:from>
    <xdr:to>
      <xdr:col>8</xdr:col>
      <xdr:colOff>2609850</xdr:colOff>
      <xdr:row>38</xdr:row>
      <xdr:rowOff>123825</xdr:rowOff>
    </xdr:to>
    <xdr:sp macro="" textlink="">
      <xdr:nvSpPr>
        <xdr:cNvPr id="10277" name="Option Button 37" hidden="1">
          <a:extLst>
            <a:ext uri="{63B3BB69-23CF-44E3-9099-C40C66FF867C}">
              <a14:compatExt xmlns:a14="http://schemas.microsoft.com/office/drawing/2010/main" spid="_x0000_s10277"/>
            </a:ext>
            <a:ext uri="{FF2B5EF4-FFF2-40B4-BE49-F238E27FC236}">
              <a16:creationId xmlns:a16="http://schemas.microsoft.com/office/drawing/2014/main" id="{8D59162D-90C2-44D8-A4D0-330E239CAFB5}"/>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37</xdr:row>
      <xdr:rowOff>104775</xdr:rowOff>
    </xdr:from>
    <xdr:to>
      <xdr:col>9</xdr:col>
      <xdr:colOff>2667000</xdr:colOff>
      <xdr:row>38</xdr:row>
      <xdr:rowOff>123825</xdr:rowOff>
    </xdr:to>
    <xdr:sp macro="" textlink="">
      <xdr:nvSpPr>
        <xdr:cNvPr id="10278" name="Option Button 38" hidden="1">
          <a:extLst>
            <a:ext uri="{63B3BB69-23CF-44E3-9099-C40C66FF867C}">
              <a14:compatExt xmlns:a14="http://schemas.microsoft.com/office/drawing/2010/main" spid="_x0000_s10278"/>
            </a:ext>
            <a:ext uri="{FF2B5EF4-FFF2-40B4-BE49-F238E27FC236}">
              <a16:creationId xmlns:a16="http://schemas.microsoft.com/office/drawing/2014/main" id="{BB61EE88-F46A-469C-9C94-B86797B28427}"/>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37</xdr:row>
      <xdr:rowOff>104775</xdr:rowOff>
    </xdr:from>
    <xdr:to>
      <xdr:col>10</xdr:col>
      <xdr:colOff>2609850</xdr:colOff>
      <xdr:row>38</xdr:row>
      <xdr:rowOff>123825</xdr:rowOff>
    </xdr:to>
    <xdr:sp macro="" textlink="">
      <xdr:nvSpPr>
        <xdr:cNvPr id="10279" name="Option Button 39" hidden="1">
          <a:extLst>
            <a:ext uri="{63B3BB69-23CF-44E3-9099-C40C66FF867C}">
              <a14:compatExt xmlns:a14="http://schemas.microsoft.com/office/drawing/2010/main" spid="_x0000_s10279"/>
            </a:ext>
            <a:ext uri="{FF2B5EF4-FFF2-40B4-BE49-F238E27FC236}">
              <a16:creationId xmlns:a16="http://schemas.microsoft.com/office/drawing/2014/main" id="{45DD9B1F-B63E-438D-9B4D-450DB7D1EA25}"/>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37</xdr:row>
      <xdr:rowOff>104775</xdr:rowOff>
    </xdr:from>
    <xdr:to>
      <xdr:col>11</xdr:col>
      <xdr:colOff>2686050</xdr:colOff>
      <xdr:row>38</xdr:row>
      <xdr:rowOff>123825</xdr:rowOff>
    </xdr:to>
    <xdr:sp macro="" textlink="">
      <xdr:nvSpPr>
        <xdr:cNvPr id="10280" name="Option Button 40" hidden="1">
          <a:extLst>
            <a:ext uri="{63B3BB69-23CF-44E3-9099-C40C66FF867C}">
              <a14:compatExt xmlns:a14="http://schemas.microsoft.com/office/drawing/2010/main" spid="_x0000_s10280"/>
            </a:ext>
            <a:ext uri="{FF2B5EF4-FFF2-40B4-BE49-F238E27FC236}">
              <a16:creationId xmlns:a16="http://schemas.microsoft.com/office/drawing/2014/main" id="{4B5B68DE-CDAC-4CE2-9C95-E2774EE09E2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42</xdr:row>
      <xdr:rowOff>28575</xdr:rowOff>
    </xdr:from>
    <xdr:to>
      <xdr:col>12</xdr:col>
      <xdr:colOff>19050</xdr:colOff>
      <xdr:row>44</xdr:row>
      <xdr:rowOff>28575</xdr:rowOff>
    </xdr:to>
    <xdr:sp macro="" textlink="">
      <xdr:nvSpPr>
        <xdr:cNvPr id="10281" name="Group Box 41" hidden="1">
          <a:extLst>
            <a:ext uri="{63B3BB69-23CF-44E3-9099-C40C66FF867C}">
              <a14:compatExt xmlns:a14="http://schemas.microsoft.com/office/drawing/2010/main" spid="_x0000_s10281"/>
            </a:ext>
            <a:ext uri="{FF2B5EF4-FFF2-40B4-BE49-F238E27FC236}">
              <a16:creationId xmlns:a16="http://schemas.microsoft.com/office/drawing/2014/main" id="{2CCE49A7-105B-4B43-AA65-1324825D8464}"/>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42</xdr:row>
      <xdr:rowOff>104775</xdr:rowOff>
    </xdr:from>
    <xdr:to>
      <xdr:col>8</xdr:col>
      <xdr:colOff>2609850</xdr:colOff>
      <xdr:row>43</xdr:row>
      <xdr:rowOff>123825</xdr:rowOff>
    </xdr:to>
    <xdr:sp macro="" textlink="">
      <xdr:nvSpPr>
        <xdr:cNvPr id="10282" name="Option Button 42" hidden="1">
          <a:extLst>
            <a:ext uri="{63B3BB69-23CF-44E3-9099-C40C66FF867C}">
              <a14:compatExt xmlns:a14="http://schemas.microsoft.com/office/drawing/2010/main" spid="_x0000_s10282"/>
            </a:ext>
            <a:ext uri="{FF2B5EF4-FFF2-40B4-BE49-F238E27FC236}">
              <a16:creationId xmlns:a16="http://schemas.microsoft.com/office/drawing/2014/main" id="{692A9443-5063-493C-9B1C-547B7C59C2A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42</xdr:row>
      <xdr:rowOff>104775</xdr:rowOff>
    </xdr:from>
    <xdr:to>
      <xdr:col>9</xdr:col>
      <xdr:colOff>2667000</xdr:colOff>
      <xdr:row>43</xdr:row>
      <xdr:rowOff>123825</xdr:rowOff>
    </xdr:to>
    <xdr:sp macro="" textlink="">
      <xdr:nvSpPr>
        <xdr:cNvPr id="10283" name="Option Button 43" hidden="1">
          <a:extLst>
            <a:ext uri="{63B3BB69-23CF-44E3-9099-C40C66FF867C}">
              <a14:compatExt xmlns:a14="http://schemas.microsoft.com/office/drawing/2010/main" spid="_x0000_s10283"/>
            </a:ext>
            <a:ext uri="{FF2B5EF4-FFF2-40B4-BE49-F238E27FC236}">
              <a16:creationId xmlns:a16="http://schemas.microsoft.com/office/drawing/2014/main" id="{D3141B8A-6726-4BE1-83AA-904F58F3541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42</xdr:row>
      <xdr:rowOff>104775</xdr:rowOff>
    </xdr:from>
    <xdr:to>
      <xdr:col>10</xdr:col>
      <xdr:colOff>2609850</xdr:colOff>
      <xdr:row>43</xdr:row>
      <xdr:rowOff>123825</xdr:rowOff>
    </xdr:to>
    <xdr:sp macro="" textlink="">
      <xdr:nvSpPr>
        <xdr:cNvPr id="10284" name="Option Button 44" hidden="1">
          <a:extLst>
            <a:ext uri="{63B3BB69-23CF-44E3-9099-C40C66FF867C}">
              <a14:compatExt xmlns:a14="http://schemas.microsoft.com/office/drawing/2010/main" spid="_x0000_s10284"/>
            </a:ext>
            <a:ext uri="{FF2B5EF4-FFF2-40B4-BE49-F238E27FC236}">
              <a16:creationId xmlns:a16="http://schemas.microsoft.com/office/drawing/2014/main" id="{1121C33E-E2AC-4FC1-858D-07262E67B14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42</xdr:row>
      <xdr:rowOff>104775</xdr:rowOff>
    </xdr:from>
    <xdr:to>
      <xdr:col>11</xdr:col>
      <xdr:colOff>2686050</xdr:colOff>
      <xdr:row>43</xdr:row>
      <xdr:rowOff>123825</xdr:rowOff>
    </xdr:to>
    <xdr:sp macro="" textlink="">
      <xdr:nvSpPr>
        <xdr:cNvPr id="10285" name="Option Button 45" hidden="1">
          <a:extLst>
            <a:ext uri="{63B3BB69-23CF-44E3-9099-C40C66FF867C}">
              <a14:compatExt xmlns:a14="http://schemas.microsoft.com/office/drawing/2010/main" spid="_x0000_s10285"/>
            </a:ext>
            <a:ext uri="{FF2B5EF4-FFF2-40B4-BE49-F238E27FC236}">
              <a16:creationId xmlns:a16="http://schemas.microsoft.com/office/drawing/2014/main" id="{21DE81FA-A9D4-45F1-982F-44169EA67971}"/>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56</xdr:row>
      <xdr:rowOff>28575</xdr:rowOff>
    </xdr:from>
    <xdr:to>
      <xdr:col>12</xdr:col>
      <xdr:colOff>19050</xdr:colOff>
      <xdr:row>58</xdr:row>
      <xdr:rowOff>28575</xdr:rowOff>
    </xdr:to>
    <xdr:sp macro="" textlink="">
      <xdr:nvSpPr>
        <xdr:cNvPr id="10286" name="Group Box 46" hidden="1">
          <a:extLst>
            <a:ext uri="{63B3BB69-23CF-44E3-9099-C40C66FF867C}">
              <a14:compatExt xmlns:a14="http://schemas.microsoft.com/office/drawing/2010/main" spid="_x0000_s10286"/>
            </a:ext>
            <a:ext uri="{FF2B5EF4-FFF2-40B4-BE49-F238E27FC236}">
              <a16:creationId xmlns:a16="http://schemas.microsoft.com/office/drawing/2014/main" id="{C9016EEA-9B16-446F-AFB8-6F6FA24841AB}"/>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56</xdr:row>
      <xdr:rowOff>104775</xdr:rowOff>
    </xdr:from>
    <xdr:to>
      <xdr:col>8</xdr:col>
      <xdr:colOff>2609850</xdr:colOff>
      <xdr:row>57</xdr:row>
      <xdr:rowOff>123825</xdr:rowOff>
    </xdr:to>
    <xdr:sp macro="" textlink="">
      <xdr:nvSpPr>
        <xdr:cNvPr id="10287" name="Option Button 47" hidden="1">
          <a:extLst>
            <a:ext uri="{63B3BB69-23CF-44E3-9099-C40C66FF867C}">
              <a14:compatExt xmlns:a14="http://schemas.microsoft.com/office/drawing/2010/main" spid="_x0000_s10287"/>
            </a:ext>
            <a:ext uri="{FF2B5EF4-FFF2-40B4-BE49-F238E27FC236}">
              <a16:creationId xmlns:a16="http://schemas.microsoft.com/office/drawing/2014/main" id="{04F762D3-A83A-4D78-A5A7-C46B45299312}"/>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56</xdr:row>
      <xdr:rowOff>104775</xdr:rowOff>
    </xdr:from>
    <xdr:to>
      <xdr:col>9</xdr:col>
      <xdr:colOff>2667000</xdr:colOff>
      <xdr:row>57</xdr:row>
      <xdr:rowOff>123825</xdr:rowOff>
    </xdr:to>
    <xdr:sp macro="" textlink="">
      <xdr:nvSpPr>
        <xdr:cNvPr id="10288" name="Option Button 48" hidden="1">
          <a:extLst>
            <a:ext uri="{63B3BB69-23CF-44E3-9099-C40C66FF867C}">
              <a14:compatExt xmlns:a14="http://schemas.microsoft.com/office/drawing/2010/main" spid="_x0000_s10288"/>
            </a:ext>
            <a:ext uri="{FF2B5EF4-FFF2-40B4-BE49-F238E27FC236}">
              <a16:creationId xmlns:a16="http://schemas.microsoft.com/office/drawing/2014/main" id="{9120C08E-769C-477D-89A4-0361FA92AF6A}"/>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56</xdr:row>
      <xdr:rowOff>104775</xdr:rowOff>
    </xdr:from>
    <xdr:to>
      <xdr:col>10</xdr:col>
      <xdr:colOff>2609850</xdr:colOff>
      <xdr:row>57</xdr:row>
      <xdr:rowOff>123825</xdr:rowOff>
    </xdr:to>
    <xdr:sp macro="" textlink="">
      <xdr:nvSpPr>
        <xdr:cNvPr id="10289" name="Option Button 49" hidden="1">
          <a:extLst>
            <a:ext uri="{63B3BB69-23CF-44E3-9099-C40C66FF867C}">
              <a14:compatExt xmlns:a14="http://schemas.microsoft.com/office/drawing/2010/main" spid="_x0000_s10289"/>
            </a:ext>
            <a:ext uri="{FF2B5EF4-FFF2-40B4-BE49-F238E27FC236}">
              <a16:creationId xmlns:a16="http://schemas.microsoft.com/office/drawing/2014/main" id="{ED6AE13C-D677-4713-BA07-FEA2DBD5F00E}"/>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56</xdr:row>
      <xdr:rowOff>104775</xdr:rowOff>
    </xdr:from>
    <xdr:to>
      <xdr:col>11</xdr:col>
      <xdr:colOff>2686050</xdr:colOff>
      <xdr:row>57</xdr:row>
      <xdr:rowOff>123825</xdr:rowOff>
    </xdr:to>
    <xdr:sp macro="" textlink="">
      <xdr:nvSpPr>
        <xdr:cNvPr id="10290" name="Option Button 50" hidden="1">
          <a:extLst>
            <a:ext uri="{63B3BB69-23CF-44E3-9099-C40C66FF867C}">
              <a14:compatExt xmlns:a14="http://schemas.microsoft.com/office/drawing/2010/main" spid="_x0000_s10290"/>
            </a:ext>
            <a:ext uri="{FF2B5EF4-FFF2-40B4-BE49-F238E27FC236}">
              <a16:creationId xmlns:a16="http://schemas.microsoft.com/office/drawing/2014/main" id="{DA2785C3-A535-44CC-B16D-A829BD555074}"/>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60</xdr:row>
      <xdr:rowOff>28575</xdr:rowOff>
    </xdr:from>
    <xdr:to>
      <xdr:col>12</xdr:col>
      <xdr:colOff>19050</xdr:colOff>
      <xdr:row>62</xdr:row>
      <xdr:rowOff>28575</xdr:rowOff>
    </xdr:to>
    <xdr:sp macro="" textlink="">
      <xdr:nvSpPr>
        <xdr:cNvPr id="10291" name="Group Box 51" hidden="1">
          <a:extLst>
            <a:ext uri="{63B3BB69-23CF-44E3-9099-C40C66FF867C}">
              <a14:compatExt xmlns:a14="http://schemas.microsoft.com/office/drawing/2010/main" spid="_x0000_s10291"/>
            </a:ext>
            <a:ext uri="{FF2B5EF4-FFF2-40B4-BE49-F238E27FC236}">
              <a16:creationId xmlns:a16="http://schemas.microsoft.com/office/drawing/2014/main" id="{1FCC570E-D061-4093-94AA-0E3221AE9295}"/>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60</xdr:row>
      <xdr:rowOff>104775</xdr:rowOff>
    </xdr:from>
    <xdr:to>
      <xdr:col>8</xdr:col>
      <xdr:colOff>2609850</xdr:colOff>
      <xdr:row>61</xdr:row>
      <xdr:rowOff>123825</xdr:rowOff>
    </xdr:to>
    <xdr:sp macro="" textlink="">
      <xdr:nvSpPr>
        <xdr:cNvPr id="10292" name="Option Button 52" hidden="1">
          <a:extLst>
            <a:ext uri="{63B3BB69-23CF-44E3-9099-C40C66FF867C}">
              <a14:compatExt xmlns:a14="http://schemas.microsoft.com/office/drawing/2010/main" spid="_x0000_s10292"/>
            </a:ext>
            <a:ext uri="{FF2B5EF4-FFF2-40B4-BE49-F238E27FC236}">
              <a16:creationId xmlns:a16="http://schemas.microsoft.com/office/drawing/2014/main" id="{915FCACA-A9D7-4C84-8803-306B2D037E3A}"/>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60</xdr:row>
      <xdr:rowOff>104775</xdr:rowOff>
    </xdr:from>
    <xdr:to>
      <xdr:col>9</xdr:col>
      <xdr:colOff>2667000</xdr:colOff>
      <xdr:row>61</xdr:row>
      <xdr:rowOff>123825</xdr:rowOff>
    </xdr:to>
    <xdr:sp macro="" textlink="">
      <xdr:nvSpPr>
        <xdr:cNvPr id="10293" name="Option Button 53" hidden="1">
          <a:extLst>
            <a:ext uri="{63B3BB69-23CF-44E3-9099-C40C66FF867C}">
              <a14:compatExt xmlns:a14="http://schemas.microsoft.com/office/drawing/2010/main" spid="_x0000_s10293"/>
            </a:ext>
            <a:ext uri="{FF2B5EF4-FFF2-40B4-BE49-F238E27FC236}">
              <a16:creationId xmlns:a16="http://schemas.microsoft.com/office/drawing/2014/main" id="{49B2B4C2-F13C-467F-BEDD-ECF0E09BB9DC}"/>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60</xdr:row>
      <xdr:rowOff>104775</xdr:rowOff>
    </xdr:from>
    <xdr:to>
      <xdr:col>10</xdr:col>
      <xdr:colOff>2609850</xdr:colOff>
      <xdr:row>61</xdr:row>
      <xdr:rowOff>123825</xdr:rowOff>
    </xdr:to>
    <xdr:sp macro="" textlink="">
      <xdr:nvSpPr>
        <xdr:cNvPr id="10294" name="Option Button 54" hidden="1">
          <a:extLst>
            <a:ext uri="{63B3BB69-23CF-44E3-9099-C40C66FF867C}">
              <a14:compatExt xmlns:a14="http://schemas.microsoft.com/office/drawing/2010/main" spid="_x0000_s10294"/>
            </a:ext>
            <a:ext uri="{FF2B5EF4-FFF2-40B4-BE49-F238E27FC236}">
              <a16:creationId xmlns:a16="http://schemas.microsoft.com/office/drawing/2014/main" id="{05A569C7-5252-4AAF-B103-F10F8B0C07A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60</xdr:row>
      <xdr:rowOff>104775</xdr:rowOff>
    </xdr:from>
    <xdr:to>
      <xdr:col>11</xdr:col>
      <xdr:colOff>2686050</xdr:colOff>
      <xdr:row>61</xdr:row>
      <xdr:rowOff>123825</xdr:rowOff>
    </xdr:to>
    <xdr:sp macro="" textlink="">
      <xdr:nvSpPr>
        <xdr:cNvPr id="10295" name="Option Button 55" hidden="1">
          <a:extLst>
            <a:ext uri="{63B3BB69-23CF-44E3-9099-C40C66FF867C}">
              <a14:compatExt xmlns:a14="http://schemas.microsoft.com/office/drawing/2010/main" spid="_x0000_s10295"/>
            </a:ext>
            <a:ext uri="{FF2B5EF4-FFF2-40B4-BE49-F238E27FC236}">
              <a16:creationId xmlns:a16="http://schemas.microsoft.com/office/drawing/2014/main" id="{7C5C0497-B666-44A0-915F-7CB02A4B4F68}"/>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63</xdr:row>
      <xdr:rowOff>28575</xdr:rowOff>
    </xdr:from>
    <xdr:to>
      <xdr:col>12</xdr:col>
      <xdr:colOff>19050</xdr:colOff>
      <xdr:row>65</xdr:row>
      <xdr:rowOff>38100</xdr:rowOff>
    </xdr:to>
    <xdr:sp macro="" textlink="">
      <xdr:nvSpPr>
        <xdr:cNvPr id="10296" name="Group Box 56" hidden="1">
          <a:extLst>
            <a:ext uri="{63B3BB69-23CF-44E3-9099-C40C66FF867C}">
              <a14:compatExt xmlns:a14="http://schemas.microsoft.com/office/drawing/2010/main" spid="_x0000_s10296"/>
            </a:ext>
            <a:ext uri="{FF2B5EF4-FFF2-40B4-BE49-F238E27FC236}">
              <a16:creationId xmlns:a16="http://schemas.microsoft.com/office/drawing/2014/main" id="{000CE7C3-DE43-4008-B91F-33410573B3F5}"/>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63</xdr:row>
      <xdr:rowOff>104775</xdr:rowOff>
    </xdr:from>
    <xdr:to>
      <xdr:col>8</xdr:col>
      <xdr:colOff>2609850</xdr:colOff>
      <xdr:row>64</xdr:row>
      <xdr:rowOff>123825</xdr:rowOff>
    </xdr:to>
    <xdr:sp macro="" textlink="">
      <xdr:nvSpPr>
        <xdr:cNvPr id="10297" name="Option Button 57" hidden="1">
          <a:extLst>
            <a:ext uri="{63B3BB69-23CF-44E3-9099-C40C66FF867C}">
              <a14:compatExt xmlns:a14="http://schemas.microsoft.com/office/drawing/2010/main" spid="_x0000_s10297"/>
            </a:ext>
            <a:ext uri="{FF2B5EF4-FFF2-40B4-BE49-F238E27FC236}">
              <a16:creationId xmlns:a16="http://schemas.microsoft.com/office/drawing/2014/main" id="{128B5E11-21E5-485F-92FD-11064CE4743F}"/>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63</xdr:row>
      <xdr:rowOff>104775</xdr:rowOff>
    </xdr:from>
    <xdr:to>
      <xdr:col>9</xdr:col>
      <xdr:colOff>2667000</xdr:colOff>
      <xdr:row>64</xdr:row>
      <xdr:rowOff>123825</xdr:rowOff>
    </xdr:to>
    <xdr:sp macro="" textlink="">
      <xdr:nvSpPr>
        <xdr:cNvPr id="10298" name="Option Button 58" hidden="1">
          <a:extLst>
            <a:ext uri="{63B3BB69-23CF-44E3-9099-C40C66FF867C}">
              <a14:compatExt xmlns:a14="http://schemas.microsoft.com/office/drawing/2010/main" spid="_x0000_s10298"/>
            </a:ext>
            <a:ext uri="{FF2B5EF4-FFF2-40B4-BE49-F238E27FC236}">
              <a16:creationId xmlns:a16="http://schemas.microsoft.com/office/drawing/2014/main" id="{08A95273-8FF7-4AB4-A00A-CE0ABAAD46A5}"/>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63</xdr:row>
      <xdr:rowOff>104775</xdr:rowOff>
    </xdr:from>
    <xdr:to>
      <xdr:col>10</xdr:col>
      <xdr:colOff>2609850</xdr:colOff>
      <xdr:row>64</xdr:row>
      <xdr:rowOff>123825</xdr:rowOff>
    </xdr:to>
    <xdr:sp macro="" textlink="">
      <xdr:nvSpPr>
        <xdr:cNvPr id="10299" name="Option Button 59" hidden="1">
          <a:extLst>
            <a:ext uri="{63B3BB69-23CF-44E3-9099-C40C66FF867C}">
              <a14:compatExt xmlns:a14="http://schemas.microsoft.com/office/drawing/2010/main" spid="_x0000_s10299"/>
            </a:ext>
            <a:ext uri="{FF2B5EF4-FFF2-40B4-BE49-F238E27FC236}">
              <a16:creationId xmlns:a16="http://schemas.microsoft.com/office/drawing/2014/main" id="{B79EE8D5-4664-4D80-83AE-FED5BCA1BB1E}"/>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63</xdr:row>
      <xdr:rowOff>104775</xdr:rowOff>
    </xdr:from>
    <xdr:to>
      <xdr:col>11</xdr:col>
      <xdr:colOff>2686050</xdr:colOff>
      <xdr:row>64</xdr:row>
      <xdr:rowOff>123825</xdr:rowOff>
    </xdr:to>
    <xdr:sp macro="" textlink="">
      <xdr:nvSpPr>
        <xdr:cNvPr id="10300" name="Option Button 60" hidden="1">
          <a:extLst>
            <a:ext uri="{63B3BB69-23CF-44E3-9099-C40C66FF867C}">
              <a14:compatExt xmlns:a14="http://schemas.microsoft.com/office/drawing/2010/main" spid="_x0000_s10300"/>
            </a:ext>
            <a:ext uri="{FF2B5EF4-FFF2-40B4-BE49-F238E27FC236}">
              <a16:creationId xmlns:a16="http://schemas.microsoft.com/office/drawing/2014/main" id="{21DFA540-0CD3-4088-BF9E-CBBDF63FE82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15</xdr:row>
      <xdr:rowOff>28575</xdr:rowOff>
    </xdr:from>
    <xdr:to>
      <xdr:col>12</xdr:col>
      <xdr:colOff>19050</xdr:colOff>
      <xdr:row>17</xdr:row>
      <xdr:rowOff>38100</xdr:rowOff>
    </xdr:to>
    <xdr:sp macro="" textlink="">
      <xdr:nvSpPr>
        <xdr:cNvPr id="10301" name="Group Box 61" hidden="1">
          <a:extLst>
            <a:ext uri="{63B3BB69-23CF-44E3-9099-C40C66FF867C}">
              <a14:compatExt xmlns:a14="http://schemas.microsoft.com/office/drawing/2010/main" spid="_x0000_s10301"/>
            </a:ext>
            <a:ext uri="{FF2B5EF4-FFF2-40B4-BE49-F238E27FC236}">
              <a16:creationId xmlns:a16="http://schemas.microsoft.com/office/drawing/2014/main" id="{8A1358AF-39F1-46FD-A660-9664B5A7F5DD}"/>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15</xdr:row>
      <xdr:rowOff>104775</xdr:rowOff>
    </xdr:from>
    <xdr:to>
      <xdr:col>8</xdr:col>
      <xdr:colOff>2609850</xdr:colOff>
      <xdr:row>16</xdr:row>
      <xdr:rowOff>123825</xdr:rowOff>
    </xdr:to>
    <xdr:sp macro="" textlink="">
      <xdr:nvSpPr>
        <xdr:cNvPr id="10302" name="Option Button 62" hidden="1">
          <a:extLst>
            <a:ext uri="{63B3BB69-23CF-44E3-9099-C40C66FF867C}">
              <a14:compatExt xmlns:a14="http://schemas.microsoft.com/office/drawing/2010/main" spid="_x0000_s10302"/>
            </a:ext>
            <a:ext uri="{FF2B5EF4-FFF2-40B4-BE49-F238E27FC236}">
              <a16:creationId xmlns:a16="http://schemas.microsoft.com/office/drawing/2014/main" id="{087DED41-80BB-4F50-B231-E4FD750F60B9}"/>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15</xdr:row>
      <xdr:rowOff>104775</xdr:rowOff>
    </xdr:from>
    <xdr:to>
      <xdr:col>9</xdr:col>
      <xdr:colOff>2667000</xdr:colOff>
      <xdr:row>16</xdr:row>
      <xdr:rowOff>123825</xdr:rowOff>
    </xdr:to>
    <xdr:sp macro="" textlink="">
      <xdr:nvSpPr>
        <xdr:cNvPr id="10303" name="Option Button 63" hidden="1">
          <a:extLst>
            <a:ext uri="{63B3BB69-23CF-44E3-9099-C40C66FF867C}">
              <a14:compatExt xmlns:a14="http://schemas.microsoft.com/office/drawing/2010/main" spid="_x0000_s10303"/>
            </a:ext>
            <a:ext uri="{FF2B5EF4-FFF2-40B4-BE49-F238E27FC236}">
              <a16:creationId xmlns:a16="http://schemas.microsoft.com/office/drawing/2014/main" id="{27141253-24B8-41A1-9C44-B8BF8ADE103E}"/>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15</xdr:row>
      <xdr:rowOff>104775</xdr:rowOff>
    </xdr:from>
    <xdr:to>
      <xdr:col>10</xdr:col>
      <xdr:colOff>2609850</xdr:colOff>
      <xdr:row>16</xdr:row>
      <xdr:rowOff>123825</xdr:rowOff>
    </xdr:to>
    <xdr:sp macro="" textlink="">
      <xdr:nvSpPr>
        <xdr:cNvPr id="10304" name="Option Button 64" hidden="1">
          <a:extLst>
            <a:ext uri="{63B3BB69-23CF-44E3-9099-C40C66FF867C}">
              <a14:compatExt xmlns:a14="http://schemas.microsoft.com/office/drawing/2010/main" spid="_x0000_s10304"/>
            </a:ext>
            <a:ext uri="{FF2B5EF4-FFF2-40B4-BE49-F238E27FC236}">
              <a16:creationId xmlns:a16="http://schemas.microsoft.com/office/drawing/2014/main" id="{01BBA67C-721C-4FD4-A31A-A0BAD837755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15</xdr:row>
      <xdr:rowOff>104775</xdr:rowOff>
    </xdr:from>
    <xdr:to>
      <xdr:col>11</xdr:col>
      <xdr:colOff>2686050</xdr:colOff>
      <xdr:row>16</xdr:row>
      <xdr:rowOff>123825</xdr:rowOff>
    </xdr:to>
    <xdr:sp macro="" textlink="">
      <xdr:nvSpPr>
        <xdr:cNvPr id="10305" name="Option Button 65" hidden="1">
          <a:extLst>
            <a:ext uri="{63B3BB69-23CF-44E3-9099-C40C66FF867C}">
              <a14:compatExt xmlns:a14="http://schemas.microsoft.com/office/drawing/2010/main" spid="_x0000_s10305"/>
            </a:ext>
            <a:ext uri="{FF2B5EF4-FFF2-40B4-BE49-F238E27FC236}">
              <a16:creationId xmlns:a16="http://schemas.microsoft.com/office/drawing/2014/main" id="{3FB3CC98-E027-4178-B855-37EA58FC2123}"/>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oneCellAnchor>
    <xdr:from>
      <xdr:col>8</xdr:col>
      <xdr:colOff>57150</xdr:colOff>
      <xdr:row>44</xdr:row>
      <xdr:rowOff>28575</xdr:rowOff>
    </xdr:from>
    <xdr:ext cx="13420725" cy="381000"/>
    <xdr:sp macro="" textlink="">
      <xdr:nvSpPr>
        <xdr:cNvPr id="10306" name="Group Box 66" hidden="1">
          <a:extLst>
            <a:ext uri="{63B3BB69-23CF-44E3-9099-C40C66FF867C}">
              <a14:compatExt xmlns:a14="http://schemas.microsoft.com/office/drawing/2010/main" spid="_x0000_s10306"/>
            </a:ext>
            <a:ext uri="{FF2B5EF4-FFF2-40B4-BE49-F238E27FC236}">
              <a16:creationId xmlns:a16="http://schemas.microsoft.com/office/drawing/2014/main" id="{931BA8D5-BE32-4D21-BB37-4702F8B390C4}"/>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oneCellAnchor>
  <xdr:oneCellAnchor>
    <xdr:from>
      <xdr:col>8</xdr:col>
      <xdr:colOff>1562100</xdr:colOff>
      <xdr:row>44</xdr:row>
      <xdr:rowOff>104775</xdr:rowOff>
    </xdr:from>
    <xdr:ext cx="1047750" cy="209550"/>
    <xdr:sp macro="" textlink="">
      <xdr:nvSpPr>
        <xdr:cNvPr id="10307" name="Option Button 67" hidden="1">
          <a:extLst>
            <a:ext uri="{63B3BB69-23CF-44E3-9099-C40C66FF867C}">
              <a14:compatExt xmlns:a14="http://schemas.microsoft.com/office/drawing/2010/main" spid="_x0000_s10307"/>
            </a:ext>
            <a:ext uri="{FF2B5EF4-FFF2-40B4-BE49-F238E27FC236}">
              <a16:creationId xmlns:a16="http://schemas.microsoft.com/office/drawing/2014/main" id="{10730A81-A136-488B-B8C9-076B8BB6AF96}"/>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9</xdr:col>
      <xdr:colOff>1619250</xdr:colOff>
      <xdr:row>44</xdr:row>
      <xdr:rowOff>104775</xdr:rowOff>
    </xdr:from>
    <xdr:ext cx="1047750" cy="209550"/>
    <xdr:sp macro="" textlink="">
      <xdr:nvSpPr>
        <xdr:cNvPr id="10308" name="Option Button 68" hidden="1">
          <a:extLst>
            <a:ext uri="{63B3BB69-23CF-44E3-9099-C40C66FF867C}">
              <a14:compatExt xmlns:a14="http://schemas.microsoft.com/office/drawing/2010/main" spid="_x0000_s10308"/>
            </a:ext>
            <a:ext uri="{FF2B5EF4-FFF2-40B4-BE49-F238E27FC236}">
              <a16:creationId xmlns:a16="http://schemas.microsoft.com/office/drawing/2014/main" id="{B743537B-CD79-478D-BFC9-B8D94D369902}"/>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1562100</xdr:colOff>
      <xdr:row>44</xdr:row>
      <xdr:rowOff>104775</xdr:rowOff>
    </xdr:from>
    <xdr:ext cx="1047750" cy="209550"/>
    <xdr:sp macro="" textlink="">
      <xdr:nvSpPr>
        <xdr:cNvPr id="10309" name="Option Button 69" hidden="1">
          <a:extLst>
            <a:ext uri="{63B3BB69-23CF-44E3-9099-C40C66FF867C}">
              <a14:compatExt xmlns:a14="http://schemas.microsoft.com/office/drawing/2010/main" spid="_x0000_s10309"/>
            </a:ext>
            <a:ext uri="{FF2B5EF4-FFF2-40B4-BE49-F238E27FC236}">
              <a16:creationId xmlns:a16="http://schemas.microsoft.com/office/drawing/2014/main" id="{7FABD81D-8401-4DD6-BC35-5C26C7CF0F81}"/>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11</xdr:col>
      <xdr:colOff>1638300</xdr:colOff>
      <xdr:row>44</xdr:row>
      <xdr:rowOff>104775</xdr:rowOff>
    </xdr:from>
    <xdr:ext cx="1047750" cy="209550"/>
    <xdr:sp macro="" textlink="">
      <xdr:nvSpPr>
        <xdr:cNvPr id="10310" name="Option Button 70" hidden="1">
          <a:extLst>
            <a:ext uri="{63B3BB69-23CF-44E3-9099-C40C66FF867C}">
              <a14:compatExt xmlns:a14="http://schemas.microsoft.com/office/drawing/2010/main" spid="_x0000_s10310"/>
            </a:ext>
            <a:ext uri="{FF2B5EF4-FFF2-40B4-BE49-F238E27FC236}">
              <a16:creationId xmlns:a16="http://schemas.microsoft.com/office/drawing/2014/main" id="{9AD7AB13-0CEE-40B3-A2D2-BE5429E82B44}"/>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10</xdr:col>
      <xdr:colOff>0</xdr:colOff>
      <xdr:row>9</xdr:row>
      <xdr:rowOff>0</xdr:rowOff>
    </xdr:from>
    <xdr:to>
      <xdr:col>32</xdr:col>
      <xdr:colOff>6350</xdr:colOff>
      <xdr:row>9</xdr:row>
      <xdr:rowOff>381000</xdr:rowOff>
    </xdr:to>
    <xdr:sp macro="" textlink="">
      <xdr:nvSpPr>
        <xdr:cNvPr id="2068" name="Group Box 20" hidden="1">
          <a:extLst>
            <a:ext uri="{63B3BB69-23CF-44E3-9099-C40C66FF867C}">
              <a14:compatExt xmlns:a14="http://schemas.microsoft.com/office/drawing/2010/main"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78" name="Option Button 30" hidden="1">
          <a:extLst>
            <a:ext uri="{63B3BB69-23CF-44E3-9099-C40C66FF867C}">
              <a14:compatExt xmlns:a14="http://schemas.microsoft.com/office/drawing/2010/main" spid="_x0000_s2078"/>
            </a:ext>
            <a:ext uri="{FF2B5EF4-FFF2-40B4-BE49-F238E27FC236}">
              <a16:creationId xmlns:a16="http://schemas.microsoft.com/office/drawing/2014/main" id="{00000000-0008-0000-0200-00001E080000}"/>
            </a:ext>
            <a:ext uri="{147F2762-F138-4A5C-976F-8EAC2B608ADB}">
              <a16:predDERef xmlns:a16="http://schemas.microsoft.com/office/drawing/2014/main" pred="{00000000-0008-0000-0200-000014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0" name="Option Button 32" hidden="1">
          <a:extLst>
            <a:ext uri="{63B3BB69-23CF-44E3-9099-C40C66FF867C}">
              <a14:compatExt xmlns:a14="http://schemas.microsoft.com/office/drawing/2010/main" spid="_x0000_s2080"/>
            </a:ext>
            <a:ext uri="{FF2B5EF4-FFF2-40B4-BE49-F238E27FC236}">
              <a16:creationId xmlns:a16="http://schemas.microsoft.com/office/drawing/2014/main" id="{00000000-0008-0000-0200-000020080000}"/>
            </a:ext>
            <a:ext uri="{147F2762-F138-4A5C-976F-8EAC2B608ADB}">
              <a16:predDERef xmlns:a16="http://schemas.microsoft.com/office/drawing/2014/main" pred="{00000000-0008-0000-0200-00001E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2" name="Option Button 34" hidden="1">
          <a:extLst>
            <a:ext uri="{63B3BB69-23CF-44E3-9099-C40C66FF867C}">
              <a14:compatExt xmlns:a14="http://schemas.microsoft.com/office/drawing/2010/main" spid="_x0000_s2082"/>
            </a:ext>
            <a:ext uri="{FF2B5EF4-FFF2-40B4-BE49-F238E27FC236}">
              <a16:creationId xmlns:a16="http://schemas.microsoft.com/office/drawing/2014/main" id="{00000000-0008-0000-0200-000022080000}"/>
            </a:ext>
            <a:ext uri="{147F2762-F138-4A5C-976F-8EAC2B608ADB}">
              <a16:predDERef xmlns:a16="http://schemas.microsoft.com/office/drawing/2014/main" pred="{00000000-0008-0000-0200-000020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4" name="Option Button 36" hidden="1">
          <a:extLst>
            <a:ext uri="{63B3BB69-23CF-44E3-9099-C40C66FF867C}">
              <a14:compatExt xmlns:a14="http://schemas.microsoft.com/office/drawing/2010/main" spid="_x0000_s2084"/>
            </a:ext>
            <a:ext uri="{FF2B5EF4-FFF2-40B4-BE49-F238E27FC236}">
              <a16:creationId xmlns:a16="http://schemas.microsoft.com/office/drawing/2014/main" id="{00000000-0008-0000-0200-000024080000}"/>
            </a:ext>
            <a:ext uri="{147F2762-F138-4A5C-976F-8EAC2B608ADB}">
              <a16:predDERef xmlns:a16="http://schemas.microsoft.com/office/drawing/2014/main" pred="{00000000-0008-0000-0200-000022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32</xdr:col>
      <xdr:colOff>6350</xdr:colOff>
      <xdr:row>24</xdr:row>
      <xdr:rowOff>63500</xdr:rowOff>
    </xdr:to>
    <xdr:sp macro="" textlink="">
      <xdr:nvSpPr>
        <xdr:cNvPr id="2085" name="Group Box 37" hidden="1">
          <a:extLst>
            <a:ext uri="{63B3BB69-23CF-44E3-9099-C40C66FF867C}">
              <a14:compatExt xmlns:a14="http://schemas.microsoft.com/office/drawing/2010/main" spid="_x0000_s2085"/>
            </a:ext>
            <a:ext uri="{FF2B5EF4-FFF2-40B4-BE49-F238E27FC236}">
              <a16:creationId xmlns:a16="http://schemas.microsoft.com/office/drawing/2014/main" id="{00000000-0008-0000-0200-000025080000}"/>
            </a:ext>
            <a:ext uri="{147F2762-F138-4A5C-976F-8EAC2B608ADB}">
              <a16:predDERef xmlns:a16="http://schemas.microsoft.com/office/drawing/2014/main" pred="{00000000-0008-0000-0200-000024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23</xdr:row>
      <xdr:rowOff>0</xdr:rowOff>
    </xdr:from>
    <xdr:to>
      <xdr:col>32</xdr:col>
      <xdr:colOff>6350</xdr:colOff>
      <xdr:row>24</xdr:row>
      <xdr:rowOff>63500</xdr:rowOff>
    </xdr:to>
    <xdr:sp macro="" textlink="">
      <xdr:nvSpPr>
        <xdr:cNvPr id="2090" name="Group Box 42" hidden="1">
          <a:extLst>
            <a:ext uri="{63B3BB69-23CF-44E3-9099-C40C66FF867C}">
              <a14:compatExt xmlns:a14="http://schemas.microsoft.com/office/drawing/2010/main" spid="_x0000_s2090"/>
            </a:ext>
            <a:ext uri="{FF2B5EF4-FFF2-40B4-BE49-F238E27FC236}">
              <a16:creationId xmlns:a16="http://schemas.microsoft.com/office/drawing/2014/main" id="{00000000-0008-0000-0200-00002A080000}"/>
            </a:ext>
            <a:ext uri="{147F2762-F138-4A5C-976F-8EAC2B608ADB}">
              <a16:predDERef xmlns:a16="http://schemas.microsoft.com/office/drawing/2014/main" pred="{00000000-0008-0000-0200-000025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099" name="Option Button 51" hidden="1">
          <a:extLst>
            <a:ext uri="{63B3BB69-23CF-44E3-9099-C40C66FF867C}">
              <a14:compatExt xmlns:a14="http://schemas.microsoft.com/office/drawing/2010/main" spid="_x0000_s2099"/>
            </a:ext>
            <a:ext uri="{FF2B5EF4-FFF2-40B4-BE49-F238E27FC236}">
              <a16:creationId xmlns:a16="http://schemas.microsoft.com/office/drawing/2014/main" id="{00000000-0008-0000-0200-000033080000}"/>
            </a:ext>
            <a:ext uri="{147F2762-F138-4A5C-976F-8EAC2B608ADB}">
              <a16:predDERef xmlns:a16="http://schemas.microsoft.com/office/drawing/2014/main" pred="{00000000-0008-0000-0200-00002A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0" name="Option Button 52" hidden="1">
          <a:extLst>
            <a:ext uri="{63B3BB69-23CF-44E3-9099-C40C66FF867C}">
              <a14:compatExt xmlns:a14="http://schemas.microsoft.com/office/drawing/2010/main" spid="_x0000_s2100"/>
            </a:ext>
            <a:ext uri="{FF2B5EF4-FFF2-40B4-BE49-F238E27FC236}">
              <a16:creationId xmlns:a16="http://schemas.microsoft.com/office/drawing/2014/main" id="{00000000-0008-0000-0200-000034080000}"/>
            </a:ext>
            <a:ext uri="{147F2762-F138-4A5C-976F-8EAC2B608ADB}">
              <a16:predDERef xmlns:a16="http://schemas.microsoft.com/office/drawing/2014/main" pred="{00000000-0008-0000-0200-000033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1" name="Option Button 53" hidden="1">
          <a:extLst>
            <a:ext uri="{63B3BB69-23CF-44E3-9099-C40C66FF867C}">
              <a14:compatExt xmlns:a14="http://schemas.microsoft.com/office/drawing/2010/main" spid="_x0000_s2101"/>
            </a:ext>
            <a:ext uri="{FF2B5EF4-FFF2-40B4-BE49-F238E27FC236}">
              <a16:creationId xmlns:a16="http://schemas.microsoft.com/office/drawing/2014/main" id="{00000000-0008-0000-0200-000035080000}"/>
            </a:ext>
            <a:ext uri="{147F2762-F138-4A5C-976F-8EAC2B608ADB}">
              <a16:predDERef xmlns:a16="http://schemas.microsoft.com/office/drawing/2014/main" pred="{00000000-0008-0000-0200-000034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2" name="Option Button 54" hidden="1">
          <a:extLst>
            <a:ext uri="{63B3BB69-23CF-44E3-9099-C40C66FF867C}">
              <a14:compatExt xmlns:a14="http://schemas.microsoft.com/office/drawing/2010/main" spid="_x0000_s2102"/>
            </a:ext>
            <a:ext uri="{FF2B5EF4-FFF2-40B4-BE49-F238E27FC236}">
              <a16:creationId xmlns:a16="http://schemas.microsoft.com/office/drawing/2014/main" id="{00000000-0008-0000-0200-000036080000}"/>
            </a:ext>
            <a:ext uri="{147F2762-F138-4A5C-976F-8EAC2B608ADB}">
              <a16:predDERef xmlns:a16="http://schemas.microsoft.com/office/drawing/2014/main" pred="{00000000-0008-0000-0200-000035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7" name="Option Button 59" hidden="1">
          <a:extLst>
            <a:ext uri="{63B3BB69-23CF-44E3-9099-C40C66FF867C}">
              <a14:compatExt xmlns:a14="http://schemas.microsoft.com/office/drawing/2010/main" spid="_x0000_s2107"/>
            </a:ext>
            <a:ext uri="{FF2B5EF4-FFF2-40B4-BE49-F238E27FC236}">
              <a16:creationId xmlns:a16="http://schemas.microsoft.com/office/drawing/2014/main" id="{00000000-0008-0000-0200-00003B080000}"/>
            </a:ext>
            <a:ext uri="{147F2762-F138-4A5C-976F-8EAC2B608ADB}">
              <a16:predDERef xmlns:a16="http://schemas.microsoft.com/office/drawing/2014/main" pred="{00000000-0008-0000-0200-000036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8" name="Option Button 60" hidden="1">
          <a:extLst>
            <a:ext uri="{63B3BB69-23CF-44E3-9099-C40C66FF867C}">
              <a14:compatExt xmlns:a14="http://schemas.microsoft.com/office/drawing/2010/main" spid="_x0000_s2108"/>
            </a:ext>
            <a:ext uri="{FF2B5EF4-FFF2-40B4-BE49-F238E27FC236}">
              <a16:creationId xmlns:a16="http://schemas.microsoft.com/office/drawing/2014/main" id="{00000000-0008-0000-0200-00003C080000}"/>
            </a:ext>
            <a:ext uri="{147F2762-F138-4A5C-976F-8EAC2B608ADB}">
              <a16:predDERef xmlns:a16="http://schemas.microsoft.com/office/drawing/2014/main" pred="{00000000-0008-0000-0200-00003B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9" name="Option Button 61" hidden="1">
          <a:extLst>
            <a:ext uri="{63B3BB69-23CF-44E3-9099-C40C66FF867C}">
              <a14:compatExt xmlns:a14="http://schemas.microsoft.com/office/drawing/2010/main" spid="_x0000_s2109"/>
            </a:ext>
            <a:ext uri="{FF2B5EF4-FFF2-40B4-BE49-F238E27FC236}">
              <a16:creationId xmlns:a16="http://schemas.microsoft.com/office/drawing/2014/main" id="{00000000-0008-0000-0200-00003D080000}"/>
            </a:ext>
            <a:ext uri="{147F2762-F138-4A5C-976F-8EAC2B608ADB}">
              <a16:predDERef xmlns:a16="http://schemas.microsoft.com/office/drawing/2014/main" pred="{00000000-0008-0000-0200-00003C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10" name="Option Button 62" hidden="1">
          <a:extLst>
            <a:ext uri="{63B3BB69-23CF-44E3-9099-C40C66FF867C}">
              <a14:compatExt xmlns:a14="http://schemas.microsoft.com/office/drawing/2010/main" spid="_x0000_s2110"/>
            </a:ext>
            <a:ext uri="{FF2B5EF4-FFF2-40B4-BE49-F238E27FC236}">
              <a16:creationId xmlns:a16="http://schemas.microsoft.com/office/drawing/2014/main" id="{00000000-0008-0000-0200-00003E080000}"/>
            </a:ext>
            <a:ext uri="{147F2762-F138-4A5C-976F-8EAC2B608ADB}">
              <a16:predDERef xmlns:a16="http://schemas.microsoft.com/office/drawing/2014/main" pred="{00000000-0008-0000-0200-00003D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32</xdr:col>
      <xdr:colOff>6350</xdr:colOff>
      <xdr:row>28</xdr:row>
      <xdr:rowOff>381000</xdr:rowOff>
    </xdr:to>
    <xdr:sp macro="" textlink="">
      <xdr:nvSpPr>
        <xdr:cNvPr id="2111" name="Group Box 63" hidden="1">
          <a:extLst>
            <a:ext uri="{63B3BB69-23CF-44E3-9099-C40C66FF867C}">
              <a14:compatExt xmlns:a14="http://schemas.microsoft.com/office/drawing/2010/main" spid="_x0000_s2111"/>
            </a:ext>
            <a:ext uri="{FF2B5EF4-FFF2-40B4-BE49-F238E27FC236}">
              <a16:creationId xmlns:a16="http://schemas.microsoft.com/office/drawing/2014/main" id="{00000000-0008-0000-0200-00003F080000}"/>
            </a:ext>
            <a:ext uri="{147F2762-F138-4A5C-976F-8EAC2B608ADB}">
              <a16:predDERef xmlns:a16="http://schemas.microsoft.com/office/drawing/2014/main" pred="{00000000-0008-0000-0200-00003E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2" name="Option Button 64" hidden="1">
          <a:extLst>
            <a:ext uri="{63B3BB69-23CF-44E3-9099-C40C66FF867C}">
              <a14:compatExt xmlns:a14="http://schemas.microsoft.com/office/drawing/2010/main" spid="_x0000_s2112"/>
            </a:ext>
            <a:ext uri="{FF2B5EF4-FFF2-40B4-BE49-F238E27FC236}">
              <a16:creationId xmlns:a16="http://schemas.microsoft.com/office/drawing/2014/main" id="{00000000-0008-0000-0200-000040080000}"/>
            </a:ext>
            <a:ext uri="{147F2762-F138-4A5C-976F-8EAC2B608ADB}">
              <a16:predDERef xmlns:a16="http://schemas.microsoft.com/office/drawing/2014/main" pred="{00000000-0008-0000-0200-00003F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3" name="Option Button 65" hidden="1">
          <a:extLst>
            <a:ext uri="{63B3BB69-23CF-44E3-9099-C40C66FF867C}">
              <a14:compatExt xmlns:a14="http://schemas.microsoft.com/office/drawing/2010/main" spid="_x0000_s2113"/>
            </a:ext>
            <a:ext uri="{FF2B5EF4-FFF2-40B4-BE49-F238E27FC236}">
              <a16:creationId xmlns:a16="http://schemas.microsoft.com/office/drawing/2014/main" id="{00000000-0008-0000-0200-000041080000}"/>
            </a:ext>
            <a:ext uri="{147F2762-F138-4A5C-976F-8EAC2B608ADB}">
              <a16:predDERef xmlns:a16="http://schemas.microsoft.com/office/drawing/2014/main" pred="{00000000-0008-0000-0200-000040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4" name="Option Button 66" hidden="1">
          <a:extLst>
            <a:ext uri="{63B3BB69-23CF-44E3-9099-C40C66FF867C}">
              <a14:compatExt xmlns:a14="http://schemas.microsoft.com/office/drawing/2010/main" spid="_x0000_s2114"/>
            </a:ext>
            <a:ext uri="{FF2B5EF4-FFF2-40B4-BE49-F238E27FC236}">
              <a16:creationId xmlns:a16="http://schemas.microsoft.com/office/drawing/2014/main" id="{00000000-0008-0000-0200-000042080000}"/>
            </a:ext>
            <a:ext uri="{147F2762-F138-4A5C-976F-8EAC2B608ADB}">
              <a16:predDERef xmlns:a16="http://schemas.microsoft.com/office/drawing/2014/main" pred="{00000000-0008-0000-0200-000041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5" name="Option Button 67" hidden="1">
          <a:extLst>
            <a:ext uri="{63B3BB69-23CF-44E3-9099-C40C66FF867C}">
              <a14:compatExt xmlns:a14="http://schemas.microsoft.com/office/drawing/2010/main" spid="_x0000_s2115"/>
            </a:ext>
            <a:ext uri="{FF2B5EF4-FFF2-40B4-BE49-F238E27FC236}">
              <a16:creationId xmlns:a16="http://schemas.microsoft.com/office/drawing/2014/main" id="{00000000-0008-0000-0200-000043080000}"/>
            </a:ext>
            <a:ext uri="{147F2762-F138-4A5C-976F-8EAC2B608ADB}">
              <a16:predDERef xmlns:a16="http://schemas.microsoft.com/office/drawing/2014/main" pred="{00000000-0008-0000-0200-000042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32</xdr:col>
      <xdr:colOff>6350</xdr:colOff>
      <xdr:row>45</xdr:row>
      <xdr:rowOff>64861</xdr:rowOff>
    </xdr:to>
    <xdr:sp macro="" textlink="">
      <xdr:nvSpPr>
        <xdr:cNvPr id="2116" name="Group Box 68" hidden="1">
          <a:extLst>
            <a:ext uri="{63B3BB69-23CF-44E3-9099-C40C66FF867C}">
              <a14:compatExt xmlns:a14="http://schemas.microsoft.com/office/drawing/2010/main" spid="_x0000_s2116"/>
            </a:ext>
            <a:ext uri="{FF2B5EF4-FFF2-40B4-BE49-F238E27FC236}">
              <a16:creationId xmlns:a16="http://schemas.microsoft.com/office/drawing/2014/main" id="{00000000-0008-0000-0200-000044080000}"/>
            </a:ext>
            <a:ext uri="{147F2762-F138-4A5C-976F-8EAC2B608ADB}">
              <a16:predDERef xmlns:a16="http://schemas.microsoft.com/office/drawing/2014/main" pred="{00000000-0008-0000-0200-000043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7" name="Option Button 69" hidden="1">
          <a:extLst>
            <a:ext uri="{63B3BB69-23CF-44E3-9099-C40C66FF867C}">
              <a14:compatExt xmlns:a14="http://schemas.microsoft.com/office/drawing/2010/main" spid="_x0000_s2117"/>
            </a:ext>
            <a:ext uri="{FF2B5EF4-FFF2-40B4-BE49-F238E27FC236}">
              <a16:creationId xmlns:a16="http://schemas.microsoft.com/office/drawing/2014/main" id="{00000000-0008-0000-0200-000045080000}"/>
            </a:ext>
            <a:ext uri="{147F2762-F138-4A5C-976F-8EAC2B608ADB}">
              <a16:predDERef xmlns:a16="http://schemas.microsoft.com/office/drawing/2014/main" pred="{00000000-0008-0000-0200-000044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8" name="Option Button 70" hidden="1">
          <a:extLst>
            <a:ext uri="{63B3BB69-23CF-44E3-9099-C40C66FF867C}">
              <a14:compatExt xmlns:a14="http://schemas.microsoft.com/office/drawing/2010/main" spid="_x0000_s2118"/>
            </a:ext>
            <a:ext uri="{FF2B5EF4-FFF2-40B4-BE49-F238E27FC236}">
              <a16:creationId xmlns:a16="http://schemas.microsoft.com/office/drawing/2014/main" id="{00000000-0008-0000-0200-000046080000}"/>
            </a:ext>
            <a:ext uri="{147F2762-F138-4A5C-976F-8EAC2B608ADB}">
              <a16:predDERef xmlns:a16="http://schemas.microsoft.com/office/drawing/2014/main" pred="{00000000-0008-0000-0200-000045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9" name="Option Button 71" hidden="1">
          <a:extLst>
            <a:ext uri="{63B3BB69-23CF-44E3-9099-C40C66FF867C}">
              <a14:compatExt xmlns:a14="http://schemas.microsoft.com/office/drawing/2010/main" spid="_x0000_s2119"/>
            </a:ext>
            <a:ext uri="{FF2B5EF4-FFF2-40B4-BE49-F238E27FC236}">
              <a16:creationId xmlns:a16="http://schemas.microsoft.com/office/drawing/2014/main" id="{00000000-0008-0000-0200-000047080000}"/>
            </a:ext>
            <a:ext uri="{147F2762-F138-4A5C-976F-8EAC2B608ADB}">
              <a16:predDERef xmlns:a16="http://schemas.microsoft.com/office/drawing/2014/main" pred="{00000000-0008-0000-0200-000046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20" name="Option Button 72" hidden="1">
          <a:extLst>
            <a:ext uri="{63B3BB69-23CF-44E3-9099-C40C66FF867C}">
              <a14:compatExt xmlns:a14="http://schemas.microsoft.com/office/drawing/2010/main" spid="_x0000_s2120"/>
            </a:ext>
            <a:ext uri="{FF2B5EF4-FFF2-40B4-BE49-F238E27FC236}">
              <a16:creationId xmlns:a16="http://schemas.microsoft.com/office/drawing/2014/main" id="{00000000-0008-0000-0200-000048080000}"/>
            </a:ext>
            <a:ext uri="{147F2762-F138-4A5C-976F-8EAC2B608ADB}">
              <a16:predDERef xmlns:a16="http://schemas.microsoft.com/office/drawing/2014/main" pred="{00000000-0008-0000-0200-000047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32</xdr:col>
      <xdr:colOff>6350</xdr:colOff>
      <xdr:row>52</xdr:row>
      <xdr:rowOff>425450</xdr:rowOff>
    </xdr:to>
    <xdr:sp macro="" textlink="">
      <xdr:nvSpPr>
        <xdr:cNvPr id="31" name="Group Box 73" hidden="1">
          <a:extLst>
            <a:ext uri="{63B3BB69-23CF-44E3-9099-C40C66FF867C}">
              <a14:compatExt xmlns:a14="http://schemas.microsoft.com/office/drawing/2010/main" spid="_x0000_s2121"/>
            </a:ext>
            <a:ext uri="{FF2B5EF4-FFF2-40B4-BE49-F238E27FC236}">
              <a16:creationId xmlns:a16="http://schemas.microsoft.com/office/drawing/2014/main" id="{00000000-0008-0000-0200-000049080000}"/>
            </a:ext>
            <a:ext uri="{147F2762-F138-4A5C-976F-8EAC2B608ADB}">
              <a16:predDERef xmlns:a16="http://schemas.microsoft.com/office/drawing/2014/main" pred="{00000000-0008-0000-0200-000048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30" name="Option Button 74" hidden="1">
          <a:extLst>
            <a:ext uri="{63B3BB69-23CF-44E3-9099-C40C66FF867C}">
              <a14:compatExt xmlns:a14="http://schemas.microsoft.com/office/drawing/2010/main" spid="_x0000_s2122"/>
            </a:ext>
            <a:ext uri="{FF2B5EF4-FFF2-40B4-BE49-F238E27FC236}">
              <a16:creationId xmlns:a16="http://schemas.microsoft.com/office/drawing/2014/main" id="{00000000-0008-0000-0200-00004A080000}"/>
            </a:ext>
            <a:ext uri="{147F2762-F138-4A5C-976F-8EAC2B608ADB}">
              <a16:predDERef xmlns:a16="http://schemas.microsoft.com/office/drawing/2014/main" pred="{00000000-0008-0000-0200-000049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9" name="Option Button 75" hidden="1">
          <a:extLst>
            <a:ext uri="{63B3BB69-23CF-44E3-9099-C40C66FF867C}">
              <a14:compatExt xmlns:a14="http://schemas.microsoft.com/office/drawing/2010/main" spid="_x0000_s2123"/>
            </a:ext>
            <a:ext uri="{FF2B5EF4-FFF2-40B4-BE49-F238E27FC236}">
              <a16:creationId xmlns:a16="http://schemas.microsoft.com/office/drawing/2014/main" id="{00000000-0008-0000-0200-00004B080000}"/>
            </a:ext>
            <a:ext uri="{147F2762-F138-4A5C-976F-8EAC2B608ADB}">
              <a16:predDERef xmlns:a16="http://schemas.microsoft.com/office/drawing/2014/main" pred="{00000000-0008-0000-0200-00004A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8" name="Option Button 76" hidden="1">
          <a:extLst>
            <a:ext uri="{63B3BB69-23CF-44E3-9099-C40C66FF867C}">
              <a14:compatExt xmlns:a14="http://schemas.microsoft.com/office/drawing/2010/main" spid="_x0000_s2124"/>
            </a:ext>
            <a:ext uri="{FF2B5EF4-FFF2-40B4-BE49-F238E27FC236}">
              <a16:creationId xmlns:a16="http://schemas.microsoft.com/office/drawing/2014/main" id="{00000000-0008-0000-0200-00004C080000}"/>
            </a:ext>
            <a:ext uri="{147F2762-F138-4A5C-976F-8EAC2B608ADB}">
              <a16:predDERef xmlns:a16="http://schemas.microsoft.com/office/drawing/2014/main" pred="{00000000-0008-0000-0200-00004B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7" name="Option Button 77" hidden="1">
          <a:extLst>
            <a:ext uri="{63B3BB69-23CF-44E3-9099-C40C66FF867C}">
              <a14:compatExt xmlns:a14="http://schemas.microsoft.com/office/drawing/2010/main" spid="_x0000_s2125"/>
            </a:ext>
            <a:ext uri="{FF2B5EF4-FFF2-40B4-BE49-F238E27FC236}">
              <a16:creationId xmlns:a16="http://schemas.microsoft.com/office/drawing/2014/main" id="{00000000-0008-0000-0200-00004D080000}"/>
            </a:ext>
            <a:ext uri="{147F2762-F138-4A5C-976F-8EAC2B608ADB}">
              <a16:predDERef xmlns:a16="http://schemas.microsoft.com/office/drawing/2014/main" pred="{00000000-0008-0000-0200-00004C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32</xdr:col>
      <xdr:colOff>6350</xdr:colOff>
      <xdr:row>53</xdr:row>
      <xdr:rowOff>377825</xdr:rowOff>
    </xdr:to>
    <xdr:sp macro="" textlink="">
      <xdr:nvSpPr>
        <xdr:cNvPr id="26" name="Group Box 78" hidden="1">
          <a:extLst>
            <a:ext uri="{63B3BB69-23CF-44E3-9099-C40C66FF867C}">
              <a14:compatExt xmlns:a14="http://schemas.microsoft.com/office/drawing/2010/main" spid="_x0000_s2126"/>
            </a:ext>
            <a:ext uri="{FF2B5EF4-FFF2-40B4-BE49-F238E27FC236}">
              <a16:creationId xmlns:a16="http://schemas.microsoft.com/office/drawing/2014/main" id="{00000000-0008-0000-0200-00004E080000}"/>
            </a:ext>
            <a:ext uri="{147F2762-F138-4A5C-976F-8EAC2B608ADB}">
              <a16:predDERef xmlns:a16="http://schemas.microsoft.com/office/drawing/2014/main" pred="{00000000-0008-0000-0200-00004D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5" name="Option Button 79" hidden="1">
          <a:extLst>
            <a:ext uri="{63B3BB69-23CF-44E3-9099-C40C66FF867C}">
              <a14:compatExt xmlns:a14="http://schemas.microsoft.com/office/drawing/2010/main" spid="_x0000_s2127"/>
            </a:ext>
            <a:ext uri="{FF2B5EF4-FFF2-40B4-BE49-F238E27FC236}">
              <a16:creationId xmlns:a16="http://schemas.microsoft.com/office/drawing/2014/main" id="{00000000-0008-0000-0200-00004F080000}"/>
            </a:ext>
            <a:ext uri="{147F2762-F138-4A5C-976F-8EAC2B608ADB}">
              <a16:predDERef xmlns:a16="http://schemas.microsoft.com/office/drawing/2014/main" pred="{00000000-0008-0000-0200-00004E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4" name="Option Button 80" hidden="1">
          <a:extLst>
            <a:ext uri="{63B3BB69-23CF-44E3-9099-C40C66FF867C}">
              <a14:compatExt xmlns:a14="http://schemas.microsoft.com/office/drawing/2010/main" spid="_x0000_s2128"/>
            </a:ext>
            <a:ext uri="{FF2B5EF4-FFF2-40B4-BE49-F238E27FC236}">
              <a16:creationId xmlns:a16="http://schemas.microsoft.com/office/drawing/2014/main" id="{00000000-0008-0000-0200-000050080000}"/>
            </a:ext>
            <a:ext uri="{147F2762-F138-4A5C-976F-8EAC2B608ADB}">
              <a16:predDERef xmlns:a16="http://schemas.microsoft.com/office/drawing/2014/main" pred="{00000000-0008-0000-0200-00004F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3" name="Option Button 81" hidden="1">
          <a:extLst>
            <a:ext uri="{63B3BB69-23CF-44E3-9099-C40C66FF867C}">
              <a14:compatExt xmlns:a14="http://schemas.microsoft.com/office/drawing/2010/main" spid="_x0000_s2129"/>
            </a:ext>
            <a:ext uri="{FF2B5EF4-FFF2-40B4-BE49-F238E27FC236}">
              <a16:creationId xmlns:a16="http://schemas.microsoft.com/office/drawing/2014/main" id="{00000000-0008-0000-0200-000051080000}"/>
            </a:ext>
            <a:ext uri="{147F2762-F138-4A5C-976F-8EAC2B608ADB}">
              <a16:predDERef xmlns:a16="http://schemas.microsoft.com/office/drawing/2014/main" pred="{00000000-0008-0000-0200-000050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2" name="Option Button 82" hidden="1">
          <a:extLst>
            <a:ext uri="{63B3BB69-23CF-44E3-9099-C40C66FF867C}">
              <a14:compatExt xmlns:a14="http://schemas.microsoft.com/office/drawing/2010/main" spid="_x0000_s2130"/>
            </a:ext>
            <a:ext uri="{FF2B5EF4-FFF2-40B4-BE49-F238E27FC236}">
              <a16:creationId xmlns:a16="http://schemas.microsoft.com/office/drawing/2014/main" id="{00000000-0008-0000-0200-000052080000}"/>
            </a:ext>
            <a:ext uri="{147F2762-F138-4A5C-976F-8EAC2B608ADB}">
              <a16:predDERef xmlns:a16="http://schemas.microsoft.com/office/drawing/2014/main" pred="{00000000-0008-0000-0200-000051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28575</xdr:rowOff>
    </xdr:from>
    <xdr:to>
      <xdr:col>32</xdr:col>
      <xdr:colOff>6350</xdr:colOff>
      <xdr:row>54</xdr:row>
      <xdr:rowOff>406400</xdr:rowOff>
    </xdr:to>
    <xdr:sp macro="" textlink="">
      <xdr:nvSpPr>
        <xdr:cNvPr id="21" name="Group Box 83" hidden="1">
          <a:extLst>
            <a:ext uri="{63B3BB69-23CF-44E3-9099-C40C66FF867C}">
              <a14:compatExt xmlns:a14="http://schemas.microsoft.com/office/drawing/2010/main" spid="_x0000_s2131"/>
            </a:ext>
            <a:ext uri="{FF2B5EF4-FFF2-40B4-BE49-F238E27FC236}">
              <a16:creationId xmlns:a16="http://schemas.microsoft.com/office/drawing/2014/main" id="{00000000-0008-0000-0200-000053080000}"/>
            </a:ext>
            <a:ext uri="{147F2762-F138-4A5C-976F-8EAC2B608ADB}">
              <a16:predDERef xmlns:a16="http://schemas.microsoft.com/office/drawing/2014/main" pred="{00000000-0008-0000-0200-000052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20" name="Option Button 84" hidden="1">
          <a:extLst>
            <a:ext uri="{63B3BB69-23CF-44E3-9099-C40C66FF867C}">
              <a14:compatExt xmlns:a14="http://schemas.microsoft.com/office/drawing/2010/main" spid="_x0000_s2132"/>
            </a:ext>
            <a:ext uri="{FF2B5EF4-FFF2-40B4-BE49-F238E27FC236}">
              <a16:creationId xmlns:a16="http://schemas.microsoft.com/office/drawing/2014/main" id="{00000000-0008-0000-0200-000054080000}"/>
            </a:ext>
            <a:ext uri="{147F2762-F138-4A5C-976F-8EAC2B608ADB}">
              <a16:predDERef xmlns:a16="http://schemas.microsoft.com/office/drawing/2014/main" pred="{00000000-0008-0000-0200-000053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9" name="Option Button 85" hidden="1">
          <a:extLst>
            <a:ext uri="{63B3BB69-23CF-44E3-9099-C40C66FF867C}">
              <a14:compatExt xmlns:a14="http://schemas.microsoft.com/office/drawing/2010/main" spid="_x0000_s2133"/>
            </a:ext>
            <a:ext uri="{FF2B5EF4-FFF2-40B4-BE49-F238E27FC236}">
              <a16:creationId xmlns:a16="http://schemas.microsoft.com/office/drawing/2014/main" id="{00000000-0008-0000-0200-000055080000}"/>
            </a:ext>
            <a:ext uri="{147F2762-F138-4A5C-976F-8EAC2B608ADB}">
              <a16:predDERef xmlns:a16="http://schemas.microsoft.com/office/drawing/2014/main" pred="{00000000-0008-0000-0200-000054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8" name="Option Button 86" hidden="1">
          <a:extLst>
            <a:ext uri="{63B3BB69-23CF-44E3-9099-C40C66FF867C}">
              <a14:compatExt xmlns:a14="http://schemas.microsoft.com/office/drawing/2010/main" spid="_x0000_s2134"/>
            </a:ext>
            <a:ext uri="{FF2B5EF4-FFF2-40B4-BE49-F238E27FC236}">
              <a16:creationId xmlns:a16="http://schemas.microsoft.com/office/drawing/2014/main" id="{00000000-0008-0000-0200-000056080000}"/>
            </a:ext>
            <a:ext uri="{147F2762-F138-4A5C-976F-8EAC2B608ADB}">
              <a16:predDERef xmlns:a16="http://schemas.microsoft.com/office/drawing/2014/main" pred="{00000000-0008-0000-0200-000055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7" name="Option Button 87" hidden="1">
          <a:extLst>
            <a:ext uri="{63B3BB69-23CF-44E3-9099-C40C66FF867C}">
              <a14:compatExt xmlns:a14="http://schemas.microsoft.com/office/drawing/2010/main" spid="_x0000_s2135"/>
            </a:ext>
            <a:ext uri="{FF2B5EF4-FFF2-40B4-BE49-F238E27FC236}">
              <a16:creationId xmlns:a16="http://schemas.microsoft.com/office/drawing/2014/main" id="{00000000-0008-0000-0200-000057080000}"/>
            </a:ext>
            <a:ext uri="{147F2762-F138-4A5C-976F-8EAC2B608ADB}">
              <a16:predDERef xmlns:a16="http://schemas.microsoft.com/office/drawing/2014/main" pred="{00000000-0008-0000-0200-000056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28575</xdr:rowOff>
    </xdr:from>
    <xdr:to>
      <xdr:col>32</xdr:col>
      <xdr:colOff>6350</xdr:colOff>
      <xdr:row>59</xdr:row>
      <xdr:rowOff>406400</xdr:rowOff>
    </xdr:to>
    <xdr:sp macro="" textlink="">
      <xdr:nvSpPr>
        <xdr:cNvPr id="16" name="Group Box 88" hidden="1">
          <a:extLst>
            <a:ext uri="{63B3BB69-23CF-44E3-9099-C40C66FF867C}">
              <a14:compatExt xmlns:a14="http://schemas.microsoft.com/office/drawing/2010/main" spid="_x0000_s2136"/>
            </a:ext>
            <a:ext uri="{FF2B5EF4-FFF2-40B4-BE49-F238E27FC236}">
              <a16:creationId xmlns:a16="http://schemas.microsoft.com/office/drawing/2014/main" id="{00000000-0008-0000-0200-000058080000}"/>
            </a:ext>
            <a:ext uri="{147F2762-F138-4A5C-976F-8EAC2B608ADB}">
              <a16:predDERef xmlns:a16="http://schemas.microsoft.com/office/drawing/2014/main" pred="{00000000-0008-0000-0200-000057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5" name="Option Button 89" hidden="1">
          <a:extLst>
            <a:ext uri="{63B3BB69-23CF-44E3-9099-C40C66FF867C}">
              <a14:compatExt xmlns:a14="http://schemas.microsoft.com/office/drawing/2010/main" spid="_x0000_s2137"/>
            </a:ext>
            <a:ext uri="{FF2B5EF4-FFF2-40B4-BE49-F238E27FC236}">
              <a16:creationId xmlns:a16="http://schemas.microsoft.com/office/drawing/2014/main" id="{00000000-0008-0000-0200-000059080000}"/>
            </a:ext>
            <a:ext uri="{147F2762-F138-4A5C-976F-8EAC2B608ADB}">
              <a16:predDERef xmlns:a16="http://schemas.microsoft.com/office/drawing/2014/main" pred="{00000000-0008-0000-0200-000058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4" name="Option Button 90" hidden="1">
          <a:extLst>
            <a:ext uri="{63B3BB69-23CF-44E3-9099-C40C66FF867C}">
              <a14:compatExt xmlns:a14="http://schemas.microsoft.com/office/drawing/2010/main" spid="_x0000_s2138"/>
            </a:ext>
            <a:ext uri="{FF2B5EF4-FFF2-40B4-BE49-F238E27FC236}">
              <a16:creationId xmlns:a16="http://schemas.microsoft.com/office/drawing/2014/main" id="{00000000-0008-0000-0200-00005A080000}"/>
            </a:ext>
            <a:ext uri="{147F2762-F138-4A5C-976F-8EAC2B608ADB}">
              <a16:predDERef xmlns:a16="http://schemas.microsoft.com/office/drawing/2014/main" pred="{00000000-0008-0000-0200-000059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3" name="Option Button 91" hidden="1">
          <a:extLst>
            <a:ext uri="{63B3BB69-23CF-44E3-9099-C40C66FF867C}">
              <a14:compatExt xmlns:a14="http://schemas.microsoft.com/office/drawing/2010/main" spid="_x0000_s2139"/>
            </a:ext>
            <a:ext uri="{FF2B5EF4-FFF2-40B4-BE49-F238E27FC236}">
              <a16:creationId xmlns:a16="http://schemas.microsoft.com/office/drawing/2014/main" id="{00000000-0008-0000-0200-00005B080000}"/>
            </a:ext>
            <a:ext uri="{147F2762-F138-4A5C-976F-8EAC2B608ADB}">
              <a16:predDERef xmlns:a16="http://schemas.microsoft.com/office/drawing/2014/main" pred="{00000000-0008-0000-0200-00005A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2" name="Option Button 92" hidden="1">
          <a:extLst>
            <a:ext uri="{63B3BB69-23CF-44E3-9099-C40C66FF867C}">
              <a14:compatExt xmlns:a14="http://schemas.microsoft.com/office/drawing/2010/main" spid="_x0000_s2140"/>
            </a:ext>
            <a:ext uri="{FF2B5EF4-FFF2-40B4-BE49-F238E27FC236}">
              <a16:creationId xmlns:a16="http://schemas.microsoft.com/office/drawing/2014/main" id="{00000000-0008-0000-0200-00005C080000}"/>
            </a:ext>
            <a:ext uri="{147F2762-F138-4A5C-976F-8EAC2B608ADB}">
              <a16:predDERef xmlns:a16="http://schemas.microsoft.com/office/drawing/2014/main" pred="{00000000-0008-0000-0200-00005B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32</xdr:col>
      <xdr:colOff>6350</xdr:colOff>
      <xdr:row>98</xdr:row>
      <xdr:rowOff>64860</xdr:rowOff>
    </xdr:to>
    <xdr:sp macro="" textlink="">
      <xdr:nvSpPr>
        <xdr:cNvPr id="36" name="Group Box 93" hidden="1">
          <a:extLst>
            <a:ext uri="{63B3BB69-23CF-44E3-9099-C40C66FF867C}">
              <a14:compatExt xmlns:a14="http://schemas.microsoft.com/office/drawing/2010/main" spid="_x0000_s2141"/>
            </a:ext>
            <a:ext uri="{FF2B5EF4-FFF2-40B4-BE49-F238E27FC236}">
              <a16:creationId xmlns:a16="http://schemas.microsoft.com/office/drawing/2014/main" id="{00000000-0008-0000-0200-00005D080000}"/>
            </a:ext>
            <a:ext uri="{147F2762-F138-4A5C-976F-8EAC2B608ADB}">
              <a16:predDERef xmlns:a16="http://schemas.microsoft.com/office/drawing/2014/main" pred="{00000000-0008-0000-0200-00005C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5" name="Option Button 94" hidden="1">
          <a:extLst>
            <a:ext uri="{63B3BB69-23CF-44E3-9099-C40C66FF867C}">
              <a14:compatExt xmlns:a14="http://schemas.microsoft.com/office/drawing/2010/main" spid="_x0000_s2142"/>
            </a:ext>
            <a:ext uri="{FF2B5EF4-FFF2-40B4-BE49-F238E27FC236}">
              <a16:creationId xmlns:a16="http://schemas.microsoft.com/office/drawing/2014/main" id="{00000000-0008-0000-0200-00005E080000}"/>
            </a:ext>
            <a:ext uri="{147F2762-F138-4A5C-976F-8EAC2B608ADB}">
              <a16:predDERef xmlns:a16="http://schemas.microsoft.com/office/drawing/2014/main" pred="{00000000-0008-0000-0200-00005D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4" name="Option Button 95" hidden="1">
          <a:extLst>
            <a:ext uri="{63B3BB69-23CF-44E3-9099-C40C66FF867C}">
              <a14:compatExt xmlns:a14="http://schemas.microsoft.com/office/drawing/2010/main" spid="_x0000_s2143"/>
            </a:ext>
            <a:ext uri="{FF2B5EF4-FFF2-40B4-BE49-F238E27FC236}">
              <a16:creationId xmlns:a16="http://schemas.microsoft.com/office/drawing/2014/main" id="{00000000-0008-0000-0200-00005F080000}"/>
            </a:ext>
            <a:ext uri="{147F2762-F138-4A5C-976F-8EAC2B608ADB}">
              <a16:predDERef xmlns:a16="http://schemas.microsoft.com/office/drawing/2014/main" pred="{00000000-0008-0000-0200-00005E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3" name="Option Button 96" hidden="1">
          <a:extLst>
            <a:ext uri="{63B3BB69-23CF-44E3-9099-C40C66FF867C}">
              <a14:compatExt xmlns:a14="http://schemas.microsoft.com/office/drawing/2010/main" spid="_x0000_s2144"/>
            </a:ext>
            <a:ext uri="{FF2B5EF4-FFF2-40B4-BE49-F238E27FC236}">
              <a16:creationId xmlns:a16="http://schemas.microsoft.com/office/drawing/2014/main" id="{00000000-0008-0000-0200-000060080000}"/>
            </a:ext>
            <a:ext uri="{147F2762-F138-4A5C-976F-8EAC2B608ADB}">
              <a16:predDERef xmlns:a16="http://schemas.microsoft.com/office/drawing/2014/main" pred="{00000000-0008-0000-0200-00005F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2" name="Option Button 97" hidden="1">
          <a:extLst>
            <a:ext uri="{63B3BB69-23CF-44E3-9099-C40C66FF867C}">
              <a14:compatExt xmlns:a14="http://schemas.microsoft.com/office/drawing/2010/main" spid="_x0000_s2145"/>
            </a:ext>
            <a:ext uri="{FF2B5EF4-FFF2-40B4-BE49-F238E27FC236}">
              <a16:creationId xmlns:a16="http://schemas.microsoft.com/office/drawing/2014/main" id="{00000000-0008-0000-0200-000061080000}"/>
            </a:ext>
            <a:ext uri="{147F2762-F138-4A5C-976F-8EAC2B608ADB}">
              <a16:predDERef xmlns:a16="http://schemas.microsoft.com/office/drawing/2014/main" pred="{00000000-0008-0000-0200-000060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28575</xdr:rowOff>
    </xdr:from>
    <xdr:to>
      <xdr:col>32</xdr:col>
      <xdr:colOff>6350</xdr:colOff>
      <xdr:row>100</xdr:row>
      <xdr:rowOff>406400</xdr:rowOff>
    </xdr:to>
    <xdr:sp macro="" textlink="">
      <xdr:nvSpPr>
        <xdr:cNvPr id="2146" name="Group Box 98" hidden="1">
          <a:extLst>
            <a:ext uri="{63B3BB69-23CF-44E3-9099-C40C66FF867C}">
              <a14:compatExt xmlns:a14="http://schemas.microsoft.com/office/drawing/2010/main" spid="_x0000_s2146"/>
            </a:ext>
            <a:ext uri="{FF2B5EF4-FFF2-40B4-BE49-F238E27FC236}">
              <a16:creationId xmlns:a16="http://schemas.microsoft.com/office/drawing/2014/main" id="{00000000-0008-0000-0200-000062080000}"/>
            </a:ext>
            <a:ext uri="{147F2762-F138-4A5C-976F-8EAC2B608ADB}">
              <a16:predDERef xmlns:a16="http://schemas.microsoft.com/office/drawing/2014/main" pred="{00000000-0008-0000-0200-000061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7" name="Option Button 99" hidden="1">
          <a:extLst>
            <a:ext uri="{63B3BB69-23CF-44E3-9099-C40C66FF867C}">
              <a14:compatExt xmlns:a14="http://schemas.microsoft.com/office/drawing/2010/main" spid="_x0000_s2147"/>
            </a:ext>
            <a:ext uri="{FF2B5EF4-FFF2-40B4-BE49-F238E27FC236}">
              <a16:creationId xmlns:a16="http://schemas.microsoft.com/office/drawing/2014/main" id="{00000000-0008-0000-0200-000063080000}"/>
            </a:ext>
            <a:ext uri="{147F2762-F138-4A5C-976F-8EAC2B608ADB}">
              <a16:predDERef xmlns:a16="http://schemas.microsoft.com/office/drawing/2014/main" pred="{00000000-0008-0000-0200-000062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8" name="Option Button 100" hidden="1">
          <a:extLst>
            <a:ext uri="{63B3BB69-23CF-44E3-9099-C40C66FF867C}">
              <a14:compatExt xmlns:a14="http://schemas.microsoft.com/office/drawing/2010/main" spid="_x0000_s2148"/>
            </a:ext>
            <a:ext uri="{FF2B5EF4-FFF2-40B4-BE49-F238E27FC236}">
              <a16:creationId xmlns:a16="http://schemas.microsoft.com/office/drawing/2014/main" id="{00000000-0008-0000-0200-000064080000}"/>
            </a:ext>
            <a:ext uri="{147F2762-F138-4A5C-976F-8EAC2B608ADB}">
              <a16:predDERef xmlns:a16="http://schemas.microsoft.com/office/drawing/2014/main" pred="{00000000-0008-0000-0200-000063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9" name="Option Button 101" hidden="1">
          <a:extLst>
            <a:ext uri="{63B3BB69-23CF-44E3-9099-C40C66FF867C}">
              <a14:compatExt xmlns:a14="http://schemas.microsoft.com/office/drawing/2010/main" spid="_x0000_s2149"/>
            </a:ext>
            <a:ext uri="{FF2B5EF4-FFF2-40B4-BE49-F238E27FC236}">
              <a16:creationId xmlns:a16="http://schemas.microsoft.com/office/drawing/2014/main" id="{00000000-0008-0000-0200-000065080000}"/>
            </a:ext>
            <a:ext uri="{147F2762-F138-4A5C-976F-8EAC2B608ADB}">
              <a16:predDERef xmlns:a16="http://schemas.microsoft.com/office/drawing/2014/main" pred="{00000000-0008-0000-0200-000064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50" name="Option Button 102" hidden="1">
          <a:extLst>
            <a:ext uri="{63B3BB69-23CF-44E3-9099-C40C66FF867C}">
              <a14:compatExt xmlns:a14="http://schemas.microsoft.com/office/drawing/2010/main" spid="_x0000_s2150"/>
            </a:ext>
            <a:ext uri="{FF2B5EF4-FFF2-40B4-BE49-F238E27FC236}">
              <a16:creationId xmlns:a16="http://schemas.microsoft.com/office/drawing/2014/main" id="{00000000-0008-0000-0200-000066080000}"/>
            </a:ext>
            <a:ext uri="{147F2762-F138-4A5C-976F-8EAC2B608ADB}">
              <a16:predDERef xmlns:a16="http://schemas.microsoft.com/office/drawing/2014/main" pred="{00000000-0008-0000-0200-000065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28575</xdr:rowOff>
    </xdr:from>
    <xdr:to>
      <xdr:col>32</xdr:col>
      <xdr:colOff>6350</xdr:colOff>
      <xdr:row>105</xdr:row>
      <xdr:rowOff>419100</xdr:rowOff>
    </xdr:to>
    <xdr:sp macro="" textlink="">
      <xdr:nvSpPr>
        <xdr:cNvPr id="2151" name="Group Box 103" hidden="1">
          <a:extLst>
            <a:ext uri="{63B3BB69-23CF-44E3-9099-C40C66FF867C}">
              <a14:compatExt xmlns:a14="http://schemas.microsoft.com/office/drawing/2010/main" spid="_x0000_s2151"/>
            </a:ext>
            <a:ext uri="{FF2B5EF4-FFF2-40B4-BE49-F238E27FC236}">
              <a16:creationId xmlns:a16="http://schemas.microsoft.com/office/drawing/2014/main" id="{00000000-0008-0000-0200-000067080000}"/>
            </a:ext>
            <a:ext uri="{147F2762-F138-4A5C-976F-8EAC2B608ADB}">
              <a16:predDERef xmlns:a16="http://schemas.microsoft.com/office/drawing/2014/main" pred="{00000000-0008-0000-0200-000066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2" name="Option Button 104" hidden="1">
          <a:extLst>
            <a:ext uri="{63B3BB69-23CF-44E3-9099-C40C66FF867C}">
              <a14:compatExt xmlns:a14="http://schemas.microsoft.com/office/drawing/2010/main" spid="_x0000_s2152"/>
            </a:ext>
            <a:ext uri="{FF2B5EF4-FFF2-40B4-BE49-F238E27FC236}">
              <a16:creationId xmlns:a16="http://schemas.microsoft.com/office/drawing/2014/main" id="{00000000-0008-0000-0200-000068080000}"/>
            </a:ext>
            <a:ext uri="{147F2762-F138-4A5C-976F-8EAC2B608ADB}">
              <a16:predDERef xmlns:a16="http://schemas.microsoft.com/office/drawing/2014/main" pred="{00000000-0008-0000-0200-000067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3" name="Option Button 105" hidden="1">
          <a:extLst>
            <a:ext uri="{63B3BB69-23CF-44E3-9099-C40C66FF867C}">
              <a14:compatExt xmlns:a14="http://schemas.microsoft.com/office/drawing/2010/main" spid="_x0000_s2153"/>
            </a:ext>
            <a:ext uri="{FF2B5EF4-FFF2-40B4-BE49-F238E27FC236}">
              <a16:creationId xmlns:a16="http://schemas.microsoft.com/office/drawing/2014/main" id="{00000000-0008-0000-0200-000069080000}"/>
            </a:ext>
            <a:ext uri="{147F2762-F138-4A5C-976F-8EAC2B608ADB}">
              <a16:predDERef xmlns:a16="http://schemas.microsoft.com/office/drawing/2014/main" pred="{00000000-0008-0000-0200-000068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4" name="Option Button 106" hidden="1">
          <a:extLst>
            <a:ext uri="{63B3BB69-23CF-44E3-9099-C40C66FF867C}">
              <a14:compatExt xmlns:a14="http://schemas.microsoft.com/office/drawing/2010/main" spid="_x0000_s2154"/>
            </a:ext>
            <a:ext uri="{FF2B5EF4-FFF2-40B4-BE49-F238E27FC236}">
              <a16:creationId xmlns:a16="http://schemas.microsoft.com/office/drawing/2014/main" id="{00000000-0008-0000-0200-00006A080000}"/>
            </a:ext>
            <a:ext uri="{147F2762-F138-4A5C-976F-8EAC2B608ADB}">
              <a16:predDERef xmlns:a16="http://schemas.microsoft.com/office/drawing/2014/main" pred="{00000000-0008-0000-0200-000069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5" name="Option Button 107" hidden="1">
          <a:extLst>
            <a:ext uri="{63B3BB69-23CF-44E3-9099-C40C66FF867C}">
              <a14:compatExt xmlns:a14="http://schemas.microsoft.com/office/drawing/2010/main" spid="_x0000_s2155"/>
            </a:ext>
            <a:ext uri="{FF2B5EF4-FFF2-40B4-BE49-F238E27FC236}">
              <a16:creationId xmlns:a16="http://schemas.microsoft.com/office/drawing/2014/main" id="{00000000-0008-0000-0200-00006B080000}"/>
            </a:ext>
            <a:ext uri="{147F2762-F138-4A5C-976F-8EAC2B608ADB}">
              <a16:predDERef xmlns:a16="http://schemas.microsoft.com/office/drawing/2014/main" pred="{00000000-0008-0000-0200-00006A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28575</xdr:rowOff>
    </xdr:from>
    <xdr:to>
      <xdr:col>32</xdr:col>
      <xdr:colOff>6350</xdr:colOff>
      <xdr:row>28</xdr:row>
      <xdr:rowOff>419100</xdr:rowOff>
    </xdr:to>
    <xdr:sp macro="" textlink="">
      <xdr:nvSpPr>
        <xdr:cNvPr id="2156" name="Group Box 108" hidden="1">
          <a:extLst>
            <a:ext uri="{63B3BB69-23CF-44E3-9099-C40C66FF867C}">
              <a14:compatExt xmlns:a14="http://schemas.microsoft.com/office/drawing/2010/main" spid="_x0000_s2156"/>
            </a:ext>
            <a:ext uri="{FF2B5EF4-FFF2-40B4-BE49-F238E27FC236}">
              <a16:creationId xmlns:a16="http://schemas.microsoft.com/office/drawing/2014/main" id="{00000000-0008-0000-0200-00006C080000}"/>
            </a:ext>
            <a:ext uri="{147F2762-F138-4A5C-976F-8EAC2B608ADB}">
              <a16:predDERef xmlns:a16="http://schemas.microsoft.com/office/drawing/2014/main" pred="{00000000-0008-0000-0200-00006B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7" name="Option Button 109" hidden="1">
          <a:extLst>
            <a:ext uri="{63B3BB69-23CF-44E3-9099-C40C66FF867C}">
              <a14:compatExt xmlns:a14="http://schemas.microsoft.com/office/drawing/2010/main" spid="_x0000_s2157"/>
            </a:ext>
            <a:ext uri="{FF2B5EF4-FFF2-40B4-BE49-F238E27FC236}">
              <a16:creationId xmlns:a16="http://schemas.microsoft.com/office/drawing/2014/main" id="{00000000-0008-0000-0200-00006D080000}"/>
            </a:ext>
            <a:ext uri="{147F2762-F138-4A5C-976F-8EAC2B608ADB}">
              <a16:predDERef xmlns:a16="http://schemas.microsoft.com/office/drawing/2014/main" pred="{00000000-0008-0000-0200-00006C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8" name="Option Button 110" hidden="1">
          <a:extLst>
            <a:ext uri="{63B3BB69-23CF-44E3-9099-C40C66FF867C}">
              <a14:compatExt xmlns:a14="http://schemas.microsoft.com/office/drawing/2010/main" spid="_x0000_s2158"/>
            </a:ext>
            <a:ext uri="{FF2B5EF4-FFF2-40B4-BE49-F238E27FC236}">
              <a16:creationId xmlns:a16="http://schemas.microsoft.com/office/drawing/2014/main" id="{00000000-0008-0000-0200-00006E080000}"/>
            </a:ext>
            <a:ext uri="{147F2762-F138-4A5C-976F-8EAC2B608ADB}">
              <a16:predDERef xmlns:a16="http://schemas.microsoft.com/office/drawing/2014/main" pred="{00000000-0008-0000-0200-00006D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9" name="Option Button 111" hidden="1">
          <a:extLst>
            <a:ext uri="{63B3BB69-23CF-44E3-9099-C40C66FF867C}">
              <a14:compatExt xmlns:a14="http://schemas.microsoft.com/office/drawing/2010/main" spid="_x0000_s2159"/>
            </a:ext>
            <a:ext uri="{FF2B5EF4-FFF2-40B4-BE49-F238E27FC236}">
              <a16:creationId xmlns:a16="http://schemas.microsoft.com/office/drawing/2014/main" id="{00000000-0008-0000-0200-00006F080000}"/>
            </a:ext>
            <a:ext uri="{147F2762-F138-4A5C-976F-8EAC2B608ADB}">
              <a16:predDERef xmlns:a16="http://schemas.microsoft.com/office/drawing/2014/main" pred="{00000000-0008-0000-0200-00006E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60" name="Option Button 112" hidden="1">
          <a:extLst>
            <a:ext uri="{63B3BB69-23CF-44E3-9099-C40C66FF867C}">
              <a14:compatExt xmlns:a14="http://schemas.microsoft.com/office/drawing/2010/main" spid="_x0000_s2160"/>
            </a:ext>
            <a:ext uri="{FF2B5EF4-FFF2-40B4-BE49-F238E27FC236}">
              <a16:creationId xmlns:a16="http://schemas.microsoft.com/office/drawing/2014/main" id="{00000000-0008-0000-0200-000070080000}"/>
            </a:ext>
            <a:ext uri="{147F2762-F138-4A5C-976F-8EAC2B608ADB}">
              <a16:predDERef xmlns:a16="http://schemas.microsoft.com/office/drawing/2014/main" pred="{00000000-0008-0000-0200-00006F080000}"/>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twoCellAnchor>
  <xdr:oneCellAnchor>
    <xdr:from>
      <xdr:col>10</xdr:col>
      <xdr:colOff>0</xdr:colOff>
      <xdr:row>66</xdr:row>
      <xdr:rowOff>28575</xdr:rowOff>
    </xdr:from>
    <xdr:ext cx="13420725" cy="381000"/>
    <xdr:sp macro="" textlink="">
      <xdr:nvSpPr>
        <xdr:cNvPr id="6" name="Group Box 113" hidden="1">
          <a:extLst>
            <a:ext uri="{63B3BB69-23CF-44E3-9099-C40C66FF867C}">
              <a14:compatExt xmlns:a14="http://schemas.microsoft.com/office/drawing/2010/main" spid="_x0000_s2161"/>
            </a:ext>
            <a:ext uri="{FF2B5EF4-FFF2-40B4-BE49-F238E27FC236}">
              <a16:creationId xmlns:a16="http://schemas.microsoft.com/office/drawing/2014/main" id="{0EC04E8C-0742-45DF-AEE8-B9CFFA650B6E}"/>
            </a:ext>
            <a:ext uri="{147F2762-F138-4A5C-976F-8EAC2B608ADB}">
              <a16:predDERef xmlns:a16="http://schemas.microsoft.com/office/drawing/2014/main" pred="{00000000-0008-0000-0200-000070080000}"/>
            </a:ext>
          </a:extLst>
        </xdr:cNvPr>
        <xdr:cNvSpPr/>
      </xdr:nvSpPr>
      <xdr:spPr bwMode="auto">
        <a:xfrm>
          <a:off x="0" y="0"/>
          <a:ext cx="0" cy="0"/>
        </a:xfrm>
        <a:prstGeom prst="rect">
          <a:avLst/>
        </a:prstGeom>
        <a:noFill/>
        <a:ln w="9525">
          <a:miter lim="800000"/>
          <a:headEnd/>
          <a:tailEnd/>
        </a:ln>
        <a:extLst>
          <a:ext uri="{909E8E84-426E-40dd-AFC4-6F175D3DCCD1}">
            <a14:hiddenFill xmlns="" xmlns:a14="http://schemas.microsoft.com/office/drawing/2010/main">
              <a:noFill/>
            </a14:hiddenFill>
          </a:ext>
        </a:extLst>
      </xdr:spPr>
      <xdr:txBody>
        <a:bodyPr vertOverflow="clip" wrap="none" lIns="27432" tIns="18288" rIns="0" bIns="0" anchor="t" upright="1"/>
        <a:lstStyle/>
        <a:p>
          <a:pPr algn="l" rtl="0">
            <a:defRPr sz="1000"/>
          </a:pPr>
          <a:r>
            <a:rPr lang="x-none"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66</xdr:row>
      <xdr:rowOff>104775</xdr:rowOff>
    </xdr:from>
    <xdr:ext cx="1047750" cy="209550"/>
    <xdr:sp macro="" textlink="">
      <xdr:nvSpPr>
        <xdr:cNvPr id="5" name="Option Button 114" hidden="1">
          <a:extLst>
            <a:ext uri="{63B3BB69-23CF-44E3-9099-C40C66FF867C}">
              <a14:compatExt xmlns:a14="http://schemas.microsoft.com/office/drawing/2010/main" spid="_x0000_s2162"/>
            </a:ext>
            <a:ext uri="{FF2B5EF4-FFF2-40B4-BE49-F238E27FC236}">
              <a16:creationId xmlns:a16="http://schemas.microsoft.com/office/drawing/2014/main" id="{6BEEA6EE-EE17-49DE-B00B-4140082A04F2}"/>
            </a:ext>
            <a:ext uri="{147F2762-F138-4A5C-976F-8EAC2B608ADB}">
              <a16:predDERef xmlns:a16="http://schemas.microsoft.com/office/drawing/2014/main" pred="{0EC04E8C-0742-45DF-AEE8-B9CFFA650B6E}"/>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4" name="Option Button 115" hidden="1">
          <a:extLst>
            <a:ext uri="{63B3BB69-23CF-44E3-9099-C40C66FF867C}">
              <a14:compatExt xmlns:a14="http://schemas.microsoft.com/office/drawing/2010/main" spid="_x0000_s2163"/>
            </a:ext>
            <a:ext uri="{FF2B5EF4-FFF2-40B4-BE49-F238E27FC236}">
              <a16:creationId xmlns:a16="http://schemas.microsoft.com/office/drawing/2014/main" id="{DB4AF23A-8998-434E-8A98-9CB60D43BE55}"/>
            </a:ext>
            <a:ext uri="{147F2762-F138-4A5C-976F-8EAC2B608ADB}">
              <a16:predDERef xmlns:a16="http://schemas.microsoft.com/office/drawing/2014/main" pred="{6BEEA6EE-EE17-49DE-B00B-4140082A04F2}"/>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3" name="Option Button 116" hidden="1">
          <a:extLst>
            <a:ext uri="{63B3BB69-23CF-44E3-9099-C40C66FF867C}">
              <a14:compatExt xmlns:a14="http://schemas.microsoft.com/office/drawing/2010/main" spid="_x0000_s2164"/>
            </a:ext>
            <a:ext uri="{FF2B5EF4-FFF2-40B4-BE49-F238E27FC236}">
              <a16:creationId xmlns:a16="http://schemas.microsoft.com/office/drawing/2014/main" id="{9F0E6BF7-5720-46A7-85DC-68AC8A503455}"/>
            </a:ext>
            <a:ext uri="{147F2762-F138-4A5C-976F-8EAC2B608ADB}">
              <a16:predDERef xmlns:a16="http://schemas.microsoft.com/office/drawing/2014/main" pred="{DB4AF23A-8998-434E-8A98-9CB60D43BE55}"/>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2" name="Option Button 117" hidden="1">
          <a:extLst>
            <a:ext uri="{63B3BB69-23CF-44E3-9099-C40C66FF867C}">
              <a14:compatExt xmlns:a14="http://schemas.microsoft.com/office/drawing/2010/main" spid="_x0000_s2165"/>
            </a:ext>
            <a:ext uri="{FF2B5EF4-FFF2-40B4-BE49-F238E27FC236}">
              <a16:creationId xmlns:a16="http://schemas.microsoft.com/office/drawing/2014/main" id="{55FC68DD-EA04-4969-AAF8-5B107CB98014}"/>
            </a:ext>
            <a:ext uri="{147F2762-F138-4A5C-976F-8EAC2B608ADB}">
              <a16:predDERef xmlns:a16="http://schemas.microsoft.com/office/drawing/2014/main" pred="{9F0E6BF7-5720-46A7-85DC-68AC8A503455}"/>
            </a:ext>
          </a:extLst>
        </xdr:cNvPr>
        <xdr:cNvSpPr/>
      </xdr:nvSpPr>
      <xdr:spPr bwMode="auto">
        <a:xfrm>
          <a:off x="0" y="0"/>
          <a:ext cx="0" cy="0"/>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x-none" sz="800" b="0" i="0" u="none" strike="noStrike" baseline="0">
              <a:solidFill>
                <a:srgbClr val="000000"/>
              </a:solidFill>
              <a:latin typeface="Segoe UI"/>
              <a:cs typeface="Segoe UI"/>
            </a:rPr>
            <a:t>Option Button 30</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41</xdr:row>
      <xdr:rowOff>73493</xdr:rowOff>
    </xdr:from>
    <xdr:to>
      <xdr:col>9</xdr:col>
      <xdr:colOff>562430</xdr:colOff>
      <xdr:row>68</xdr:row>
      <xdr:rowOff>66318</xdr:rowOff>
    </xdr:to>
    <xdr:pic>
      <xdr:nvPicPr>
        <xdr:cNvPr id="5" name="Picture 4">
          <a:extLst>
            <a:ext uri="{FF2B5EF4-FFF2-40B4-BE49-F238E27FC236}">
              <a16:creationId xmlns:a16="http://schemas.microsoft.com/office/drawing/2014/main" id="{3FDEA1CD-160B-40F6-AC75-0813EF307BEE}"/>
            </a:ext>
          </a:extLst>
        </xdr:cNvPr>
        <xdr:cNvPicPr>
          <a:picLocks noChangeAspect="1"/>
        </xdr:cNvPicPr>
      </xdr:nvPicPr>
      <xdr:blipFill>
        <a:blip xmlns:r="http://schemas.openxmlformats.org/officeDocument/2006/relationships" r:embed="rId1"/>
        <a:srcRect/>
        <a:stretch/>
      </xdr:blipFill>
      <xdr:spPr>
        <a:xfrm>
          <a:off x="615950" y="7934793"/>
          <a:ext cx="5490030" cy="5364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enriette Walz" id="{66B29046-409F-4C98-8CDF-7249A55BDB22}" userId="S::hwalz@ra.org::8b4f88d3-5841-4a00-8970-4df567d980f6" providerId="AD"/>
  <person displayName="Kunera Moore" id="{18A24C2E-2584-43CD-B719-4841DF78E602}" userId="S::KMoore@ra.org::83dad768-c949-43d2-a23f-86d40e449d0e" providerId="AD"/>
  <person displayName="Rens Rutten" id="{D70C7BD0-8688-4390-B031-28CEEC54110D}" userId="S::rrutten@ra.org::8c5740b9-fb75-405c-b053-5b74d6783a17" providerId="AD"/>
  <person displayName="Martin Noponen" id="{26CE0772-FC01-4A4D-9C5A-7D020A48EEF3}" userId="S::mnoponen@ra.org::40d57d67-7e7e-46d6-a63b-d2a8af0cd633" providerId="AD"/>
  <person displayName="Meike Engelhard" id="{C8B2BD1E-4883-4CFE-9F0D-37F6F9D42830}" userId="S::mengelhard@ra.org::e2485ffe-5f14-40c0-a5ff-997b1ec734a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24" dT="2020-04-08T07:54:46.74" personId="{66B29046-409F-4C98-8CDF-7249A55BDB22}" id="{D77DCAB9-A0FF-4DCB-AA30-8E42EAEBFD83}">
    <text xml:space="preserve">I think we should ask this for everyone - because it is likely that there are areas of natural ecosystems / natural vegetation cover that are not connected; to me this is one of the priorities where a lot could be gained, also looking at the question of Anneke "What are the priorities for groups". So I would delete the "other variable" here
</text>
  </threadedComment>
  <threadedComment ref="F126" dT="2020-04-08T07:57:04.61" personId="{66B29046-409F-4C98-8CDF-7249A55BDB22}" id="{B1906721-8D61-4664-8B67-8D8FA813BAF1}">
    <text xml:space="preserve">To me this is part of the overall plan to comply with 4.2.3; i.e. those natural ecosystems/vegetation that doesn't contain local species should move towards those and can then be counted as "natural vegetation".
But I am wondering now, whether we shouldn't make this question then more broad, and leading to all management actions to reach 4.2.3; for example, we could ask "Do you expect to have percentages of natural vegetation that are close to 10/15%"; and then we coudl give examples like "identify areas that you could restore" etc. But it would be a bit double with the 4.2.4 - But I am now wondering whether this wouldn't be the cleaner option. Rens, happy to talk about this if you want!
</text>
  </threadedComment>
</ThreadedComments>
</file>

<file path=xl/threadedComments/threadedComment2.xml><?xml version="1.0" encoding="utf-8"?>
<ThreadedComments xmlns="http://schemas.microsoft.com/office/spreadsheetml/2018/threadedcomments" xmlns:x="http://schemas.openxmlformats.org/spreadsheetml/2006/main">
  <threadedComment ref="I108" dT="2020-01-08T13:37:47.48" personId="{26CE0772-FC01-4A4D-9C5A-7D020A48EEF3}" id="{20AD0091-992C-4E2A-9B8F-2790C5B54A87}">
    <text xml:space="preserve">All for now. But once the CC risk/impact screening has been automated and included only countries that fall into med or high risk categories need to fulfil these criteria
</text>
  </threadedComment>
</ThreadedComments>
</file>

<file path=xl/threadedComments/threadedComment3.xml><?xml version="1.0" encoding="utf-8"?>
<ThreadedComments xmlns="http://schemas.microsoft.com/office/spreadsheetml/2018/threadedcomments" xmlns:x="http://schemas.openxmlformats.org/spreadsheetml/2006/main">
  <threadedComment ref="F66" dT="2020-02-19T09:32:20.47" personId="{D70C7BD0-8688-4390-B031-28CEEC54110D}" id="{D86FAB50-634A-4CDC-8C53-5B6E1B17CEE8}">
    <text xml:space="preserve">Questions that need to be verified at the level of the group members should be included in the internal inspection tool, not in this risk assessment
</text>
  </threadedComment>
  <threadedComment ref="I69" dT="2020-01-09T13:45:09.73" personId="{C8B2BD1E-4883-4CFE-9F0D-37F6F9D42830}" id="{5EE8AF6A-808A-4DED-AD6A-D677A866E58F}">
    <text xml:space="preserve">Group management does not have the list of under 18 aged group member workers or uner 18 family of group member workers. This could be potentially done in year 1 with under 18 children of group members.
</text>
  </threadedComment>
  <threadedComment ref="I69" dT="2020-02-17T17:17:15.24" personId="{18A24C2E-2584-43CD-B719-4841DF78E602}" id="{BC2FCEC7-73F3-4DDC-95FD-2C2291DE59AD}" parentId="{5EE8AF6A-808A-4DED-AD6A-D677A866E58F}">
    <text>meike totally agree - have changed</text>
  </threadedComment>
  <threadedComment ref="F70" dT="2020-02-19T09:32:45.55" personId="{D70C7BD0-8688-4390-B031-28CEEC54110D}" id="{6E9FE9EA-A14B-4934-808B-1A9E3C98243A}">
    <text xml:space="preserve">question for internal inspection
</text>
  </threadedComment>
  <threadedComment ref="F92" dT="2020-02-19T09:33:51.97" personId="{D70C7BD0-8688-4390-B031-28CEEC54110D}" id="{DAB26FE6-4FDB-4EB8-B49D-D6C21318F750}">
    <text xml:space="preserve">do we need to specify what is 'significant'?
</text>
  </threadedComment>
  <threadedComment ref="H128" dT="2020-01-08T13:37:47.48" personId="{26CE0772-FC01-4A4D-9C5A-7D020A48EEF3}" id="{FD94C455-077A-4296-B815-6804B40ABE96}">
    <text xml:space="preserve">All for now. But once the CC risk/impact screening has been automated and included only countries that fall into med or high risk categories need to fulfil these criteria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K1:R19"/>
  <sheetViews>
    <sheetView workbookViewId="0">
      <selection activeCell="K4" sqref="K4"/>
    </sheetView>
  </sheetViews>
  <sheetFormatPr defaultColWidth="8.81640625" defaultRowHeight="14.5" x14ac:dyDescent="0.35"/>
  <cols>
    <col min="16" max="17" width="8.81640625" style="17"/>
  </cols>
  <sheetData>
    <row r="1" spans="11:18" x14ac:dyDescent="0.35">
      <c r="P1" s="97" t="s">
        <v>0</v>
      </c>
      <c r="Q1" s="97" t="s">
        <v>1</v>
      </c>
    </row>
    <row r="2" spans="11:18" x14ac:dyDescent="0.35">
      <c r="K2" s="33">
        <f>'Group risk assessment L0'!A2</f>
        <v>0</v>
      </c>
      <c r="L2" s="1"/>
      <c r="M2" s="1"/>
      <c r="N2" s="1"/>
      <c r="O2" s="1"/>
      <c r="P2" s="35" t="e">
        <f>'Group risk assessment L0'!#REF!</f>
        <v>#REF!</v>
      </c>
      <c r="Q2" s="97" t="e">
        <f t="shared" ref="Q2:Q12" si="0">IF(P2&gt;0.25, IF(P2&gt;0.5,IF(P2&gt;0.75,3,2),1),0)</f>
        <v>#REF!</v>
      </c>
      <c r="R2" s="40" t="e">
        <f>IF(Q2=1,L$17,IF(Q2=2,L$18,IF(Q2=3,L$19,L$16)))</f>
        <v>#REF!</v>
      </c>
    </row>
    <row r="3" spans="11:18" x14ac:dyDescent="0.35">
      <c r="K3" s="33" t="e">
        <f>#REF!</f>
        <v>#REF!</v>
      </c>
      <c r="L3" s="1"/>
      <c r="M3" s="1"/>
      <c r="N3" s="1"/>
      <c r="O3" s="1"/>
      <c r="P3" s="35" t="e">
        <f>#REF!</f>
        <v>#REF!</v>
      </c>
      <c r="Q3" s="97" t="e">
        <f t="shared" si="0"/>
        <v>#REF!</v>
      </c>
      <c r="R3" s="40" t="e">
        <f t="shared" ref="R3:R12" si="1">IF(Q3=1,L$17,IF(Q3=2,L$18,IF(Q3=3,L$19,L$16)))</f>
        <v>#REF!</v>
      </c>
    </row>
    <row r="4" spans="11:18" x14ac:dyDescent="0.35">
      <c r="K4" s="33" t="e">
        <f>#REF!</f>
        <v>#REF!</v>
      </c>
      <c r="L4" s="1"/>
      <c r="M4" s="1"/>
      <c r="N4" s="1"/>
      <c r="O4" s="1"/>
      <c r="P4" s="35" t="e">
        <f>#REF!</f>
        <v>#REF!</v>
      </c>
      <c r="Q4" s="97" t="e">
        <f t="shared" si="0"/>
        <v>#REF!</v>
      </c>
      <c r="R4" s="40" t="e">
        <f t="shared" si="1"/>
        <v>#REF!</v>
      </c>
    </row>
    <row r="5" spans="11:18" x14ac:dyDescent="0.35">
      <c r="K5" s="33" t="e">
        <f>#REF!</f>
        <v>#REF!</v>
      </c>
      <c r="L5" s="1"/>
      <c r="M5" s="1"/>
      <c r="N5" s="1"/>
      <c r="O5" s="1"/>
      <c r="P5" s="35" t="e">
        <f>#REF!</f>
        <v>#REF!</v>
      </c>
      <c r="Q5" s="97" t="e">
        <f t="shared" si="0"/>
        <v>#REF!</v>
      </c>
      <c r="R5" s="40" t="e">
        <f t="shared" si="1"/>
        <v>#REF!</v>
      </c>
    </row>
    <row r="6" spans="11:18" x14ac:dyDescent="0.35">
      <c r="K6" s="33" t="e">
        <f>#REF!</f>
        <v>#REF!</v>
      </c>
      <c r="L6" s="1"/>
      <c r="M6" s="1"/>
      <c r="N6" s="1"/>
      <c r="O6" s="1"/>
      <c r="P6" s="35" t="e">
        <f>#REF!</f>
        <v>#REF!</v>
      </c>
      <c r="Q6" s="97" t="e">
        <f t="shared" si="0"/>
        <v>#REF!</v>
      </c>
      <c r="R6" s="40" t="e">
        <f t="shared" si="1"/>
        <v>#REF!</v>
      </c>
    </row>
    <row r="7" spans="11:18" x14ac:dyDescent="0.35">
      <c r="K7" s="1" t="e">
        <f>#REF!</f>
        <v>#REF!</v>
      </c>
      <c r="L7" s="1"/>
      <c r="M7" s="1"/>
      <c r="N7" s="1"/>
      <c r="O7" s="1"/>
      <c r="P7" s="35" t="e">
        <f>#REF!</f>
        <v>#REF!</v>
      </c>
      <c r="Q7" s="97" t="e">
        <f t="shared" si="0"/>
        <v>#REF!</v>
      </c>
      <c r="R7" s="40" t="e">
        <f t="shared" si="1"/>
        <v>#REF!</v>
      </c>
    </row>
    <row r="8" spans="11:18" x14ac:dyDescent="0.35">
      <c r="K8" s="1" t="e">
        <f>#REF!</f>
        <v>#REF!</v>
      </c>
      <c r="L8" s="1"/>
      <c r="M8" s="1"/>
      <c r="N8" s="1"/>
      <c r="O8" s="1"/>
      <c r="P8" s="35" t="e">
        <f>#REF!</f>
        <v>#REF!</v>
      </c>
      <c r="Q8" s="97" t="e">
        <f t="shared" si="0"/>
        <v>#REF!</v>
      </c>
      <c r="R8" s="40" t="e">
        <f t="shared" si="1"/>
        <v>#REF!</v>
      </c>
    </row>
    <row r="9" spans="11:18" x14ac:dyDescent="0.35">
      <c r="K9" s="1" t="e">
        <f>#REF!</f>
        <v>#REF!</v>
      </c>
      <c r="L9" s="1"/>
      <c r="M9" s="1"/>
      <c r="N9" s="1"/>
      <c r="O9" s="1"/>
      <c r="P9" s="35" t="e">
        <f>#REF!</f>
        <v>#REF!</v>
      </c>
      <c r="Q9" s="97" t="e">
        <f t="shared" si="0"/>
        <v>#REF!</v>
      </c>
      <c r="R9" s="40" t="e">
        <f t="shared" si="1"/>
        <v>#REF!</v>
      </c>
    </row>
    <row r="10" spans="11:18" x14ac:dyDescent="0.35">
      <c r="K10" s="1" t="e">
        <f>#REF!</f>
        <v>#REF!</v>
      </c>
      <c r="L10" s="1"/>
      <c r="M10" s="1"/>
      <c r="N10" s="1"/>
      <c r="O10" s="1"/>
      <c r="P10" s="35" t="e">
        <f>#REF!</f>
        <v>#REF!</v>
      </c>
      <c r="Q10" s="97" t="e">
        <f t="shared" si="0"/>
        <v>#REF!</v>
      </c>
      <c r="R10" s="40" t="e">
        <f t="shared" si="1"/>
        <v>#REF!</v>
      </c>
    </row>
    <row r="11" spans="11:18" x14ac:dyDescent="0.35">
      <c r="K11" s="1" t="e">
        <f>#REF!</f>
        <v>#REF!</v>
      </c>
      <c r="L11" s="1"/>
      <c r="M11" s="1"/>
      <c r="N11" s="1"/>
      <c r="O11" s="1"/>
      <c r="P11" s="38" t="e">
        <f>#REF!</f>
        <v>#REF!</v>
      </c>
      <c r="Q11" s="39" t="e">
        <f t="shared" si="0"/>
        <v>#REF!</v>
      </c>
      <c r="R11" s="43" t="e">
        <f t="shared" si="1"/>
        <v>#REF!</v>
      </c>
    </row>
    <row r="12" spans="11:18" x14ac:dyDescent="0.35">
      <c r="P12" s="35" t="e">
        <f>AVERAGE(P2:P11)</f>
        <v>#REF!</v>
      </c>
      <c r="Q12" s="97" t="e">
        <f t="shared" si="0"/>
        <v>#REF!</v>
      </c>
      <c r="R12" s="40" t="e">
        <f t="shared" si="1"/>
        <v>#REF!</v>
      </c>
    </row>
    <row r="15" spans="11:18" x14ac:dyDescent="0.35">
      <c r="K15" s="41" t="s">
        <v>1</v>
      </c>
      <c r="P15" s="97"/>
      <c r="Q15" s="97"/>
    </row>
    <row r="16" spans="11:18" x14ac:dyDescent="0.35">
      <c r="K16" s="41">
        <v>0</v>
      </c>
      <c r="L16" s="42">
        <v>0</v>
      </c>
      <c r="P16" s="97"/>
      <c r="Q16" s="97"/>
    </row>
    <row r="17" spans="11:12" x14ac:dyDescent="0.35">
      <c r="K17" s="41">
        <v>1</v>
      </c>
      <c r="L17" s="40" t="s">
        <v>2</v>
      </c>
    </row>
    <row r="18" spans="11:12" x14ac:dyDescent="0.35">
      <c r="K18" s="41">
        <v>2</v>
      </c>
      <c r="L18" s="40" t="s">
        <v>3</v>
      </c>
    </row>
    <row r="19" spans="11:12" x14ac:dyDescent="0.35">
      <c r="K19" s="41">
        <v>3</v>
      </c>
      <c r="L19" s="40" t="s">
        <v>4</v>
      </c>
    </row>
  </sheetData>
  <customSheetViews>
    <customSheetView guid="{59B363CD-3DDC-B04B-9DA2-AD720BF8C467}" state="hidden">
      <selection activeCell="K4" sqref="K4"/>
      <pageMargins left="0" right="0" top="0" bottom="0" header="0" footer="0"/>
    </customSheetView>
    <customSheetView guid="{C2C56F38-527D-46F3-8E7F-3C5092082195}" state="hidden">
      <selection activeCell="K4" sqref="K4"/>
      <pageMargins left="0" right="0" top="0" bottom="0" header="0" footer="0"/>
    </customSheetView>
  </customSheetViews>
  <conditionalFormatting sqref="R2">
    <cfRule type="cellIs" dxfId="7" priority="5" operator="equal">
      <formula>$L$19</formula>
    </cfRule>
    <cfRule type="cellIs" dxfId="6" priority="9" operator="equal">
      <formula>$L$16</formula>
    </cfRule>
    <cfRule type="cellIs" dxfId="5" priority="12" operator="equal">
      <formula>$L$18</formula>
    </cfRule>
    <cfRule type="cellIs" dxfId="4" priority="13" operator="equal">
      <formula>$L$17</formula>
    </cfRule>
  </conditionalFormatting>
  <conditionalFormatting sqref="R3:R12">
    <cfRule type="cellIs" dxfId="3" priority="1" operator="equal">
      <formula>$L$19</formula>
    </cfRule>
    <cfRule type="cellIs" dxfId="2" priority="2" operator="equal">
      <formula>$L$16</formula>
    </cfRule>
    <cfRule type="cellIs" dxfId="1" priority="3" operator="equal">
      <formula>$L$18</formula>
    </cfRule>
    <cfRule type="cellIs" dxfId="0" priority="4" operator="equal">
      <formula>$L$17</formula>
    </cfRule>
  </conditionalFormatting>
  <pageMargins left="0.75" right="0.75" top="1" bottom="1" header="0.5" footer="0.5"/>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J366"/>
  <sheetViews>
    <sheetView zoomScale="80" zoomScaleNormal="80" zoomScalePageLayoutView="80" workbookViewId="0">
      <pane xSplit="1" ySplit="2" topLeftCell="F6" activePane="bottomRight" state="frozenSplit"/>
      <selection pane="topRight" activeCell="B1" sqref="B1"/>
      <selection pane="bottomLeft" activeCell="A3" sqref="A3"/>
      <selection pane="bottomRight" activeCell="I147" sqref="I147"/>
    </sheetView>
  </sheetViews>
  <sheetFormatPr defaultColWidth="9.1796875" defaultRowHeight="13" x14ac:dyDescent="0.3"/>
  <cols>
    <col min="1" max="1" width="9.81640625" style="94" customWidth="1"/>
    <col min="2" max="2" width="19.1796875" style="202" customWidth="1"/>
    <col min="3" max="3" width="18.453125" style="217" customWidth="1"/>
    <col min="4" max="4" width="21.54296875" style="210" customWidth="1"/>
    <col min="5" max="5" width="15.453125" style="102" customWidth="1"/>
    <col min="6" max="6" width="49" style="93" customWidth="1"/>
    <col min="7" max="7" width="11.453125" style="94" customWidth="1"/>
    <col min="8" max="8" width="15.81640625" style="93" customWidth="1"/>
    <col min="9" max="9" width="129" style="94" customWidth="1"/>
    <col min="10" max="10" width="75.1796875" style="94" customWidth="1"/>
    <col min="11" max="16384" width="9.1796875" style="94"/>
  </cols>
  <sheetData>
    <row r="1" spans="1:10" ht="45.75" customHeight="1" x14ac:dyDescent="0.3">
      <c r="A1" s="294"/>
      <c r="C1" s="441"/>
      <c r="F1" s="293"/>
      <c r="G1" s="294"/>
      <c r="H1" s="293"/>
      <c r="I1" s="294"/>
      <c r="J1" s="294"/>
    </row>
    <row r="2" spans="1:10" ht="46.5" x14ac:dyDescent="0.3">
      <c r="A2" s="95" t="s">
        <v>5</v>
      </c>
      <c r="B2" s="219" t="s">
        <v>6</v>
      </c>
      <c r="C2" s="211" t="s">
        <v>7</v>
      </c>
      <c r="D2" s="203" t="s">
        <v>8</v>
      </c>
      <c r="E2" s="101" t="s">
        <v>9</v>
      </c>
      <c r="F2" s="267" t="s">
        <v>10</v>
      </c>
      <c r="G2" s="95" t="s">
        <v>11</v>
      </c>
      <c r="H2" s="271" t="s">
        <v>12</v>
      </c>
      <c r="I2" s="96" t="s">
        <v>13</v>
      </c>
      <c r="J2" s="218" t="s">
        <v>14</v>
      </c>
    </row>
    <row r="3" spans="1:10" s="76" customFormat="1" ht="20.25" customHeight="1" x14ac:dyDescent="0.35">
      <c r="A3" s="177"/>
      <c r="B3" s="201" t="s">
        <v>15</v>
      </c>
      <c r="C3" s="212"/>
      <c r="D3" s="204"/>
      <c r="E3" s="179"/>
      <c r="F3" s="268"/>
      <c r="G3" s="177"/>
      <c r="H3" s="268"/>
      <c r="I3" s="177"/>
      <c r="J3" s="80"/>
    </row>
    <row r="4" spans="1:10" s="75" customFormat="1" ht="34.5" customHeight="1" x14ac:dyDescent="0.35">
      <c r="A4" s="591">
        <v>1</v>
      </c>
      <c r="B4" s="563"/>
      <c r="C4" s="214" t="s">
        <v>16</v>
      </c>
      <c r="D4" s="208"/>
      <c r="E4" s="576" t="s">
        <v>17</v>
      </c>
      <c r="F4" s="596" t="s">
        <v>18</v>
      </c>
      <c r="G4" s="76" t="s">
        <v>19</v>
      </c>
      <c r="H4" s="582" t="s">
        <v>20</v>
      </c>
      <c r="I4" s="256" t="s">
        <v>21</v>
      </c>
      <c r="J4" s="76"/>
    </row>
    <row r="5" spans="1:10" ht="48" customHeight="1" x14ac:dyDescent="0.3">
      <c r="A5" s="592"/>
      <c r="B5" s="563"/>
      <c r="C5" s="214" t="s">
        <v>16</v>
      </c>
      <c r="D5" s="208"/>
      <c r="E5" s="576" t="s">
        <v>17</v>
      </c>
      <c r="F5" s="597"/>
      <c r="G5" s="77" t="s">
        <v>22</v>
      </c>
      <c r="H5" s="147" t="s">
        <v>23</v>
      </c>
      <c r="I5" s="77" t="s">
        <v>24</v>
      </c>
      <c r="J5" s="188" t="s">
        <v>25</v>
      </c>
    </row>
    <row r="6" spans="1:10" ht="33.75" customHeight="1" x14ac:dyDescent="0.3">
      <c r="A6" s="592"/>
      <c r="B6" s="563"/>
      <c r="C6" s="214" t="s">
        <v>26</v>
      </c>
      <c r="D6" s="208"/>
      <c r="E6" s="576" t="s">
        <v>17</v>
      </c>
      <c r="F6" s="596" t="s">
        <v>27</v>
      </c>
      <c r="G6" s="76" t="s">
        <v>19</v>
      </c>
      <c r="H6" s="582" t="s">
        <v>20</v>
      </c>
      <c r="I6" s="256" t="s">
        <v>21</v>
      </c>
      <c r="J6" s="188"/>
    </row>
    <row r="7" spans="1:10" ht="52.5" customHeight="1" x14ac:dyDescent="0.3">
      <c r="A7" s="593"/>
      <c r="B7" s="563"/>
      <c r="C7" s="214" t="s">
        <v>26</v>
      </c>
      <c r="D7" s="208"/>
      <c r="E7" s="576" t="s">
        <v>17</v>
      </c>
      <c r="F7" s="597"/>
      <c r="G7" s="77" t="s">
        <v>22</v>
      </c>
      <c r="H7" s="147" t="s">
        <v>23</v>
      </c>
      <c r="I7" s="77" t="s">
        <v>28</v>
      </c>
      <c r="J7" s="188" t="s">
        <v>29</v>
      </c>
    </row>
    <row r="8" spans="1:10" s="73" customFormat="1" ht="84.75" customHeight="1" x14ac:dyDescent="0.35">
      <c r="A8" s="610">
        <v>2</v>
      </c>
      <c r="B8" s="635" t="s">
        <v>30</v>
      </c>
      <c r="C8" s="53" t="s">
        <v>16</v>
      </c>
      <c r="D8" s="205"/>
      <c r="E8" s="580" t="s">
        <v>31</v>
      </c>
      <c r="F8" s="600" t="s">
        <v>32</v>
      </c>
      <c r="G8" s="580" t="s">
        <v>33</v>
      </c>
      <c r="H8" s="579" t="s">
        <v>20</v>
      </c>
      <c r="I8" s="181" t="s">
        <v>34</v>
      </c>
      <c r="J8" s="580"/>
    </row>
    <row r="9" spans="1:10" s="73" customFormat="1" ht="66.75" customHeight="1" x14ac:dyDescent="0.35">
      <c r="A9" s="621"/>
      <c r="B9" s="636"/>
      <c r="C9" s="53" t="s">
        <v>16</v>
      </c>
      <c r="D9" s="205"/>
      <c r="E9" s="580" t="s">
        <v>31</v>
      </c>
      <c r="F9" s="601"/>
      <c r="G9" s="580" t="s">
        <v>19</v>
      </c>
      <c r="H9" s="578" t="s">
        <v>20</v>
      </c>
      <c r="I9" s="228" t="s">
        <v>35</v>
      </c>
      <c r="J9" s="580"/>
    </row>
    <row r="10" spans="1:10" s="73" customFormat="1" ht="86.25" customHeight="1" x14ac:dyDescent="0.35">
      <c r="A10" s="621"/>
      <c r="B10" s="636"/>
      <c r="C10" s="53" t="s">
        <v>26</v>
      </c>
      <c r="D10" s="205"/>
      <c r="E10" s="580" t="s">
        <v>36</v>
      </c>
      <c r="F10" s="642" t="s">
        <v>37</v>
      </c>
      <c r="G10" s="580" t="s">
        <v>33</v>
      </c>
      <c r="H10" s="579" t="s">
        <v>23</v>
      </c>
      <c r="I10" s="228" t="s">
        <v>38</v>
      </c>
      <c r="J10" s="580"/>
    </row>
    <row r="11" spans="1:10" s="76" customFormat="1" ht="67.5" customHeight="1" x14ac:dyDescent="0.35">
      <c r="A11" s="611"/>
      <c r="B11" s="636"/>
      <c r="C11" s="62" t="s">
        <v>26</v>
      </c>
      <c r="D11" s="206"/>
      <c r="E11" s="581" t="s">
        <v>36</v>
      </c>
      <c r="F11" s="643"/>
      <c r="G11" s="565" t="s">
        <v>39</v>
      </c>
      <c r="H11" s="272" t="s">
        <v>23</v>
      </c>
      <c r="I11" s="228" t="s">
        <v>40</v>
      </c>
      <c r="J11" s="580"/>
    </row>
    <row r="12" spans="1:10" s="76" customFormat="1" ht="93.75" customHeight="1" x14ac:dyDescent="0.35">
      <c r="A12" s="610">
        <v>3</v>
      </c>
      <c r="B12" s="636"/>
      <c r="C12" s="53" t="s">
        <v>16</v>
      </c>
      <c r="D12" s="205"/>
      <c r="E12" s="580" t="s">
        <v>41</v>
      </c>
      <c r="F12" s="626" t="s">
        <v>42</v>
      </c>
      <c r="G12" s="580" t="s">
        <v>33</v>
      </c>
      <c r="H12" s="578" t="s">
        <v>20</v>
      </c>
      <c r="I12" s="284" t="s">
        <v>43</v>
      </c>
      <c r="J12" s="580" t="s">
        <v>44</v>
      </c>
    </row>
    <row r="13" spans="1:10" s="76" customFormat="1" ht="25.5" customHeight="1" x14ac:dyDescent="0.35">
      <c r="A13" s="611"/>
      <c r="B13" s="636"/>
      <c r="C13" s="53" t="s">
        <v>16</v>
      </c>
      <c r="D13" s="205"/>
      <c r="E13" s="580" t="s">
        <v>41</v>
      </c>
      <c r="F13" s="627"/>
      <c r="G13" s="580" t="s">
        <v>19</v>
      </c>
      <c r="H13" s="578" t="s">
        <v>20</v>
      </c>
      <c r="I13" s="181" t="s">
        <v>21</v>
      </c>
      <c r="J13" s="580"/>
    </row>
    <row r="14" spans="1:10" s="76" customFormat="1" ht="57" customHeight="1" x14ac:dyDescent="0.35">
      <c r="A14" s="610">
        <v>4</v>
      </c>
      <c r="B14" s="636"/>
      <c r="C14" s="53" t="s">
        <v>16</v>
      </c>
      <c r="D14" s="207"/>
      <c r="E14" s="580" t="s">
        <v>45</v>
      </c>
      <c r="F14" s="580" t="s">
        <v>46</v>
      </c>
      <c r="G14" s="581" t="s">
        <v>33</v>
      </c>
      <c r="H14" s="578" t="s">
        <v>20</v>
      </c>
      <c r="I14" s="580" t="s">
        <v>47</v>
      </c>
      <c r="J14" s="581"/>
    </row>
    <row r="15" spans="1:10" s="76" customFormat="1" ht="42" customHeight="1" x14ac:dyDescent="0.35">
      <c r="A15" s="611"/>
      <c r="B15" s="636"/>
      <c r="C15" s="53" t="s">
        <v>16</v>
      </c>
      <c r="D15" s="207"/>
      <c r="E15" s="580" t="s">
        <v>45</v>
      </c>
      <c r="F15" s="580" t="s">
        <v>46</v>
      </c>
      <c r="G15" s="581" t="s">
        <v>19</v>
      </c>
      <c r="H15" s="578" t="s">
        <v>20</v>
      </c>
      <c r="I15" s="580" t="s">
        <v>48</v>
      </c>
      <c r="J15" s="581"/>
    </row>
    <row r="16" spans="1:10" s="76" customFormat="1" ht="42" customHeight="1" x14ac:dyDescent="0.35">
      <c r="A16" s="610">
        <v>5</v>
      </c>
      <c r="B16" s="636"/>
      <c r="C16" s="53" t="s">
        <v>16</v>
      </c>
      <c r="D16" s="205"/>
      <c r="E16" s="580" t="s">
        <v>41</v>
      </c>
      <c r="F16" s="600" t="s">
        <v>49</v>
      </c>
      <c r="G16" s="580" t="s">
        <v>33</v>
      </c>
      <c r="H16" s="578" t="s">
        <v>23</v>
      </c>
      <c r="I16" s="284" t="s">
        <v>50</v>
      </c>
      <c r="J16" s="580" t="s">
        <v>51</v>
      </c>
    </row>
    <row r="17" spans="1:10" s="76" customFormat="1" ht="42" customHeight="1" x14ac:dyDescent="0.35">
      <c r="A17" s="611"/>
      <c r="B17" s="636"/>
      <c r="C17" s="53" t="s">
        <v>16</v>
      </c>
      <c r="D17" s="205"/>
      <c r="E17" s="580" t="s">
        <v>41</v>
      </c>
      <c r="F17" s="601"/>
      <c r="G17" s="580" t="s">
        <v>19</v>
      </c>
      <c r="H17" s="578" t="s">
        <v>23</v>
      </c>
      <c r="I17" s="181" t="s">
        <v>21</v>
      </c>
      <c r="J17" s="580" t="s">
        <v>52</v>
      </c>
    </row>
    <row r="18" spans="1:10" s="76" customFormat="1" ht="42" customHeight="1" x14ac:dyDescent="0.35">
      <c r="A18" s="610">
        <v>6</v>
      </c>
      <c r="B18" s="636"/>
      <c r="C18" s="53" t="s">
        <v>16</v>
      </c>
      <c r="D18" s="205"/>
      <c r="E18" s="580" t="s">
        <v>45</v>
      </c>
      <c r="F18" s="600" t="s">
        <v>53</v>
      </c>
      <c r="G18" s="580" t="s">
        <v>33</v>
      </c>
      <c r="H18" s="578" t="s">
        <v>54</v>
      </c>
      <c r="I18" s="284" t="s">
        <v>55</v>
      </c>
      <c r="J18" s="580" t="s">
        <v>56</v>
      </c>
    </row>
    <row r="19" spans="1:10" s="76" customFormat="1" ht="42" customHeight="1" x14ac:dyDescent="0.35">
      <c r="A19" s="611"/>
      <c r="B19" s="637"/>
      <c r="C19" s="53" t="s">
        <v>16</v>
      </c>
      <c r="D19" s="205"/>
      <c r="E19" s="580" t="s">
        <v>45</v>
      </c>
      <c r="F19" s="601"/>
      <c r="G19" s="580" t="s">
        <v>19</v>
      </c>
      <c r="H19" s="578" t="s">
        <v>23</v>
      </c>
      <c r="I19" s="181" t="s">
        <v>21</v>
      </c>
      <c r="J19" s="580" t="s">
        <v>57</v>
      </c>
    </row>
    <row r="20" spans="1:10" ht="22.5" customHeight="1" x14ac:dyDescent="0.3">
      <c r="A20" s="591">
        <v>7</v>
      </c>
      <c r="B20" s="623" t="s">
        <v>58</v>
      </c>
      <c r="C20" s="53" t="s">
        <v>16</v>
      </c>
      <c r="D20" s="205"/>
      <c r="E20" s="580" t="s">
        <v>59</v>
      </c>
      <c r="F20" s="600" t="s">
        <v>60</v>
      </c>
      <c r="G20" s="580" t="s">
        <v>61</v>
      </c>
      <c r="H20" s="579" t="s">
        <v>23</v>
      </c>
      <c r="I20" s="181" t="s">
        <v>21</v>
      </c>
      <c r="J20" s="580" t="s">
        <v>62</v>
      </c>
    </row>
    <row r="21" spans="1:10" ht="41.25" customHeight="1" x14ac:dyDescent="0.3">
      <c r="A21" s="593"/>
      <c r="B21" s="624"/>
      <c r="C21" s="53" t="s">
        <v>16</v>
      </c>
      <c r="D21" s="205"/>
      <c r="E21" s="580" t="s">
        <v>63</v>
      </c>
      <c r="F21" s="601"/>
      <c r="G21" s="580" t="s">
        <v>64</v>
      </c>
      <c r="H21" s="578" t="s">
        <v>23</v>
      </c>
      <c r="I21" s="228" t="s">
        <v>65</v>
      </c>
      <c r="J21" s="580" t="s">
        <v>66</v>
      </c>
    </row>
    <row r="22" spans="1:10" ht="27.65" customHeight="1" x14ac:dyDescent="0.3">
      <c r="A22" s="591">
        <v>8</v>
      </c>
      <c r="B22" s="624"/>
      <c r="C22" s="53" t="s">
        <v>16</v>
      </c>
      <c r="D22" s="205"/>
      <c r="E22" s="580" t="s">
        <v>67</v>
      </c>
      <c r="F22" s="626" t="s">
        <v>68</v>
      </c>
      <c r="G22" s="580" t="s">
        <v>61</v>
      </c>
      <c r="H22" s="578" t="s">
        <v>23</v>
      </c>
      <c r="I22" s="181" t="s">
        <v>21</v>
      </c>
      <c r="J22" s="580"/>
    </row>
    <row r="23" spans="1:10" ht="39" x14ac:dyDescent="0.3">
      <c r="A23" s="593"/>
      <c r="B23" s="624"/>
      <c r="C23" s="53" t="s">
        <v>16</v>
      </c>
      <c r="D23" s="205"/>
      <c r="E23" s="580" t="s">
        <v>67</v>
      </c>
      <c r="F23" s="627"/>
      <c r="G23" s="580" t="s">
        <v>64</v>
      </c>
      <c r="H23" s="578" t="s">
        <v>23</v>
      </c>
      <c r="I23" s="181" t="s">
        <v>69</v>
      </c>
      <c r="J23" s="580"/>
    </row>
    <row r="24" spans="1:10" ht="20.25" customHeight="1" x14ac:dyDescent="0.3">
      <c r="A24" s="591">
        <v>9</v>
      </c>
      <c r="B24" s="624"/>
      <c r="C24" s="53" t="s">
        <v>16</v>
      </c>
      <c r="D24" s="205"/>
      <c r="E24" s="580" t="s">
        <v>70</v>
      </c>
      <c r="F24" s="600" t="s">
        <v>71</v>
      </c>
      <c r="G24" s="580" t="s">
        <v>61</v>
      </c>
      <c r="H24" s="578" t="s">
        <v>23</v>
      </c>
      <c r="I24" s="181" t="s">
        <v>21</v>
      </c>
      <c r="J24" s="580"/>
    </row>
    <row r="25" spans="1:10" ht="65" x14ac:dyDescent="0.3">
      <c r="A25" s="593"/>
      <c r="B25" s="625"/>
      <c r="C25" s="53" t="s">
        <v>16</v>
      </c>
      <c r="D25" s="205"/>
      <c r="E25" s="580" t="s">
        <v>70</v>
      </c>
      <c r="F25" s="601"/>
      <c r="G25" s="580" t="s">
        <v>64</v>
      </c>
      <c r="H25" s="578" t="s">
        <v>23</v>
      </c>
      <c r="I25" s="580" t="s">
        <v>72</v>
      </c>
      <c r="J25" s="580"/>
    </row>
    <row r="26" spans="1:10" s="76" customFormat="1" ht="25" customHeight="1" x14ac:dyDescent="0.35">
      <c r="A26" s="177"/>
      <c r="B26" s="292" t="s">
        <v>73</v>
      </c>
      <c r="C26" s="212"/>
      <c r="D26" s="204"/>
      <c r="E26" s="178"/>
      <c r="F26" s="177"/>
      <c r="G26" s="177"/>
      <c r="H26" s="268"/>
      <c r="I26" s="177"/>
      <c r="J26" s="80"/>
    </row>
    <row r="27" spans="1:10" s="75" customFormat="1" ht="104.25" customHeight="1" x14ac:dyDescent="0.35">
      <c r="A27" s="610">
        <v>10</v>
      </c>
      <c r="B27" s="612" t="s">
        <v>74</v>
      </c>
      <c r="C27" s="213" t="s">
        <v>16</v>
      </c>
      <c r="D27" s="205" t="s">
        <v>75</v>
      </c>
      <c r="E27" s="195" t="s">
        <v>76</v>
      </c>
      <c r="F27" s="626" t="s">
        <v>77</v>
      </c>
      <c r="G27" s="580" t="s">
        <v>61</v>
      </c>
      <c r="H27" s="578" t="s">
        <v>20</v>
      </c>
      <c r="I27" s="197" t="s">
        <v>78</v>
      </c>
      <c r="J27" s="73" t="s">
        <v>79</v>
      </c>
    </row>
    <row r="28" spans="1:10" s="75" customFormat="1" ht="35.25" customHeight="1" x14ac:dyDescent="0.35">
      <c r="A28" s="621"/>
      <c r="B28" s="614"/>
      <c r="C28" s="213" t="s">
        <v>16</v>
      </c>
      <c r="D28" s="205" t="s">
        <v>75</v>
      </c>
      <c r="E28" s="195" t="s">
        <v>76</v>
      </c>
      <c r="F28" s="627"/>
      <c r="G28" s="580" t="s">
        <v>19</v>
      </c>
      <c r="H28" s="578" t="s">
        <v>20</v>
      </c>
      <c r="I28" s="181" t="s">
        <v>21</v>
      </c>
      <c r="J28" s="73"/>
    </row>
    <row r="29" spans="1:10" s="75" customFormat="1" ht="108" customHeight="1" x14ac:dyDescent="0.35">
      <c r="A29" s="621"/>
      <c r="B29" s="612" t="s">
        <v>74</v>
      </c>
      <c r="C29" s="213" t="s">
        <v>26</v>
      </c>
      <c r="D29" s="205" t="s">
        <v>75</v>
      </c>
      <c r="E29" s="195" t="s">
        <v>76</v>
      </c>
      <c r="F29" s="626" t="s">
        <v>80</v>
      </c>
      <c r="G29" s="580" t="s">
        <v>61</v>
      </c>
      <c r="H29" s="578" t="s">
        <v>20</v>
      </c>
      <c r="I29" s="197" t="s">
        <v>81</v>
      </c>
      <c r="J29" s="73"/>
    </row>
    <row r="30" spans="1:10" s="75" customFormat="1" ht="38.25" customHeight="1" x14ac:dyDescent="0.35">
      <c r="A30" s="611"/>
      <c r="B30" s="614"/>
      <c r="C30" s="213" t="s">
        <v>26</v>
      </c>
      <c r="D30" s="205" t="s">
        <v>75</v>
      </c>
      <c r="E30" s="195" t="s">
        <v>76</v>
      </c>
      <c r="F30" s="627"/>
      <c r="G30" s="580" t="s">
        <v>19</v>
      </c>
      <c r="H30" s="578" t="s">
        <v>23</v>
      </c>
      <c r="I30" s="229" t="s">
        <v>21</v>
      </c>
      <c r="J30" s="73"/>
    </row>
    <row r="31" spans="1:10" s="75" customFormat="1" ht="104.25" customHeight="1" x14ac:dyDescent="0.35">
      <c r="A31" s="610">
        <v>11</v>
      </c>
      <c r="B31" s="612" t="s">
        <v>74</v>
      </c>
      <c r="C31" s="213" t="s">
        <v>16</v>
      </c>
      <c r="D31" s="205" t="s">
        <v>75</v>
      </c>
      <c r="E31" s="195" t="s">
        <v>76</v>
      </c>
      <c r="F31" s="626" t="s">
        <v>82</v>
      </c>
      <c r="G31" s="580" t="s">
        <v>61</v>
      </c>
      <c r="H31" s="578" t="s">
        <v>20</v>
      </c>
      <c r="I31" s="197" t="s">
        <v>83</v>
      </c>
      <c r="J31" s="73" t="s">
        <v>79</v>
      </c>
    </row>
    <row r="32" spans="1:10" s="75" customFormat="1" ht="35.25" customHeight="1" x14ac:dyDescent="0.35">
      <c r="A32" s="621"/>
      <c r="B32" s="614"/>
      <c r="C32" s="213" t="s">
        <v>16</v>
      </c>
      <c r="D32" s="205" t="s">
        <v>75</v>
      </c>
      <c r="E32" s="195" t="s">
        <v>76</v>
      </c>
      <c r="F32" s="627"/>
      <c r="G32" s="580" t="s">
        <v>19</v>
      </c>
      <c r="H32" s="578" t="s">
        <v>20</v>
      </c>
      <c r="I32" s="181" t="s">
        <v>21</v>
      </c>
      <c r="J32" s="73"/>
    </row>
    <row r="33" spans="1:10" s="75" customFormat="1" ht="108" customHeight="1" x14ac:dyDescent="0.35">
      <c r="A33" s="621"/>
      <c r="B33" s="612" t="s">
        <v>74</v>
      </c>
      <c r="C33" s="213" t="s">
        <v>26</v>
      </c>
      <c r="D33" s="205" t="s">
        <v>75</v>
      </c>
      <c r="E33" s="195" t="s">
        <v>76</v>
      </c>
      <c r="F33" s="626" t="s">
        <v>84</v>
      </c>
      <c r="G33" s="580" t="s">
        <v>61</v>
      </c>
      <c r="H33" s="578" t="s">
        <v>20</v>
      </c>
      <c r="I33" s="197" t="s">
        <v>85</v>
      </c>
      <c r="J33" s="73"/>
    </row>
    <row r="34" spans="1:10" s="75" customFormat="1" ht="38.25" customHeight="1" x14ac:dyDescent="0.35">
      <c r="A34" s="611"/>
      <c r="B34" s="614"/>
      <c r="C34" s="213" t="s">
        <v>26</v>
      </c>
      <c r="D34" s="205" t="s">
        <v>75</v>
      </c>
      <c r="E34" s="195" t="s">
        <v>76</v>
      </c>
      <c r="F34" s="627"/>
      <c r="G34" s="580" t="s">
        <v>19</v>
      </c>
      <c r="H34" s="578" t="s">
        <v>23</v>
      </c>
      <c r="I34" s="229" t="s">
        <v>21</v>
      </c>
      <c r="J34" s="73"/>
    </row>
    <row r="35" spans="1:10" s="75" customFormat="1" ht="45" customHeight="1" x14ac:dyDescent="0.35">
      <c r="A35" s="610">
        <v>12</v>
      </c>
      <c r="B35" s="612" t="s">
        <v>74</v>
      </c>
      <c r="C35" s="213" t="s">
        <v>16</v>
      </c>
      <c r="D35" s="205" t="s">
        <v>75</v>
      </c>
      <c r="E35" s="195" t="s">
        <v>86</v>
      </c>
      <c r="F35" s="600" t="s">
        <v>87</v>
      </c>
      <c r="G35" s="580" t="s">
        <v>61</v>
      </c>
      <c r="H35" s="578" t="s">
        <v>20</v>
      </c>
      <c r="I35" s="229" t="s">
        <v>21</v>
      </c>
      <c r="J35" s="183"/>
    </row>
    <row r="36" spans="1:10" s="75" customFormat="1" ht="77.25" customHeight="1" x14ac:dyDescent="0.35">
      <c r="A36" s="611"/>
      <c r="B36" s="614"/>
      <c r="C36" s="213" t="s">
        <v>16</v>
      </c>
      <c r="D36" s="205" t="s">
        <v>75</v>
      </c>
      <c r="E36" s="195" t="s">
        <v>86</v>
      </c>
      <c r="F36" s="601"/>
      <c r="G36" s="580" t="s">
        <v>39</v>
      </c>
      <c r="H36" s="578" t="s">
        <v>20</v>
      </c>
      <c r="I36" s="198" t="s">
        <v>88</v>
      </c>
      <c r="J36" s="183"/>
    </row>
    <row r="37" spans="1:10" s="75" customFormat="1" ht="72" customHeight="1" x14ac:dyDescent="0.35">
      <c r="A37" s="610">
        <v>13</v>
      </c>
      <c r="B37" s="291"/>
      <c r="C37" s="213" t="s">
        <v>16</v>
      </c>
      <c r="D37" s="205" t="s">
        <v>75</v>
      </c>
      <c r="E37" s="195" t="s">
        <v>89</v>
      </c>
      <c r="F37" s="600" t="s">
        <v>90</v>
      </c>
      <c r="G37" s="580" t="s">
        <v>33</v>
      </c>
      <c r="H37" s="578" t="s">
        <v>20</v>
      </c>
      <c r="I37" s="229" t="s">
        <v>21</v>
      </c>
      <c r="J37" s="183" t="s">
        <v>91</v>
      </c>
    </row>
    <row r="38" spans="1:10" s="75" customFormat="1" ht="103.5" customHeight="1" x14ac:dyDescent="0.35">
      <c r="A38" s="621"/>
      <c r="B38" s="291"/>
      <c r="C38" s="213" t="s">
        <v>16</v>
      </c>
      <c r="D38" s="205" t="s">
        <v>75</v>
      </c>
      <c r="E38" s="195" t="s">
        <v>89</v>
      </c>
      <c r="F38" s="601"/>
      <c r="G38" s="580" t="s">
        <v>19</v>
      </c>
      <c r="H38" s="578" t="s">
        <v>20</v>
      </c>
      <c r="I38" s="285" t="s">
        <v>92</v>
      </c>
      <c r="J38" s="180" t="s">
        <v>93</v>
      </c>
    </row>
    <row r="39" spans="1:10" s="75" customFormat="1" ht="32.25" customHeight="1" x14ac:dyDescent="0.35">
      <c r="A39" s="621"/>
      <c r="B39" s="291"/>
      <c r="C39" s="213" t="s">
        <v>26</v>
      </c>
      <c r="D39" s="205" t="s">
        <v>75</v>
      </c>
      <c r="E39" s="195" t="s">
        <v>89</v>
      </c>
      <c r="F39" s="600" t="s">
        <v>94</v>
      </c>
      <c r="G39" s="580" t="s">
        <v>61</v>
      </c>
      <c r="H39" s="578" t="s">
        <v>20</v>
      </c>
      <c r="I39" s="229" t="s">
        <v>21</v>
      </c>
      <c r="J39" s="183"/>
    </row>
    <row r="40" spans="1:10" s="75" customFormat="1" ht="87.75" customHeight="1" x14ac:dyDescent="0.35">
      <c r="A40" s="611"/>
      <c r="B40" s="291"/>
      <c r="C40" s="213" t="s">
        <v>26</v>
      </c>
      <c r="D40" s="205" t="s">
        <v>75</v>
      </c>
      <c r="E40" s="195" t="s">
        <v>89</v>
      </c>
      <c r="F40" s="601"/>
      <c r="G40" s="580" t="s">
        <v>95</v>
      </c>
      <c r="H40" s="578" t="s">
        <v>20</v>
      </c>
      <c r="I40" s="197" t="s">
        <v>96</v>
      </c>
      <c r="J40" s="426"/>
    </row>
    <row r="41" spans="1:10" s="76" customFormat="1" ht="42" customHeight="1" x14ac:dyDescent="0.35">
      <c r="A41" s="591">
        <v>14</v>
      </c>
      <c r="B41" s="612" t="s">
        <v>97</v>
      </c>
      <c r="C41" s="214" t="s">
        <v>23</v>
      </c>
      <c r="D41" s="206"/>
      <c r="E41" s="76" t="s">
        <v>98</v>
      </c>
      <c r="F41" s="591" t="s">
        <v>99</v>
      </c>
      <c r="G41" s="76" t="s">
        <v>61</v>
      </c>
      <c r="H41" s="582" t="s">
        <v>23</v>
      </c>
      <c r="I41" s="200" t="s">
        <v>100</v>
      </c>
      <c r="J41" s="427"/>
    </row>
    <row r="42" spans="1:10" s="76" customFormat="1" ht="41.25" customHeight="1" x14ac:dyDescent="0.35">
      <c r="A42" s="593"/>
      <c r="B42" s="613"/>
      <c r="C42" s="214" t="s">
        <v>23</v>
      </c>
      <c r="D42" s="206"/>
      <c r="E42" s="76" t="s">
        <v>98</v>
      </c>
      <c r="F42" s="593"/>
      <c r="G42" s="76" t="s">
        <v>39</v>
      </c>
      <c r="H42" s="582" t="s">
        <v>23</v>
      </c>
      <c r="I42" s="200" t="s">
        <v>101</v>
      </c>
      <c r="J42" s="427"/>
    </row>
    <row r="43" spans="1:10" s="76" customFormat="1" ht="45.75" customHeight="1" x14ac:dyDescent="0.35">
      <c r="A43" s="591">
        <v>15</v>
      </c>
      <c r="B43" s="613"/>
      <c r="C43" s="62" t="s">
        <v>23</v>
      </c>
      <c r="D43" s="206"/>
      <c r="E43" s="576" t="s">
        <v>102</v>
      </c>
      <c r="F43" s="591" t="s">
        <v>103</v>
      </c>
      <c r="G43" s="76" t="s">
        <v>61</v>
      </c>
      <c r="H43" s="582" t="s">
        <v>23</v>
      </c>
      <c r="I43" s="200" t="s">
        <v>104</v>
      </c>
      <c r="J43" s="427"/>
    </row>
    <row r="44" spans="1:10" s="76" customFormat="1" ht="42.75" customHeight="1" x14ac:dyDescent="0.35">
      <c r="A44" s="593"/>
      <c r="B44" s="613"/>
      <c r="C44" s="62" t="s">
        <v>23</v>
      </c>
      <c r="D44" s="206"/>
      <c r="E44" s="576" t="s">
        <v>102</v>
      </c>
      <c r="F44" s="593"/>
      <c r="G44" s="76" t="s">
        <v>39</v>
      </c>
      <c r="H44" s="582" t="s">
        <v>23</v>
      </c>
      <c r="I44" s="256" t="s">
        <v>21</v>
      </c>
      <c r="J44" s="428"/>
    </row>
    <row r="45" spans="1:10" s="76" customFormat="1" ht="51" customHeight="1" x14ac:dyDescent="0.35">
      <c r="A45" s="591">
        <v>16</v>
      </c>
      <c r="B45" s="613"/>
      <c r="C45" s="62" t="s">
        <v>23</v>
      </c>
      <c r="D45" s="206"/>
      <c r="E45" s="576" t="s">
        <v>102</v>
      </c>
      <c r="F45" s="591" t="s">
        <v>105</v>
      </c>
      <c r="G45" s="76" t="s">
        <v>61</v>
      </c>
      <c r="H45" s="582" t="s">
        <v>23</v>
      </c>
      <c r="I45" s="185" t="s">
        <v>106</v>
      </c>
    </row>
    <row r="46" spans="1:10" s="76" customFormat="1" ht="34.5" customHeight="1" x14ac:dyDescent="0.35">
      <c r="A46" s="593"/>
      <c r="B46" s="613"/>
      <c r="C46" s="62" t="s">
        <v>23</v>
      </c>
      <c r="D46" s="206"/>
      <c r="E46" s="576" t="s">
        <v>102</v>
      </c>
      <c r="F46" s="593"/>
      <c r="G46" s="76" t="s">
        <v>39</v>
      </c>
      <c r="H46" s="582" t="s">
        <v>23</v>
      </c>
      <c r="I46" s="256" t="s">
        <v>21</v>
      </c>
    </row>
    <row r="47" spans="1:10" s="76" customFormat="1" ht="74.25" customHeight="1" x14ac:dyDescent="0.35">
      <c r="A47" s="591">
        <v>17</v>
      </c>
      <c r="B47" s="613"/>
      <c r="C47" s="62" t="s">
        <v>23</v>
      </c>
      <c r="D47" s="206"/>
      <c r="E47" s="576" t="s">
        <v>107</v>
      </c>
      <c r="F47" s="591" t="s">
        <v>108</v>
      </c>
      <c r="G47" s="76" t="s">
        <v>61</v>
      </c>
      <c r="H47" s="582" t="s">
        <v>23</v>
      </c>
      <c r="I47" s="185" t="s">
        <v>109</v>
      </c>
    </row>
    <row r="48" spans="1:10" s="76" customFormat="1" ht="44.25" customHeight="1" x14ac:dyDescent="0.35">
      <c r="A48" s="593"/>
      <c r="B48" s="614"/>
      <c r="C48" s="62" t="s">
        <v>110</v>
      </c>
      <c r="D48" s="206"/>
      <c r="E48" s="576" t="s">
        <v>107</v>
      </c>
      <c r="F48" s="593"/>
      <c r="G48" s="76" t="s">
        <v>39</v>
      </c>
      <c r="H48" s="582" t="s">
        <v>23</v>
      </c>
      <c r="I48" s="185" t="s">
        <v>111</v>
      </c>
    </row>
    <row r="49" spans="1:10" s="76" customFormat="1" ht="25" customHeight="1" x14ac:dyDescent="0.35">
      <c r="A49" s="177"/>
      <c r="B49" s="201" t="s">
        <v>112</v>
      </c>
      <c r="C49" s="212"/>
      <c r="D49" s="204"/>
      <c r="E49" s="178"/>
      <c r="F49" s="268"/>
      <c r="G49" s="177"/>
      <c r="H49" s="268"/>
      <c r="I49" s="177"/>
      <c r="J49" s="80"/>
    </row>
    <row r="50" spans="1:10" s="198" customFormat="1" ht="36.75" customHeight="1" x14ac:dyDescent="0.35">
      <c r="A50" s="600">
        <v>18</v>
      </c>
      <c r="B50" s="615" t="s">
        <v>113</v>
      </c>
      <c r="C50" s="215" t="s">
        <v>23</v>
      </c>
      <c r="D50" s="249"/>
      <c r="E50" s="197" t="s">
        <v>114</v>
      </c>
      <c r="F50" s="598" t="s">
        <v>115</v>
      </c>
      <c r="G50" s="197" t="s">
        <v>61</v>
      </c>
      <c r="H50" s="273" t="s">
        <v>23</v>
      </c>
      <c r="I50" s="197" t="s">
        <v>116</v>
      </c>
    </row>
    <row r="51" spans="1:10" s="198" customFormat="1" ht="56.25" customHeight="1" x14ac:dyDescent="0.35">
      <c r="A51" s="601"/>
      <c r="B51" s="616"/>
      <c r="C51" s="215" t="s">
        <v>23</v>
      </c>
      <c r="D51" s="249"/>
      <c r="E51" s="197" t="s">
        <v>117</v>
      </c>
      <c r="F51" s="599"/>
      <c r="G51" s="197" t="s">
        <v>39</v>
      </c>
      <c r="H51" s="273" t="s">
        <v>23</v>
      </c>
      <c r="I51" s="197" t="s">
        <v>118</v>
      </c>
    </row>
    <row r="52" spans="1:10" s="180" customFormat="1" ht="72.75" customHeight="1" x14ac:dyDescent="0.35">
      <c r="A52" s="600">
        <v>19</v>
      </c>
      <c r="B52" s="635" t="s">
        <v>119</v>
      </c>
      <c r="C52" s="216" t="s">
        <v>23</v>
      </c>
      <c r="D52" s="207"/>
      <c r="E52" s="581" t="s">
        <v>120</v>
      </c>
      <c r="F52" s="600" t="s">
        <v>121</v>
      </c>
      <c r="G52" s="180" t="s">
        <v>33</v>
      </c>
      <c r="H52" s="578" t="s">
        <v>23</v>
      </c>
      <c r="I52" s="198" t="s">
        <v>122</v>
      </c>
    </row>
    <row r="53" spans="1:10" s="180" customFormat="1" ht="38.25" customHeight="1" x14ac:dyDescent="0.35">
      <c r="A53" s="601"/>
      <c r="B53" s="636"/>
      <c r="C53" s="216" t="s">
        <v>23</v>
      </c>
      <c r="D53" s="207"/>
      <c r="E53" s="581" t="s">
        <v>120</v>
      </c>
      <c r="F53" s="601"/>
      <c r="G53" s="180" t="s">
        <v>19</v>
      </c>
      <c r="H53" s="578" t="s">
        <v>23</v>
      </c>
      <c r="I53" s="180" t="s">
        <v>21</v>
      </c>
    </row>
    <row r="54" spans="1:10" s="180" customFormat="1" ht="25.5" customHeight="1" x14ac:dyDescent="0.3">
      <c r="A54" s="600">
        <v>20</v>
      </c>
      <c r="B54" s="636"/>
      <c r="C54" s="606" t="s">
        <v>26</v>
      </c>
      <c r="D54" s="608"/>
      <c r="E54" s="600" t="s">
        <v>120</v>
      </c>
      <c r="F54" s="640" t="s">
        <v>123</v>
      </c>
      <c r="G54" s="180" t="s">
        <v>61</v>
      </c>
      <c r="H54" s="578" t="s">
        <v>23</v>
      </c>
      <c r="I54" s="248" t="s">
        <v>21</v>
      </c>
      <c r="J54" s="578"/>
    </row>
    <row r="55" spans="1:10" s="180" customFormat="1" ht="31.5" customHeight="1" x14ac:dyDescent="0.35">
      <c r="A55" s="601"/>
      <c r="B55" s="636"/>
      <c r="C55" s="607"/>
      <c r="D55" s="609"/>
      <c r="E55" s="601"/>
      <c r="F55" s="641"/>
      <c r="G55" s="180" t="s">
        <v>39</v>
      </c>
      <c r="H55" s="578" t="s">
        <v>23</v>
      </c>
      <c r="I55" s="220" t="s">
        <v>124</v>
      </c>
      <c r="J55" s="578"/>
    </row>
    <row r="56" spans="1:10" s="180" customFormat="1" ht="51" customHeight="1" x14ac:dyDescent="0.35">
      <c r="A56" s="600">
        <v>21</v>
      </c>
      <c r="B56" s="636"/>
      <c r="C56" s="250" t="s">
        <v>26</v>
      </c>
      <c r="D56" s="207"/>
      <c r="E56" s="581" t="s">
        <v>125</v>
      </c>
      <c r="F56" s="600" t="s">
        <v>126</v>
      </c>
      <c r="G56" s="180" t="s">
        <v>61</v>
      </c>
      <c r="H56" s="578" t="s">
        <v>23</v>
      </c>
      <c r="I56" s="256" t="s">
        <v>21</v>
      </c>
      <c r="J56" s="198"/>
    </row>
    <row r="57" spans="1:10" s="180" customFormat="1" ht="86.25" customHeight="1" x14ac:dyDescent="0.35">
      <c r="A57" s="601"/>
      <c r="B57" s="636"/>
      <c r="C57" s="250" t="s">
        <v>26</v>
      </c>
      <c r="D57" s="207"/>
      <c r="E57" s="581" t="s">
        <v>127</v>
      </c>
      <c r="F57" s="601"/>
      <c r="G57" s="180" t="s">
        <v>95</v>
      </c>
      <c r="H57" s="274" t="s">
        <v>23</v>
      </c>
      <c r="I57" s="186" t="s">
        <v>128</v>
      </c>
      <c r="J57" s="198"/>
    </row>
    <row r="58" spans="1:10" s="180" customFormat="1" ht="24" customHeight="1" x14ac:dyDescent="0.35">
      <c r="A58" s="600">
        <v>22</v>
      </c>
      <c r="B58" s="636"/>
      <c r="C58" s="216" t="s">
        <v>16</v>
      </c>
      <c r="D58" s="207"/>
      <c r="E58" s="581" t="s">
        <v>129</v>
      </c>
      <c r="F58" s="600" t="s">
        <v>130</v>
      </c>
      <c r="G58" s="180" t="s">
        <v>39</v>
      </c>
      <c r="H58" s="578" t="s">
        <v>23</v>
      </c>
      <c r="I58" s="180" t="s">
        <v>131</v>
      </c>
    </row>
    <row r="59" spans="1:10" s="180" customFormat="1" ht="46.5" customHeight="1" x14ac:dyDescent="0.35">
      <c r="A59" s="620"/>
      <c r="B59" s="636"/>
      <c r="C59" s="216" t="s">
        <v>16</v>
      </c>
      <c r="D59" s="207"/>
      <c r="E59" s="581" t="s">
        <v>129</v>
      </c>
      <c r="F59" s="601"/>
      <c r="G59" s="180" t="s">
        <v>61</v>
      </c>
      <c r="H59" s="578" t="s">
        <v>23</v>
      </c>
      <c r="I59" s="180" t="s">
        <v>132</v>
      </c>
    </row>
    <row r="60" spans="1:10" s="180" customFormat="1" ht="47.25" customHeight="1" x14ac:dyDescent="0.35">
      <c r="A60" s="620"/>
      <c r="B60" s="636"/>
      <c r="C60" s="216" t="s">
        <v>26</v>
      </c>
      <c r="D60" s="207"/>
      <c r="E60" s="581" t="s">
        <v>129</v>
      </c>
      <c r="F60" s="598" t="s">
        <v>133</v>
      </c>
      <c r="G60" s="197" t="s">
        <v>61</v>
      </c>
      <c r="H60" s="286" t="s">
        <v>134</v>
      </c>
      <c r="I60" s="197" t="s">
        <v>135</v>
      </c>
      <c r="J60" s="180" t="s">
        <v>136</v>
      </c>
    </row>
    <row r="61" spans="1:10" s="180" customFormat="1" ht="25.5" customHeight="1" x14ac:dyDescent="0.35">
      <c r="A61" s="620"/>
      <c r="B61" s="636"/>
      <c r="C61" s="216" t="s">
        <v>26</v>
      </c>
      <c r="D61" s="207"/>
      <c r="E61" s="581" t="s">
        <v>129</v>
      </c>
      <c r="F61" s="602"/>
      <c r="G61" s="197" t="s">
        <v>61</v>
      </c>
      <c r="H61" s="273" t="s">
        <v>137</v>
      </c>
      <c r="I61" s="256" t="s">
        <v>21</v>
      </c>
    </row>
    <row r="62" spans="1:10" s="180" customFormat="1" ht="81.75" customHeight="1" x14ac:dyDescent="0.35">
      <c r="A62" s="601"/>
      <c r="B62" s="636"/>
      <c r="C62" s="216" t="s">
        <v>26</v>
      </c>
      <c r="D62" s="207"/>
      <c r="E62" s="581" t="s">
        <v>129</v>
      </c>
      <c r="F62" s="599"/>
      <c r="G62" s="197" t="s">
        <v>39</v>
      </c>
      <c r="H62" s="273" t="s">
        <v>23</v>
      </c>
      <c r="I62" s="197" t="s">
        <v>138</v>
      </c>
      <c r="J62" s="197" t="s">
        <v>139</v>
      </c>
    </row>
    <row r="63" spans="1:10" s="180" customFormat="1" ht="49.5" customHeight="1" x14ac:dyDescent="0.35">
      <c r="A63" s="600">
        <v>23</v>
      </c>
      <c r="B63" s="636"/>
      <c r="C63" s="216" t="s">
        <v>16</v>
      </c>
      <c r="D63" s="207"/>
      <c r="E63" s="581" t="s">
        <v>140</v>
      </c>
      <c r="F63" s="655" t="s">
        <v>141</v>
      </c>
      <c r="G63" s="180" t="s">
        <v>61</v>
      </c>
      <c r="H63" s="578" t="s">
        <v>142</v>
      </c>
      <c r="I63" s="180" t="s">
        <v>143</v>
      </c>
      <c r="J63" s="180" t="s">
        <v>136</v>
      </c>
    </row>
    <row r="64" spans="1:10" s="180" customFormat="1" ht="39.75" customHeight="1" x14ac:dyDescent="0.35">
      <c r="A64" s="620"/>
      <c r="B64" s="636"/>
      <c r="C64" s="216" t="s">
        <v>16</v>
      </c>
      <c r="D64" s="207"/>
      <c r="E64" s="581" t="s">
        <v>140</v>
      </c>
      <c r="F64" s="656"/>
      <c r="G64" s="180" t="s">
        <v>39</v>
      </c>
      <c r="H64" s="578" t="s">
        <v>137</v>
      </c>
      <c r="I64" s="180" t="s">
        <v>144</v>
      </c>
    </row>
    <row r="65" spans="1:10" s="180" customFormat="1" ht="55.4" customHeight="1" x14ac:dyDescent="0.35">
      <c r="A65" s="620"/>
      <c r="B65" s="636"/>
      <c r="C65" s="216" t="s">
        <v>16</v>
      </c>
      <c r="D65" s="207"/>
      <c r="E65" s="581" t="s">
        <v>140</v>
      </c>
      <c r="F65" s="656"/>
      <c r="G65" s="180" t="s">
        <v>61</v>
      </c>
      <c r="H65" s="286" t="s">
        <v>134</v>
      </c>
      <c r="I65" s="197" t="s">
        <v>145</v>
      </c>
    </row>
    <row r="66" spans="1:10" s="180" customFormat="1" ht="96.75" customHeight="1" x14ac:dyDescent="0.35">
      <c r="A66" s="620"/>
      <c r="B66" s="636"/>
      <c r="C66" s="216" t="s">
        <v>16</v>
      </c>
      <c r="D66" s="207"/>
      <c r="E66" s="581" t="s">
        <v>140</v>
      </c>
      <c r="F66" s="657"/>
      <c r="G66" s="180" t="s">
        <v>95</v>
      </c>
      <c r="H66" s="286" t="s">
        <v>134</v>
      </c>
      <c r="I66" s="180" t="s">
        <v>146</v>
      </c>
    </row>
    <row r="67" spans="1:10" s="180" customFormat="1" ht="49.5" customHeight="1" x14ac:dyDescent="0.35">
      <c r="A67" s="620"/>
      <c r="B67" s="636"/>
      <c r="C67" s="216" t="s">
        <v>26</v>
      </c>
      <c r="D67" s="287" t="s">
        <v>147</v>
      </c>
      <c r="E67" s="581" t="s">
        <v>140</v>
      </c>
      <c r="F67" s="598" t="s">
        <v>148</v>
      </c>
      <c r="G67" s="180" t="s">
        <v>61</v>
      </c>
      <c r="H67" s="578" t="s">
        <v>23</v>
      </c>
      <c r="I67" s="180" t="s">
        <v>149</v>
      </c>
      <c r="J67" s="180" t="s">
        <v>150</v>
      </c>
    </row>
    <row r="68" spans="1:10" s="180" customFormat="1" ht="87.75" customHeight="1" x14ac:dyDescent="0.35">
      <c r="A68" s="620"/>
      <c r="B68" s="636"/>
      <c r="C68" s="216" t="s">
        <v>26</v>
      </c>
      <c r="D68" s="287" t="s">
        <v>147</v>
      </c>
      <c r="E68" s="581" t="s">
        <v>140</v>
      </c>
      <c r="F68" s="602"/>
      <c r="G68" s="180" t="s">
        <v>95</v>
      </c>
      <c r="H68" s="578" t="s">
        <v>137</v>
      </c>
      <c r="I68" s="197" t="s">
        <v>151</v>
      </c>
    </row>
    <row r="69" spans="1:10" s="180" customFormat="1" ht="105.75" customHeight="1" x14ac:dyDescent="0.35">
      <c r="A69" s="601"/>
      <c r="B69" s="636"/>
      <c r="C69" s="216" t="s">
        <v>26</v>
      </c>
      <c r="D69" s="287" t="s">
        <v>147</v>
      </c>
      <c r="E69" s="581" t="s">
        <v>140</v>
      </c>
      <c r="F69" s="599"/>
      <c r="G69" s="180" t="s">
        <v>95</v>
      </c>
      <c r="H69" s="286" t="s">
        <v>134</v>
      </c>
      <c r="I69" s="197" t="s">
        <v>152</v>
      </c>
    </row>
    <row r="70" spans="1:10" s="180" customFormat="1" ht="53.25" customHeight="1" x14ac:dyDescent="0.35">
      <c r="A70" s="600">
        <v>24</v>
      </c>
      <c r="B70" s="636"/>
      <c r="C70" s="216" t="s">
        <v>16</v>
      </c>
      <c r="D70" s="207"/>
      <c r="E70" s="581" t="s">
        <v>153</v>
      </c>
      <c r="F70" s="603" t="s">
        <v>154</v>
      </c>
      <c r="G70" s="180" t="s">
        <v>61</v>
      </c>
      <c r="H70" s="578" t="s">
        <v>23</v>
      </c>
      <c r="I70" s="197" t="s">
        <v>155</v>
      </c>
      <c r="J70" s="180" t="s">
        <v>156</v>
      </c>
    </row>
    <row r="71" spans="1:10" s="180" customFormat="1" ht="46.5" customHeight="1" x14ac:dyDescent="0.35">
      <c r="A71" s="620"/>
      <c r="B71" s="636"/>
      <c r="C71" s="216" t="s">
        <v>16</v>
      </c>
      <c r="D71" s="207"/>
      <c r="E71" s="581" t="s">
        <v>153</v>
      </c>
      <c r="F71" s="604"/>
      <c r="G71" s="180" t="s">
        <v>39</v>
      </c>
      <c r="H71" s="578" t="s">
        <v>137</v>
      </c>
      <c r="I71" s="256" t="s">
        <v>21</v>
      </c>
    </row>
    <row r="72" spans="1:10" s="180" customFormat="1" ht="46.5" customHeight="1" x14ac:dyDescent="0.35">
      <c r="A72" s="620"/>
      <c r="B72" s="636"/>
      <c r="C72" s="216" t="s">
        <v>16</v>
      </c>
      <c r="D72" s="207"/>
      <c r="E72" s="581" t="s">
        <v>157</v>
      </c>
      <c r="F72" s="605"/>
      <c r="G72" s="180" t="s">
        <v>39</v>
      </c>
      <c r="H72" s="286" t="s">
        <v>134</v>
      </c>
      <c r="I72" s="197" t="s">
        <v>158</v>
      </c>
    </row>
    <row r="73" spans="1:10" s="180" customFormat="1" ht="46.5" customHeight="1" x14ac:dyDescent="0.35">
      <c r="A73" s="620"/>
      <c r="B73" s="636"/>
      <c r="C73" s="216" t="s">
        <v>26</v>
      </c>
      <c r="D73" s="207" t="s">
        <v>159</v>
      </c>
      <c r="E73" s="581" t="s">
        <v>153</v>
      </c>
      <c r="F73" s="598" t="s">
        <v>160</v>
      </c>
      <c r="G73" s="180" t="s">
        <v>39</v>
      </c>
      <c r="H73" s="578" t="s">
        <v>137</v>
      </c>
      <c r="I73" s="197" t="s">
        <v>161</v>
      </c>
      <c r="J73" s="180" t="s">
        <v>162</v>
      </c>
    </row>
    <row r="74" spans="1:10" s="180" customFormat="1" ht="46.5" customHeight="1" x14ac:dyDescent="0.35">
      <c r="A74" s="620"/>
      <c r="B74" s="636"/>
      <c r="C74" s="216" t="s">
        <v>26</v>
      </c>
      <c r="D74" s="207" t="s">
        <v>159</v>
      </c>
      <c r="E74" s="581" t="s">
        <v>153</v>
      </c>
      <c r="F74" s="602"/>
      <c r="G74" s="180" t="s">
        <v>95</v>
      </c>
      <c r="H74" s="286" t="s">
        <v>134</v>
      </c>
      <c r="I74" s="197" t="s">
        <v>163</v>
      </c>
    </row>
    <row r="75" spans="1:10" s="180" customFormat="1" ht="46.5" customHeight="1" x14ac:dyDescent="0.35">
      <c r="A75" s="620"/>
      <c r="B75" s="636"/>
      <c r="C75" s="216" t="s">
        <v>26</v>
      </c>
      <c r="D75" s="207" t="s">
        <v>159</v>
      </c>
      <c r="E75" s="581" t="s">
        <v>153</v>
      </c>
      <c r="F75" s="602"/>
      <c r="G75" s="180" t="s">
        <v>61</v>
      </c>
      <c r="H75" s="286" t="s">
        <v>134</v>
      </c>
      <c r="I75" s="180" t="s">
        <v>164</v>
      </c>
    </row>
    <row r="76" spans="1:10" s="180" customFormat="1" ht="38.25" customHeight="1" x14ac:dyDescent="0.35">
      <c r="A76" s="601"/>
      <c r="B76" s="636"/>
      <c r="C76" s="216" t="s">
        <v>26</v>
      </c>
      <c r="D76" s="207" t="s">
        <v>159</v>
      </c>
      <c r="E76" s="581" t="s">
        <v>157</v>
      </c>
      <c r="F76" s="599"/>
      <c r="G76" s="180" t="s">
        <v>61</v>
      </c>
      <c r="H76" s="578" t="s">
        <v>137</v>
      </c>
      <c r="I76" s="256" t="s">
        <v>21</v>
      </c>
    </row>
    <row r="77" spans="1:10" s="180" customFormat="1" ht="104.25" customHeight="1" x14ac:dyDescent="0.3">
      <c r="A77" s="600">
        <v>25</v>
      </c>
      <c r="B77" s="636"/>
      <c r="C77" s="216" t="s">
        <v>26</v>
      </c>
      <c r="D77" s="207"/>
      <c r="E77" s="581" t="s">
        <v>165</v>
      </c>
      <c r="F77" s="600" t="s">
        <v>166</v>
      </c>
      <c r="G77" s="180" t="s">
        <v>61</v>
      </c>
      <c r="H77" s="286" t="s">
        <v>134</v>
      </c>
      <c r="I77" s="253" t="s">
        <v>167</v>
      </c>
    </row>
    <row r="78" spans="1:10" s="180" customFormat="1" ht="43.5" customHeight="1" x14ac:dyDescent="0.35">
      <c r="A78" s="620"/>
      <c r="B78" s="636"/>
      <c r="C78" s="216" t="s">
        <v>26</v>
      </c>
      <c r="D78" s="207"/>
      <c r="E78" s="581" t="s">
        <v>165</v>
      </c>
      <c r="F78" s="620"/>
      <c r="G78" s="180" t="s">
        <v>61</v>
      </c>
      <c r="H78" s="578" t="s">
        <v>137</v>
      </c>
      <c r="I78" s="252" t="s">
        <v>168</v>
      </c>
    </row>
    <row r="79" spans="1:10" s="180" customFormat="1" ht="46.5" customHeight="1" x14ac:dyDescent="0.35">
      <c r="A79" s="620"/>
      <c r="B79" s="636"/>
      <c r="C79" s="216" t="s">
        <v>26</v>
      </c>
      <c r="D79" s="207"/>
      <c r="E79" s="581" t="s">
        <v>165</v>
      </c>
      <c r="F79" s="620"/>
      <c r="G79" s="180" t="s">
        <v>95</v>
      </c>
      <c r="H79" s="286" t="s">
        <v>134</v>
      </c>
      <c r="I79" s="329" t="s">
        <v>169</v>
      </c>
    </row>
    <row r="80" spans="1:10" s="180" customFormat="1" ht="46.5" customHeight="1" x14ac:dyDescent="0.35">
      <c r="A80" s="620"/>
      <c r="B80" s="636"/>
      <c r="C80" s="216" t="s">
        <v>26</v>
      </c>
      <c r="D80" s="207"/>
      <c r="E80" s="581" t="s">
        <v>165</v>
      </c>
      <c r="F80" s="601"/>
      <c r="G80" s="180" t="s">
        <v>95</v>
      </c>
      <c r="H80" s="578" t="s">
        <v>137</v>
      </c>
      <c r="I80" s="255" t="s">
        <v>170</v>
      </c>
    </row>
    <row r="81" spans="1:10" s="180" customFormat="1" ht="55.4" customHeight="1" x14ac:dyDescent="0.35">
      <c r="A81" s="620"/>
      <c r="B81" s="636"/>
      <c r="C81" s="216" t="s">
        <v>16</v>
      </c>
      <c r="D81" s="207"/>
      <c r="E81" s="581" t="s">
        <v>165</v>
      </c>
      <c r="F81" s="626" t="s">
        <v>171</v>
      </c>
      <c r="G81" s="180" t="s">
        <v>61</v>
      </c>
      <c r="H81" s="286" t="s">
        <v>134</v>
      </c>
      <c r="I81" s="328" t="s">
        <v>172</v>
      </c>
    </row>
    <row r="82" spans="1:10" s="180" customFormat="1" ht="46.5" customHeight="1" x14ac:dyDescent="0.35">
      <c r="A82" s="620"/>
      <c r="B82" s="636"/>
      <c r="C82" s="216" t="s">
        <v>16</v>
      </c>
      <c r="D82" s="207"/>
      <c r="E82" s="581" t="s">
        <v>165</v>
      </c>
      <c r="F82" s="654"/>
      <c r="G82" s="180" t="s">
        <v>61</v>
      </c>
      <c r="H82" s="578" t="s">
        <v>137</v>
      </c>
      <c r="I82" s="255" t="s">
        <v>172</v>
      </c>
    </row>
    <row r="83" spans="1:10" s="180" customFormat="1" ht="46.5" customHeight="1" x14ac:dyDescent="0.35">
      <c r="A83" s="620"/>
      <c r="B83" s="636"/>
      <c r="C83" s="216" t="s">
        <v>16</v>
      </c>
      <c r="D83" s="207"/>
      <c r="E83" s="581" t="s">
        <v>165</v>
      </c>
      <c r="F83" s="654"/>
      <c r="G83" s="180" t="s">
        <v>95</v>
      </c>
      <c r="H83" s="286" t="s">
        <v>134</v>
      </c>
      <c r="I83" s="257" t="s">
        <v>173</v>
      </c>
    </row>
    <row r="84" spans="1:10" s="180" customFormat="1" ht="36.75" customHeight="1" x14ac:dyDescent="0.35">
      <c r="A84" s="601"/>
      <c r="B84" s="636"/>
      <c r="C84" s="216" t="s">
        <v>16</v>
      </c>
      <c r="D84" s="207"/>
      <c r="E84" s="581" t="s">
        <v>165</v>
      </c>
      <c r="F84" s="627"/>
      <c r="G84" s="180" t="s">
        <v>95</v>
      </c>
      <c r="H84" s="578" t="s">
        <v>137</v>
      </c>
      <c r="I84" s="258" t="s">
        <v>21</v>
      </c>
    </row>
    <row r="85" spans="1:10" s="183" customFormat="1" ht="44.25" customHeight="1" x14ac:dyDescent="0.35">
      <c r="A85" s="619">
        <v>26</v>
      </c>
      <c r="B85" s="636"/>
      <c r="C85" s="214" t="s">
        <v>16</v>
      </c>
      <c r="D85" s="206"/>
      <c r="E85" s="76" t="s">
        <v>174</v>
      </c>
      <c r="F85" s="591" t="s">
        <v>175</v>
      </c>
      <c r="G85" s="76" t="s">
        <v>39</v>
      </c>
      <c r="H85" s="582" t="s">
        <v>23</v>
      </c>
      <c r="I85" s="259" t="s">
        <v>21</v>
      </c>
    </row>
    <row r="86" spans="1:10" s="183" customFormat="1" ht="72.75" customHeight="1" x14ac:dyDescent="0.35">
      <c r="A86" s="617"/>
      <c r="B86" s="636"/>
      <c r="C86" s="214" t="s">
        <v>16</v>
      </c>
      <c r="D86" s="206"/>
      <c r="E86" s="76" t="s">
        <v>174</v>
      </c>
      <c r="F86" s="592"/>
      <c r="G86" s="76" t="s">
        <v>61</v>
      </c>
      <c r="H86" s="582" t="s">
        <v>137</v>
      </c>
      <c r="I86" s="329" t="s">
        <v>176</v>
      </c>
    </row>
    <row r="87" spans="1:10" s="183" customFormat="1" ht="89.25" customHeight="1" x14ac:dyDescent="0.3">
      <c r="A87" s="617"/>
      <c r="B87" s="636"/>
      <c r="C87" s="214" t="s">
        <v>16</v>
      </c>
      <c r="D87" s="206"/>
      <c r="E87" s="76" t="s">
        <v>174</v>
      </c>
      <c r="F87" s="593"/>
      <c r="G87" s="76" t="s">
        <v>61</v>
      </c>
      <c r="H87" s="286" t="s">
        <v>177</v>
      </c>
      <c r="I87" s="254" t="s">
        <v>178</v>
      </c>
    </row>
    <row r="88" spans="1:10" s="183" customFormat="1" ht="26.25" customHeight="1" x14ac:dyDescent="0.35">
      <c r="A88" s="617">
        <v>27</v>
      </c>
      <c r="B88" s="636"/>
      <c r="C88" s="214" t="s">
        <v>23</v>
      </c>
      <c r="D88" s="206"/>
      <c r="E88" s="76" t="s">
        <v>174</v>
      </c>
      <c r="F88" s="591" t="s">
        <v>179</v>
      </c>
      <c r="G88" s="76" t="s">
        <v>95</v>
      </c>
      <c r="H88" s="582" t="s">
        <v>23</v>
      </c>
      <c r="I88" s="256" t="s">
        <v>21</v>
      </c>
    </row>
    <row r="89" spans="1:10" s="183" customFormat="1" ht="42" customHeight="1" x14ac:dyDescent="0.35">
      <c r="A89" s="617"/>
      <c r="B89" s="636"/>
      <c r="C89" s="214" t="s">
        <v>23</v>
      </c>
      <c r="D89" s="206"/>
      <c r="E89" s="76" t="s">
        <v>174</v>
      </c>
      <c r="F89" s="592"/>
      <c r="G89" s="76" t="s">
        <v>180</v>
      </c>
      <c r="H89" s="582" t="s">
        <v>137</v>
      </c>
      <c r="I89" s="77" t="s">
        <v>181</v>
      </c>
    </row>
    <row r="90" spans="1:10" s="183" customFormat="1" ht="117.75" customHeight="1" x14ac:dyDescent="0.35">
      <c r="A90" s="618"/>
      <c r="B90" s="636"/>
      <c r="C90" s="214" t="s">
        <v>23</v>
      </c>
      <c r="D90" s="206"/>
      <c r="E90" s="76" t="s">
        <v>174</v>
      </c>
      <c r="F90" s="593"/>
      <c r="G90" s="76" t="s">
        <v>180</v>
      </c>
      <c r="H90" s="286" t="s">
        <v>177</v>
      </c>
      <c r="I90" s="260" t="s">
        <v>182</v>
      </c>
    </row>
    <row r="91" spans="1:10" s="183" customFormat="1" ht="27.75" customHeight="1" x14ac:dyDescent="0.35">
      <c r="A91" s="600">
        <v>28</v>
      </c>
      <c r="B91" s="636"/>
      <c r="C91" s="214" t="s">
        <v>16</v>
      </c>
      <c r="D91" s="206"/>
      <c r="E91" s="76" t="s">
        <v>183</v>
      </c>
      <c r="F91" s="638" t="s">
        <v>184</v>
      </c>
      <c r="G91" s="76" t="s">
        <v>39</v>
      </c>
      <c r="H91" s="582" t="s">
        <v>23</v>
      </c>
      <c r="I91" s="256" t="s">
        <v>21</v>
      </c>
    </row>
    <row r="92" spans="1:10" s="183" customFormat="1" ht="30" customHeight="1" x14ac:dyDescent="0.35">
      <c r="A92" s="620"/>
      <c r="B92" s="636"/>
      <c r="C92" s="214" t="s">
        <v>16</v>
      </c>
      <c r="D92" s="206"/>
      <c r="E92" s="76" t="s">
        <v>183</v>
      </c>
      <c r="F92" s="639"/>
      <c r="G92" s="76" t="s">
        <v>61</v>
      </c>
      <c r="H92" s="582" t="s">
        <v>23</v>
      </c>
      <c r="I92" s="197" t="s">
        <v>185</v>
      </c>
    </row>
    <row r="93" spans="1:10" s="183" customFormat="1" ht="54.75" customHeight="1" x14ac:dyDescent="0.35">
      <c r="A93" s="620"/>
      <c r="B93" s="636"/>
      <c r="C93" s="214" t="s">
        <v>23</v>
      </c>
      <c r="D93" s="206"/>
      <c r="E93" s="76" t="s">
        <v>183</v>
      </c>
      <c r="F93" s="591" t="s">
        <v>186</v>
      </c>
      <c r="G93" s="76" t="s">
        <v>61</v>
      </c>
      <c r="H93" s="582" t="s">
        <v>23</v>
      </c>
      <c r="I93" s="260" t="s">
        <v>187</v>
      </c>
    </row>
    <row r="94" spans="1:10" s="183" customFormat="1" ht="34.5" customHeight="1" x14ac:dyDescent="0.35">
      <c r="A94" s="601"/>
      <c r="B94" s="636"/>
      <c r="C94" s="214" t="s">
        <v>23</v>
      </c>
      <c r="D94" s="206"/>
      <c r="E94" s="76" t="s">
        <v>183</v>
      </c>
      <c r="F94" s="593"/>
      <c r="G94" s="76" t="s">
        <v>39</v>
      </c>
      <c r="H94" s="582" t="s">
        <v>23</v>
      </c>
      <c r="I94" s="265" t="s">
        <v>21</v>
      </c>
    </row>
    <row r="95" spans="1:10" s="183" customFormat="1" ht="42.75" customHeight="1" x14ac:dyDescent="0.35">
      <c r="A95" s="619">
        <v>29</v>
      </c>
      <c r="B95" s="636"/>
      <c r="C95" s="214" t="s">
        <v>26</v>
      </c>
      <c r="D95" s="206"/>
      <c r="E95" s="76" t="s">
        <v>188</v>
      </c>
      <c r="F95" s="596" t="s">
        <v>189</v>
      </c>
      <c r="G95" s="76" t="s">
        <v>95</v>
      </c>
      <c r="H95" s="582" t="s">
        <v>23</v>
      </c>
      <c r="I95" s="256" t="s">
        <v>21</v>
      </c>
      <c r="J95" s="197"/>
    </row>
    <row r="96" spans="1:10" s="183" customFormat="1" ht="51.75" customHeight="1" x14ac:dyDescent="0.3">
      <c r="A96" s="618"/>
      <c r="B96" s="636"/>
      <c r="C96" s="214" t="s">
        <v>26</v>
      </c>
      <c r="D96" s="206"/>
      <c r="E96" s="76" t="s">
        <v>188</v>
      </c>
      <c r="F96" s="597"/>
      <c r="G96" s="76" t="s">
        <v>61</v>
      </c>
      <c r="H96" s="582" t="s">
        <v>23</v>
      </c>
      <c r="I96" s="76" t="s">
        <v>190</v>
      </c>
      <c r="J96" s="290" t="s">
        <v>191</v>
      </c>
    </row>
    <row r="97" spans="1:10" s="183" customFormat="1" ht="36.75" customHeight="1" x14ac:dyDescent="0.35">
      <c r="A97" s="619">
        <v>30</v>
      </c>
      <c r="B97" s="636"/>
      <c r="C97" s="214" t="s">
        <v>23</v>
      </c>
      <c r="D97" s="206"/>
      <c r="E97" s="76" t="s">
        <v>192</v>
      </c>
      <c r="F97" s="598" t="s">
        <v>193</v>
      </c>
      <c r="G97" s="76" t="s">
        <v>39</v>
      </c>
      <c r="H97" s="582" t="s">
        <v>23</v>
      </c>
      <c r="I97" s="256" t="s">
        <v>21</v>
      </c>
      <c r="J97" s="197"/>
    </row>
    <row r="98" spans="1:10" s="183" customFormat="1" ht="54.75" customHeight="1" x14ac:dyDescent="0.35">
      <c r="A98" s="618"/>
      <c r="B98" s="636"/>
      <c r="C98" s="214" t="s">
        <v>23</v>
      </c>
      <c r="D98" s="206"/>
      <c r="E98" s="76" t="s">
        <v>192</v>
      </c>
      <c r="F98" s="599"/>
      <c r="G98" s="76" t="s">
        <v>61</v>
      </c>
      <c r="H98" s="582" t="s">
        <v>23</v>
      </c>
      <c r="I98" s="76" t="s">
        <v>194</v>
      </c>
    </row>
    <row r="99" spans="1:10" s="183" customFormat="1" ht="37.5" customHeight="1" x14ac:dyDescent="0.35">
      <c r="A99" s="619">
        <v>31</v>
      </c>
      <c r="B99" s="636"/>
      <c r="C99" s="214" t="s">
        <v>26</v>
      </c>
      <c r="D99" s="206"/>
      <c r="E99" s="76" t="s">
        <v>195</v>
      </c>
      <c r="F99" s="591" t="s">
        <v>196</v>
      </c>
      <c r="G99" s="76" t="s">
        <v>39</v>
      </c>
      <c r="H99" s="582" t="s">
        <v>23</v>
      </c>
      <c r="I99" s="256" t="s">
        <v>21</v>
      </c>
    </row>
    <row r="100" spans="1:10" s="183" customFormat="1" ht="52.5" customHeight="1" x14ac:dyDescent="0.35">
      <c r="A100" s="618"/>
      <c r="B100" s="637"/>
      <c r="C100" s="214" t="s">
        <v>26</v>
      </c>
      <c r="D100" s="206"/>
      <c r="E100" s="76" t="s">
        <v>195</v>
      </c>
      <c r="F100" s="593"/>
      <c r="G100" s="76" t="s">
        <v>61</v>
      </c>
      <c r="H100" s="582" t="s">
        <v>23</v>
      </c>
      <c r="I100" s="76" t="s">
        <v>197</v>
      </c>
    </row>
    <row r="101" spans="1:10" s="180" customFormat="1" ht="36" customHeight="1" x14ac:dyDescent="0.35">
      <c r="A101" s="600">
        <v>32</v>
      </c>
      <c r="B101" s="635" t="s">
        <v>198</v>
      </c>
      <c r="C101" s="216" t="s">
        <v>23</v>
      </c>
      <c r="D101" s="207"/>
      <c r="E101" s="581" t="s">
        <v>199</v>
      </c>
      <c r="F101" s="591" t="s">
        <v>200</v>
      </c>
      <c r="G101" s="180" t="s">
        <v>180</v>
      </c>
      <c r="H101" s="578" t="s">
        <v>23</v>
      </c>
      <c r="I101" s="256" t="s">
        <v>201</v>
      </c>
    </row>
    <row r="102" spans="1:10" s="180" customFormat="1" ht="50.25" customHeight="1" x14ac:dyDescent="0.35">
      <c r="A102" s="601"/>
      <c r="B102" s="636"/>
      <c r="C102" s="216" t="s">
        <v>23</v>
      </c>
      <c r="D102" s="207"/>
      <c r="E102" s="581" t="s">
        <v>199</v>
      </c>
      <c r="F102" s="593"/>
      <c r="G102" s="180" t="s">
        <v>39</v>
      </c>
      <c r="H102" s="578" t="s">
        <v>23</v>
      </c>
      <c r="I102" s="180" t="s">
        <v>202</v>
      </c>
    </row>
    <row r="103" spans="1:10" s="180" customFormat="1" ht="41.5" customHeight="1" x14ac:dyDescent="0.35">
      <c r="A103" s="600">
        <v>33</v>
      </c>
      <c r="B103" s="636"/>
      <c r="C103" s="216" t="s">
        <v>16</v>
      </c>
      <c r="D103" s="207"/>
      <c r="E103" s="581" t="s">
        <v>203</v>
      </c>
      <c r="F103" s="600" t="s">
        <v>204</v>
      </c>
      <c r="G103" s="180" t="s">
        <v>33</v>
      </c>
      <c r="H103" s="578" t="s">
        <v>23</v>
      </c>
      <c r="I103" s="180" t="s">
        <v>21</v>
      </c>
      <c r="J103" s="180" t="s">
        <v>205</v>
      </c>
    </row>
    <row r="104" spans="1:10" s="180" customFormat="1" ht="45.75" customHeight="1" x14ac:dyDescent="0.35">
      <c r="A104" s="601"/>
      <c r="B104" s="636"/>
      <c r="C104" s="216" t="s">
        <v>16</v>
      </c>
      <c r="D104" s="207"/>
      <c r="E104" s="581" t="s">
        <v>203</v>
      </c>
      <c r="F104" s="601"/>
      <c r="G104" s="180" t="s">
        <v>64</v>
      </c>
      <c r="H104" s="578" t="s">
        <v>23</v>
      </c>
      <c r="I104" s="251" t="s">
        <v>206</v>
      </c>
    </row>
    <row r="105" spans="1:10" s="180" customFormat="1" ht="36.75" customHeight="1" x14ac:dyDescent="0.35">
      <c r="A105" s="600">
        <v>34</v>
      </c>
      <c r="B105" s="636"/>
      <c r="C105" s="216" t="s">
        <v>23</v>
      </c>
      <c r="D105" s="207"/>
      <c r="E105" s="594" t="s">
        <v>207</v>
      </c>
      <c r="F105" s="600" t="s">
        <v>208</v>
      </c>
      <c r="G105" s="180" t="s">
        <v>180</v>
      </c>
      <c r="H105" s="578" t="s">
        <v>23</v>
      </c>
      <c r="I105" s="180" t="s">
        <v>21</v>
      </c>
      <c r="J105" s="180" t="s">
        <v>209</v>
      </c>
    </row>
    <row r="106" spans="1:10" s="180" customFormat="1" ht="78" customHeight="1" x14ac:dyDescent="0.35">
      <c r="A106" s="601"/>
      <c r="B106" s="636"/>
      <c r="C106" s="216" t="s">
        <v>23</v>
      </c>
      <c r="D106" s="207"/>
      <c r="E106" s="595"/>
      <c r="F106" s="601"/>
      <c r="G106" s="180" t="s">
        <v>64</v>
      </c>
      <c r="H106" s="578" t="s">
        <v>23</v>
      </c>
      <c r="I106" s="186" t="s">
        <v>210</v>
      </c>
    </row>
    <row r="107" spans="1:10" s="180" customFormat="1" ht="30" customHeight="1" x14ac:dyDescent="0.35">
      <c r="A107" s="600">
        <v>35</v>
      </c>
      <c r="B107" s="636"/>
      <c r="C107" s="216" t="s">
        <v>23</v>
      </c>
      <c r="D107" s="207"/>
      <c r="E107" s="581" t="s">
        <v>211</v>
      </c>
      <c r="F107" s="600" t="s">
        <v>212</v>
      </c>
      <c r="G107" s="180" t="s">
        <v>33</v>
      </c>
      <c r="H107" s="578" t="s">
        <v>54</v>
      </c>
      <c r="I107" s="180" t="s">
        <v>213</v>
      </c>
    </row>
    <row r="108" spans="1:10" s="180" customFormat="1" ht="53.25" customHeight="1" x14ac:dyDescent="0.35">
      <c r="A108" s="601"/>
      <c r="B108" s="650"/>
      <c r="C108" s="216" t="s">
        <v>23</v>
      </c>
      <c r="D108" s="207"/>
      <c r="E108" s="581" t="s">
        <v>214</v>
      </c>
      <c r="F108" s="601"/>
      <c r="G108" s="180" t="s">
        <v>64</v>
      </c>
      <c r="H108" s="578" t="s">
        <v>54</v>
      </c>
      <c r="I108" s="261" t="s">
        <v>215</v>
      </c>
    </row>
    <row r="109" spans="1:10" s="180" customFormat="1" ht="84.75" customHeight="1" x14ac:dyDescent="0.35">
      <c r="A109" s="600">
        <v>36</v>
      </c>
      <c r="B109" s="649" t="s">
        <v>216</v>
      </c>
      <c r="C109" s="233" t="s">
        <v>26</v>
      </c>
      <c r="D109" s="207"/>
      <c r="E109" s="234" t="s">
        <v>217</v>
      </c>
      <c r="F109" s="647" t="s">
        <v>218</v>
      </c>
      <c r="G109" s="187" t="s">
        <v>61</v>
      </c>
      <c r="H109" s="275" t="s">
        <v>54</v>
      </c>
      <c r="I109" s="236" t="s">
        <v>219</v>
      </c>
      <c r="J109" s="235" t="s">
        <v>220</v>
      </c>
    </row>
    <row r="110" spans="1:10" s="180" customFormat="1" ht="52.5" customHeight="1" x14ac:dyDescent="0.35">
      <c r="A110" s="601"/>
      <c r="B110" s="650"/>
      <c r="C110" s="233" t="s">
        <v>26</v>
      </c>
      <c r="D110" s="207"/>
      <c r="E110" s="234" t="s">
        <v>217</v>
      </c>
      <c r="F110" s="648"/>
      <c r="G110" s="187" t="s">
        <v>39</v>
      </c>
      <c r="H110" s="275" t="s">
        <v>54</v>
      </c>
      <c r="I110" s="236" t="s">
        <v>221</v>
      </c>
      <c r="J110" s="235"/>
    </row>
    <row r="111" spans="1:10" s="180" customFormat="1" ht="54" customHeight="1" x14ac:dyDescent="0.35">
      <c r="A111" s="600">
        <v>37</v>
      </c>
      <c r="B111" s="649" t="s">
        <v>222</v>
      </c>
      <c r="C111" s="216" t="s">
        <v>26</v>
      </c>
      <c r="D111" s="207" t="s">
        <v>159</v>
      </c>
      <c r="E111" s="581"/>
      <c r="F111" s="600" t="s">
        <v>223</v>
      </c>
      <c r="G111" s="180" t="s">
        <v>33</v>
      </c>
      <c r="H111" s="578" t="s">
        <v>54</v>
      </c>
      <c r="I111" s="262" t="s">
        <v>224</v>
      </c>
    </row>
    <row r="112" spans="1:10" s="180" customFormat="1" ht="33" customHeight="1" x14ac:dyDescent="0.35">
      <c r="A112" s="601"/>
      <c r="B112" s="637"/>
      <c r="C112" s="216" t="s">
        <v>26</v>
      </c>
      <c r="D112" s="207" t="s">
        <v>159</v>
      </c>
      <c r="E112" s="581"/>
      <c r="F112" s="601"/>
      <c r="G112" s="180" t="s">
        <v>39</v>
      </c>
      <c r="H112" s="578" t="s">
        <v>54</v>
      </c>
      <c r="I112" s="256" t="s">
        <v>21</v>
      </c>
    </row>
    <row r="113" spans="1:10" s="76" customFormat="1" ht="25" customHeight="1" x14ac:dyDescent="0.35">
      <c r="A113" s="177"/>
      <c r="B113" s="201" t="s">
        <v>225</v>
      </c>
      <c r="C113" s="212"/>
      <c r="D113" s="204"/>
      <c r="E113" s="178"/>
      <c r="F113" s="268"/>
      <c r="G113" s="177"/>
      <c r="H113" s="268"/>
      <c r="I113" s="177"/>
      <c r="J113" s="80"/>
    </row>
    <row r="114" spans="1:10" s="75" customFormat="1" ht="58.5" customHeight="1" x14ac:dyDescent="0.35">
      <c r="A114" s="591">
        <v>38</v>
      </c>
      <c r="B114" s="612" t="s">
        <v>226</v>
      </c>
      <c r="C114" s="215" t="s">
        <v>26</v>
      </c>
      <c r="D114" s="209"/>
      <c r="E114" s="195" t="s">
        <v>227</v>
      </c>
      <c r="F114" s="596" t="s">
        <v>228</v>
      </c>
      <c r="G114" s="77" t="s">
        <v>33</v>
      </c>
      <c r="H114" s="276"/>
      <c r="I114" s="77" t="s">
        <v>229</v>
      </c>
      <c r="J114" s="162" t="s">
        <v>230</v>
      </c>
    </row>
    <row r="115" spans="1:10" s="75" customFormat="1" ht="30" customHeight="1" x14ac:dyDescent="0.35">
      <c r="A115" s="593"/>
      <c r="B115" s="613"/>
      <c r="C115" s="215" t="s">
        <v>26</v>
      </c>
      <c r="D115" s="208"/>
      <c r="E115" s="195" t="s">
        <v>227</v>
      </c>
      <c r="F115" s="597"/>
      <c r="G115" s="77" t="s">
        <v>19</v>
      </c>
      <c r="H115" s="276"/>
      <c r="I115" s="256" t="s">
        <v>21</v>
      </c>
      <c r="J115" s="162" t="s">
        <v>231</v>
      </c>
    </row>
    <row r="116" spans="1:10" ht="31.5" customHeight="1" x14ac:dyDescent="0.3">
      <c r="A116" s="591">
        <v>39</v>
      </c>
      <c r="B116" s="613"/>
      <c r="C116" s="215" t="s">
        <v>26</v>
      </c>
      <c r="D116" s="208"/>
      <c r="E116" s="576" t="s">
        <v>227</v>
      </c>
      <c r="F116" s="596" t="s">
        <v>232</v>
      </c>
      <c r="G116" s="77" t="s">
        <v>33</v>
      </c>
      <c r="H116" s="276"/>
      <c r="I116" s="77" t="s">
        <v>233</v>
      </c>
      <c r="J116" s="162" t="s">
        <v>234</v>
      </c>
    </row>
    <row r="117" spans="1:10" ht="39" customHeight="1" x14ac:dyDescent="0.3">
      <c r="A117" s="593"/>
      <c r="B117" s="613"/>
      <c r="C117" s="215" t="s">
        <v>26</v>
      </c>
      <c r="D117" s="208"/>
      <c r="E117" s="576" t="s">
        <v>227</v>
      </c>
      <c r="F117" s="597"/>
      <c r="G117" s="77" t="s">
        <v>19</v>
      </c>
      <c r="H117" s="276"/>
      <c r="I117" s="277" t="s">
        <v>21</v>
      </c>
      <c r="J117" s="77"/>
    </row>
    <row r="118" spans="1:10" ht="46.5" customHeight="1" x14ac:dyDescent="0.3">
      <c r="A118" s="610">
        <v>40</v>
      </c>
      <c r="B118" s="613"/>
      <c r="C118" s="215" t="s">
        <v>26</v>
      </c>
      <c r="D118" s="208"/>
      <c r="E118" s="576" t="s">
        <v>227</v>
      </c>
      <c r="F118" s="651" t="s">
        <v>235</v>
      </c>
      <c r="G118" s="77" t="s">
        <v>39</v>
      </c>
      <c r="H118" s="276" t="s">
        <v>20</v>
      </c>
      <c r="I118" s="256" t="s">
        <v>21</v>
      </c>
      <c r="J118" s="77"/>
    </row>
    <row r="119" spans="1:10" ht="39" x14ac:dyDescent="0.3">
      <c r="A119" s="611"/>
      <c r="B119" s="613"/>
      <c r="C119" s="215" t="s">
        <v>26</v>
      </c>
      <c r="D119" s="208"/>
      <c r="E119" s="576" t="s">
        <v>227</v>
      </c>
      <c r="F119" s="652"/>
      <c r="G119" s="197" t="s">
        <v>33</v>
      </c>
      <c r="H119" s="293" t="s">
        <v>23</v>
      </c>
      <c r="I119" s="73" t="s">
        <v>236</v>
      </c>
      <c r="J119" s="289"/>
    </row>
    <row r="120" spans="1:10" ht="66" customHeight="1" x14ac:dyDescent="0.3">
      <c r="A120" s="610">
        <v>41</v>
      </c>
      <c r="B120" s="613"/>
      <c r="C120" s="215" t="s">
        <v>26</v>
      </c>
      <c r="D120" s="208"/>
      <c r="E120" s="576" t="s">
        <v>227</v>
      </c>
      <c r="F120" s="651" t="s">
        <v>237</v>
      </c>
      <c r="G120" s="197" t="s">
        <v>33</v>
      </c>
      <c r="H120" s="293" t="s">
        <v>23</v>
      </c>
      <c r="I120" s="73" t="s">
        <v>238</v>
      </c>
      <c r="J120" s="289"/>
    </row>
    <row r="121" spans="1:10" ht="30.75" customHeight="1" x14ac:dyDescent="0.3">
      <c r="A121" s="611"/>
      <c r="B121" s="613"/>
      <c r="C121" s="215" t="s">
        <v>26</v>
      </c>
      <c r="D121" s="208"/>
      <c r="E121" s="576" t="s">
        <v>227</v>
      </c>
      <c r="F121" s="652"/>
      <c r="G121" s="197" t="s">
        <v>19</v>
      </c>
      <c r="H121" s="293" t="s">
        <v>20</v>
      </c>
      <c r="I121" s="256" t="s">
        <v>21</v>
      </c>
      <c r="J121" s="289"/>
    </row>
    <row r="122" spans="1:10" ht="75.75" customHeight="1" x14ac:dyDescent="0.3">
      <c r="A122" s="591">
        <v>42</v>
      </c>
      <c r="B122" s="613"/>
      <c r="C122" s="215" t="s">
        <v>26</v>
      </c>
      <c r="D122" s="208" t="s">
        <v>239</v>
      </c>
      <c r="E122" s="576" t="s">
        <v>227</v>
      </c>
      <c r="F122" s="598" t="s">
        <v>240</v>
      </c>
      <c r="G122" s="197" t="s">
        <v>33</v>
      </c>
      <c r="H122" s="230" t="s">
        <v>23</v>
      </c>
      <c r="I122" s="162" t="s">
        <v>241</v>
      </c>
      <c r="J122" s="231" t="s">
        <v>242</v>
      </c>
    </row>
    <row r="123" spans="1:10" ht="29.25" customHeight="1" x14ac:dyDescent="0.3">
      <c r="A123" s="593"/>
      <c r="B123" s="614"/>
      <c r="C123" s="215" t="s">
        <v>26</v>
      </c>
      <c r="D123" s="208" t="s">
        <v>239</v>
      </c>
      <c r="E123" s="576" t="s">
        <v>227</v>
      </c>
      <c r="F123" s="599"/>
      <c r="G123" s="197" t="s">
        <v>19</v>
      </c>
      <c r="H123" s="230" t="s">
        <v>23</v>
      </c>
      <c r="I123" s="256" t="s">
        <v>21</v>
      </c>
      <c r="J123" s="288" t="s">
        <v>243</v>
      </c>
    </row>
    <row r="124" spans="1:10" s="192" customFormat="1" ht="36.75" customHeight="1" x14ac:dyDescent="0.35">
      <c r="A124" s="632">
        <v>43</v>
      </c>
      <c r="B124" s="296" t="s">
        <v>244</v>
      </c>
      <c r="C124" s="442" t="s">
        <v>23</v>
      </c>
      <c r="D124" s="240" t="s">
        <v>245</v>
      </c>
      <c r="E124" s="241" t="s">
        <v>246</v>
      </c>
      <c r="F124" s="596" t="s">
        <v>247</v>
      </c>
      <c r="G124" s="241" t="s">
        <v>61</v>
      </c>
      <c r="H124" s="276" t="s">
        <v>23</v>
      </c>
      <c r="I124" s="256" t="s">
        <v>21</v>
      </c>
    </row>
    <row r="125" spans="1:10" s="192" customFormat="1" ht="72.75" customHeight="1" x14ac:dyDescent="0.35">
      <c r="A125" s="634"/>
      <c r="B125" s="297"/>
      <c r="C125" s="244" t="s">
        <v>23</v>
      </c>
      <c r="D125" s="298" t="s">
        <v>245</v>
      </c>
      <c r="E125" s="245" t="s">
        <v>246</v>
      </c>
      <c r="F125" s="597"/>
      <c r="G125" s="245" t="s">
        <v>39</v>
      </c>
      <c r="H125" s="561" t="s">
        <v>23</v>
      </c>
      <c r="I125" s="246" t="s">
        <v>248</v>
      </c>
      <c r="J125" s="227" t="s">
        <v>249</v>
      </c>
    </row>
    <row r="126" spans="1:10" s="192" customFormat="1" ht="26.25" customHeight="1" x14ac:dyDescent="0.35">
      <c r="A126" s="632">
        <v>44</v>
      </c>
      <c r="B126" s="297"/>
      <c r="C126" s="239" t="s">
        <v>23</v>
      </c>
      <c r="D126" s="240"/>
      <c r="E126" s="241" t="s">
        <v>250</v>
      </c>
      <c r="F126" s="596" t="s">
        <v>251</v>
      </c>
      <c r="G126" s="241" t="s">
        <v>61</v>
      </c>
      <c r="H126" s="276" t="s">
        <v>23</v>
      </c>
      <c r="I126" s="242" t="s">
        <v>252</v>
      </c>
      <c r="J126" s="192" t="s">
        <v>253</v>
      </c>
    </row>
    <row r="127" spans="1:10" s="192" customFormat="1" ht="26.25" customHeight="1" x14ac:dyDescent="0.35">
      <c r="A127" s="633"/>
      <c r="B127" s="297"/>
      <c r="C127" s="239" t="s">
        <v>23</v>
      </c>
      <c r="D127" s="240"/>
      <c r="E127" s="241" t="s">
        <v>250</v>
      </c>
      <c r="F127" s="653"/>
      <c r="G127" s="241" t="s">
        <v>254</v>
      </c>
      <c r="H127" s="276" t="s">
        <v>23</v>
      </c>
      <c r="I127" s="242" t="s">
        <v>255</v>
      </c>
    </row>
    <row r="128" spans="1:10" s="192" customFormat="1" ht="30" customHeight="1" x14ac:dyDescent="0.35">
      <c r="A128" s="634"/>
      <c r="B128" s="297"/>
      <c r="C128" s="239" t="s">
        <v>23</v>
      </c>
      <c r="D128" s="240"/>
      <c r="E128" s="241" t="s">
        <v>256</v>
      </c>
      <c r="F128" s="597"/>
      <c r="G128" s="241" t="s">
        <v>39</v>
      </c>
      <c r="H128" s="276" t="s">
        <v>23</v>
      </c>
      <c r="I128" s="242" t="s">
        <v>257</v>
      </c>
    </row>
    <row r="129" spans="1:10" s="192" customFormat="1" ht="30" customHeight="1" x14ac:dyDescent="0.35">
      <c r="A129" s="577"/>
      <c r="B129" s="297"/>
      <c r="C129" s="239" t="s">
        <v>26</v>
      </c>
      <c r="D129" s="240"/>
      <c r="E129" s="241"/>
      <c r="F129" s="562" t="s">
        <v>258</v>
      </c>
      <c r="G129" s="241" t="s">
        <v>259</v>
      </c>
      <c r="H129" s="276"/>
      <c r="I129" s="295" t="s">
        <v>260</v>
      </c>
    </row>
    <row r="130" spans="1:10" s="192" customFormat="1" ht="30" customHeight="1" x14ac:dyDescent="0.35">
      <c r="A130" s="577"/>
      <c r="B130" s="297"/>
      <c r="C130" s="239" t="s">
        <v>261</v>
      </c>
      <c r="D130" s="240"/>
      <c r="E130" s="241"/>
      <c r="F130" s="562" t="s">
        <v>262</v>
      </c>
      <c r="G130" s="241" t="s">
        <v>259</v>
      </c>
      <c r="H130" s="276"/>
      <c r="I130" s="295" t="s">
        <v>260</v>
      </c>
    </row>
    <row r="131" spans="1:10" s="189" customFormat="1" ht="36.75" customHeight="1" x14ac:dyDescent="0.35">
      <c r="A131" s="630">
        <v>45</v>
      </c>
      <c r="B131" s="297"/>
      <c r="C131" s="442" t="s">
        <v>23</v>
      </c>
      <c r="D131" s="243" t="s">
        <v>263</v>
      </c>
      <c r="E131" s="238" t="s">
        <v>264</v>
      </c>
      <c r="F131" s="591" t="s">
        <v>265</v>
      </c>
      <c r="G131" s="238" t="s">
        <v>61</v>
      </c>
      <c r="H131" s="582" t="s">
        <v>23</v>
      </c>
      <c r="I131" s="256" t="s">
        <v>21</v>
      </c>
      <c r="J131" s="232" t="s">
        <v>266</v>
      </c>
    </row>
    <row r="132" spans="1:10" s="189" customFormat="1" ht="30" customHeight="1" x14ac:dyDescent="0.35">
      <c r="A132" s="631"/>
      <c r="B132" s="297"/>
      <c r="C132" s="442" t="s">
        <v>23</v>
      </c>
      <c r="D132" s="243" t="s">
        <v>263</v>
      </c>
      <c r="E132" s="238" t="s">
        <v>264</v>
      </c>
      <c r="F132" s="593"/>
      <c r="G132" s="238" t="s">
        <v>39</v>
      </c>
      <c r="H132" s="582" t="s">
        <v>23</v>
      </c>
      <c r="I132" s="237" t="s">
        <v>267</v>
      </c>
      <c r="J132" s="232" t="s">
        <v>268</v>
      </c>
    </row>
    <row r="133" spans="1:10" s="189" customFormat="1" ht="36.75" customHeight="1" x14ac:dyDescent="0.35">
      <c r="A133" s="630">
        <v>46</v>
      </c>
      <c r="B133" s="297"/>
      <c r="C133" s="442" t="s">
        <v>23</v>
      </c>
      <c r="D133" s="243" t="s">
        <v>269</v>
      </c>
      <c r="E133" s="238" t="s">
        <v>270</v>
      </c>
      <c r="F133" s="591" t="s">
        <v>271</v>
      </c>
      <c r="G133" s="238" t="s">
        <v>61</v>
      </c>
      <c r="H133" s="582" t="s">
        <v>23</v>
      </c>
      <c r="I133" s="237" t="s">
        <v>272</v>
      </c>
    </row>
    <row r="134" spans="1:10" s="189" customFormat="1" ht="31.5" customHeight="1" x14ac:dyDescent="0.35">
      <c r="A134" s="631"/>
      <c r="B134" s="297"/>
      <c r="C134" s="442" t="s">
        <v>23</v>
      </c>
      <c r="D134" s="243" t="s">
        <v>273</v>
      </c>
      <c r="E134" s="238" t="s">
        <v>270</v>
      </c>
      <c r="F134" s="593"/>
      <c r="G134" s="238" t="s">
        <v>39</v>
      </c>
      <c r="H134" s="582" t="s">
        <v>23</v>
      </c>
      <c r="I134" s="256" t="s">
        <v>21</v>
      </c>
      <c r="J134" s="189" t="s">
        <v>274</v>
      </c>
    </row>
    <row r="135" spans="1:10" s="189" customFormat="1" ht="36" customHeight="1" x14ac:dyDescent="0.35">
      <c r="A135" s="630">
        <v>47</v>
      </c>
      <c r="B135" s="297"/>
      <c r="C135" s="442" t="s">
        <v>23</v>
      </c>
      <c r="D135" s="243" t="s">
        <v>275</v>
      </c>
      <c r="E135" s="238" t="s">
        <v>276</v>
      </c>
      <c r="F135" s="591" t="s">
        <v>277</v>
      </c>
      <c r="G135" s="238" t="s">
        <v>61</v>
      </c>
      <c r="H135" s="582" t="s">
        <v>23</v>
      </c>
      <c r="I135" s="237" t="s">
        <v>278</v>
      </c>
      <c r="J135" s="189" t="s">
        <v>279</v>
      </c>
    </row>
    <row r="136" spans="1:10" s="189" customFormat="1" ht="39.75" customHeight="1" x14ac:dyDescent="0.35">
      <c r="A136" s="631"/>
      <c r="B136" s="297"/>
      <c r="C136" s="442" t="s">
        <v>23</v>
      </c>
      <c r="D136" s="243" t="s">
        <v>275</v>
      </c>
      <c r="E136" s="238" t="s">
        <v>276</v>
      </c>
      <c r="F136" s="593"/>
      <c r="G136" s="238" t="s">
        <v>39</v>
      </c>
      <c r="H136" s="582" t="s">
        <v>23</v>
      </c>
      <c r="I136" s="237" t="s">
        <v>280</v>
      </c>
    </row>
    <row r="137" spans="1:10" s="189" customFormat="1" ht="37.5" customHeight="1" x14ac:dyDescent="0.35">
      <c r="A137" s="630">
        <v>48</v>
      </c>
      <c r="B137" s="297"/>
      <c r="C137" s="442" t="s">
        <v>23</v>
      </c>
      <c r="D137" s="243" t="s">
        <v>281</v>
      </c>
      <c r="E137" s="238" t="s">
        <v>282</v>
      </c>
      <c r="F137" s="591" t="s">
        <v>283</v>
      </c>
      <c r="G137" s="238" t="s">
        <v>61</v>
      </c>
      <c r="H137" s="582" t="s">
        <v>23</v>
      </c>
      <c r="I137" s="263" t="s">
        <v>21</v>
      </c>
      <c r="J137" s="189" t="s">
        <v>284</v>
      </c>
    </row>
    <row r="138" spans="1:10" s="189" customFormat="1" ht="31.5" customHeight="1" x14ac:dyDescent="0.35">
      <c r="A138" s="631"/>
      <c r="B138" s="297"/>
      <c r="C138" s="442" t="s">
        <v>23</v>
      </c>
      <c r="D138" s="243" t="s">
        <v>285</v>
      </c>
      <c r="E138" s="238" t="s">
        <v>282</v>
      </c>
      <c r="F138" s="593"/>
      <c r="G138" s="238" t="s">
        <v>39</v>
      </c>
      <c r="H138" s="582" t="s">
        <v>23</v>
      </c>
      <c r="I138" s="237" t="s">
        <v>286</v>
      </c>
    </row>
    <row r="139" spans="1:10" ht="38.25" customHeight="1" x14ac:dyDescent="0.3">
      <c r="A139" s="628">
        <v>49</v>
      </c>
      <c r="B139" s="644" t="s">
        <v>287</v>
      </c>
      <c r="C139" s="576" t="s">
        <v>23</v>
      </c>
      <c r="D139" s="100"/>
      <c r="E139" s="264" t="s">
        <v>288</v>
      </c>
      <c r="F139" s="591" t="s">
        <v>289</v>
      </c>
      <c r="G139" s="576" t="s">
        <v>39</v>
      </c>
      <c r="H139" s="293" t="s">
        <v>23</v>
      </c>
      <c r="I139" s="576" t="s">
        <v>290</v>
      </c>
      <c r="J139" s="294"/>
    </row>
    <row r="140" spans="1:10" ht="38.25" customHeight="1" x14ac:dyDescent="0.3">
      <c r="A140" s="629"/>
      <c r="B140" s="645"/>
      <c r="C140" s="576" t="s">
        <v>23</v>
      </c>
      <c r="D140" s="100"/>
      <c r="E140" s="264" t="s">
        <v>288</v>
      </c>
      <c r="F140" s="593"/>
      <c r="G140" s="576" t="s">
        <v>22</v>
      </c>
      <c r="H140" s="293" t="s">
        <v>23</v>
      </c>
      <c r="I140" s="256" t="s">
        <v>21</v>
      </c>
      <c r="J140" s="294"/>
    </row>
    <row r="141" spans="1:10" ht="76.5" customHeight="1" x14ac:dyDescent="0.3">
      <c r="A141" s="628">
        <v>50</v>
      </c>
      <c r="B141" s="645"/>
      <c r="C141" s="576" t="s">
        <v>23</v>
      </c>
      <c r="D141" s="100"/>
      <c r="E141" s="264" t="s">
        <v>288</v>
      </c>
      <c r="F141" s="591" t="s">
        <v>291</v>
      </c>
      <c r="G141" s="576" t="s">
        <v>39</v>
      </c>
      <c r="H141" s="293" t="s">
        <v>23</v>
      </c>
      <c r="I141" s="283" t="s">
        <v>292</v>
      </c>
      <c r="J141" s="247" t="s">
        <v>293</v>
      </c>
    </row>
    <row r="142" spans="1:10" ht="24.75" customHeight="1" x14ac:dyDescent="0.3">
      <c r="A142" s="629"/>
      <c r="B142" s="645"/>
      <c r="C142" s="576" t="s">
        <v>23</v>
      </c>
      <c r="D142" s="100"/>
      <c r="E142" s="264" t="s">
        <v>288</v>
      </c>
      <c r="F142" s="593"/>
      <c r="G142" s="576" t="s">
        <v>22</v>
      </c>
      <c r="H142" s="293" t="s">
        <v>23</v>
      </c>
      <c r="I142" s="256" t="s">
        <v>21</v>
      </c>
      <c r="J142" s="294" t="s">
        <v>294</v>
      </c>
    </row>
    <row r="143" spans="1:10" ht="31.5" customHeight="1" x14ac:dyDescent="0.3">
      <c r="A143" s="628">
        <v>51</v>
      </c>
      <c r="B143" s="645"/>
      <c r="C143" s="576" t="s">
        <v>23</v>
      </c>
      <c r="D143" s="100"/>
      <c r="E143" s="264" t="s">
        <v>288</v>
      </c>
      <c r="F143" s="591" t="s">
        <v>295</v>
      </c>
      <c r="G143" s="576" t="s">
        <v>39</v>
      </c>
      <c r="H143" s="293" t="s">
        <v>23</v>
      </c>
      <c r="I143" s="576" t="s">
        <v>296</v>
      </c>
      <c r="J143" s="294"/>
    </row>
    <row r="144" spans="1:10" ht="38.25" customHeight="1" x14ac:dyDescent="0.3">
      <c r="A144" s="629"/>
      <c r="B144" s="645"/>
      <c r="C144" s="576" t="s">
        <v>23</v>
      </c>
      <c r="D144" s="100"/>
      <c r="E144" s="264" t="s">
        <v>288</v>
      </c>
      <c r="F144" s="593"/>
      <c r="G144" s="576" t="s">
        <v>22</v>
      </c>
      <c r="H144" s="293" t="s">
        <v>23</v>
      </c>
      <c r="I144" s="256" t="s">
        <v>21</v>
      </c>
      <c r="J144" s="294"/>
    </row>
    <row r="145" spans="1:10" ht="41.25" customHeight="1" x14ac:dyDescent="0.3">
      <c r="A145" s="628">
        <v>52</v>
      </c>
      <c r="B145" s="645"/>
      <c r="C145" s="576" t="s">
        <v>23</v>
      </c>
      <c r="D145" s="100"/>
      <c r="E145" s="264" t="s">
        <v>288</v>
      </c>
      <c r="F145" s="591" t="s">
        <v>297</v>
      </c>
      <c r="G145" s="576" t="s">
        <v>39</v>
      </c>
      <c r="H145" s="293" t="s">
        <v>23</v>
      </c>
      <c r="I145" s="576" t="s">
        <v>298</v>
      </c>
      <c r="J145" s="294"/>
    </row>
    <row r="146" spans="1:10" ht="25.5" customHeight="1" x14ac:dyDescent="0.3">
      <c r="A146" s="629"/>
      <c r="B146" s="646"/>
      <c r="C146" s="576" t="s">
        <v>23</v>
      </c>
      <c r="D146" s="100"/>
      <c r="E146" s="264" t="s">
        <v>288</v>
      </c>
      <c r="F146" s="593"/>
      <c r="G146" s="576" t="s">
        <v>22</v>
      </c>
      <c r="H146" s="293" t="s">
        <v>23</v>
      </c>
      <c r="I146" s="263" t="s">
        <v>21</v>
      </c>
      <c r="J146" s="294"/>
    </row>
    <row r="147" spans="1:10" ht="49.5" customHeight="1" x14ac:dyDescent="0.3">
      <c r="A147" s="278"/>
      <c r="B147" s="622" t="s">
        <v>299</v>
      </c>
      <c r="C147" s="622"/>
      <c r="D147" s="622"/>
      <c r="E147" s="279"/>
      <c r="F147" s="280"/>
      <c r="G147" s="281"/>
      <c r="H147" s="280"/>
      <c r="I147" s="281"/>
      <c r="J147" s="281"/>
    </row>
    <row r="148" spans="1:10" x14ac:dyDescent="0.3">
      <c r="A148" s="294"/>
      <c r="C148" s="441"/>
      <c r="F148" s="293"/>
      <c r="G148" s="294"/>
      <c r="H148" s="293"/>
      <c r="I148" s="294"/>
      <c r="J148" s="294"/>
    </row>
    <row r="149" spans="1:10" x14ac:dyDescent="0.3">
      <c r="A149" s="294"/>
      <c r="C149" s="441"/>
      <c r="F149" s="293"/>
      <c r="G149" s="294"/>
      <c r="H149" s="293"/>
      <c r="I149" s="294"/>
      <c r="J149" s="294"/>
    </row>
    <row r="150" spans="1:10" x14ac:dyDescent="0.3">
      <c r="A150" s="294"/>
      <c r="C150" s="441"/>
      <c r="F150" s="293"/>
      <c r="G150" s="294"/>
      <c r="H150" s="293"/>
      <c r="I150" s="294"/>
      <c r="J150" s="294"/>
    </row>
    <row r="151" spans="1:10" x14ac:dyDescent="0.3">
      <c r="A151" s="294"/>
      <c r="C151" s="441"/>
      <c r="F151" s="293"/>
      <c r="G151" s="294"/>
      <c r="H151" s="293"/>
      <c r="I151" s="294"/>
      <c r="J151" s="294"/>
    </row>
    <row r="152" spans="1:10" x14ac:dyDescent="0.3">
      <c r="A152" s="294"/>
      <c r="C152" s="441"/>
      <c r="F152" s="293"/>
      <c r="G152" s="294"/>
      <c r="H152" s="293"/>
      <c r="I152" s="294"/>
      <c r="J152" s="294"/>
    </row>
    <row r="153" spans="1:10" x14ac:dyDescent="0.3">
      <c r="A153" s="294"/>
      <c r="C153" s="441"/>
      <c r="F153" s="293"/>
      <c r="G153" s="294"/>
      <c r="H153" s="293"/>
      <c r="I153" s="294"/>
      <c r="J153" s="294"/>
    </row>
    <row r="154" spans="1:10" x14ac:dyDescent="0.3">
      <c r="A154" s="34"/>
      <c r="B154" s="221"/>
      <c r="C154" s="221"/>
      <c r="D154" s="221"/>
      <c r="E154" s="221"/>
      <c r="F154" s="269"/>
      <c r="G154" s="34"/>
      <c r="H154" s="269"/>
      <c r="I154" s="34"/>
      <c r="J154" s="34"/>
    </row>
    <row r="155" spans="1:10" x14ac:dyDescent="0.3">
      <c r="A155" s="34"/>
      <c r="B155" s="221"/>
      <c r="C155" s="221"/>
      <c r="D155" s="221"/>
      <c r="E155" s="221"/>
      <c r="F155" s="269"/>
      <c r="G155" s="34"/>
      <c r="H155" s="269"/>
      <c r="I155" s="34"/>
      <c r="J155" s="34"/>
    </row>
    <row r="156" spans="1:10" x14ac:dyDescent="0.3">
      <c r="A156" s="34"/>
      <c r="B156" s="221"/>
      <c r="C156" s="221"/>
      <c r="D156" s="221"/>
      <c r="E156" s="221"/>
      <c r="F156" s="269"/>
      <c r="G156" s="34"/>
      <c r="H156" s="269"/>
      <c r="I156" s="34"/>
      <c r="J156" s="34"/>
    </row>
    <row r="157" spans="1:10" x14ac:dyDescent="0.3">
      <c r="A157" s="34"/>
      <c r="B157" s="221"/>
      <c r="C157" s="221"/>
      <c r="D157" s="221"/>
      <c r="E157" s="221"/>
      <c r="F157" s="269"/>
      <c r="G157" s="34"/>
      <c r="H157" s="269"/>
      <c r="I157" s="34"/>
      <c r="J157" s="34"/>
    </row>
    <row r="158" spans="1:10" x14ac:dyDescent="0.3">
      <c r="A158" s="34"/>
      <c r="B158" s="221"/>
      <c r="C158" s="221"/>
      <c r="D158" s="221"/>
      <c r="E158" s="221"/>
      <c r="F158" s="269"/>
      <c r="G158" s="34"/>
      <c r="H158" s="269"/>
      <c r="I158" s="34"/>
      <c r="J158" s="34"/>
    </row>
    <row r="159" spans="1:10" x14ac:dyDescent="0.3">
      <c r="A159" s="34"/>
      <c r="B159" s="221"/>
      <c r="C159" s="221"/>
      <c r="D159" s="221"/>
      <c r="E159" s="221"/>
      <c r="F159" s="269"/>
      <c r="G159" s="34"/>
      <c r="H159" s="269"/>
      <c r="I159" s="34"/>
      <c r="J159" s="34"/>
    </row>
    <row r="160" spans="1:10" x14ac:dyDescent="0.3">
      <c r="A160" s="34"/>
      <c r="B160" s="221"/>
      <c r="C160" s="221"/>
      <c r="D160" s="221"/>
      <c r="E160" s="221"/>
      <c r="F160" s="269"/>
      <c r="G160" s="34"/>
      <c r="H160" s="269"/>
      <c r="I160" s="34"/>
      <c r="J160" s="34"/>
    </row>
    <row r="161" spans="1:10" x14ac:dyDescent="0.3">
      <c r="A161" s="34"/>
      <c r="B161" s="221"/>
      <c r="C161" s="221"/>
      <c r="D161" s="221"/>
      <c r="E161" s="221"/>
      <c r="F161" s="269"/>
      <c r="G161" s="34"/>
      <c r="H161" s="269"/>
      <c r="I161" s="34"/>
      <c r="J161" s="34"/>
    </row>
    <row r="162" spans="1:10" x14ac:dyDescent="0.3">
      <c r="A162" s="34"/>
      <c r="B162" s="221"/>
      <c r="C162" s="221"/>
      <c r="D162" s="221"/>
      <c r="E162" s="221"/>
      <c r="F162" s="269"/>
      <c r="G162" s="34"/>
      <c r="H162" s="269"/>
      <c r="I162" s="34"/>
      <c r="J162" s="34"/>
    </row>
    <row r="163" spans="1:10" x14ac:dyDescent="0.3">
      <c r="A163" s="34"/>
      <c r="B163" s="221"/>
      <c r="C163" s="221"/>
      <c r="D163" s="221"/>
      <c r="E163" s="221"/>
      <c r="F163" s="269"/>
      <c r="G163" s="34"/>
      <c r="H163" s="269"/>
      <c r="I163" s="34"/>
      <c r="J163" s="34"/>
    </row>
    <row r="164" spans="1:10" x14ac:dyDescent="0.3">
      <c r="A164" s="34"/>
      <c r="B164" s="221"/>
      <c r="C164" s="221"/>
      <c r="D164" s="221"/>
      <c r="E164" s="221"/>
      <c r="F164" s="269"/>
      <c r="G164" s="34"/>
      <c r="H164" s="269"/>
      <c r="I164" s="34"/>
      <c r="J164" s="34"/>
    </row>
    <row r="165" spans="1:10" x14ac:dyDescent="0.3">
      <c r="A165" s="34"/>
      <c r="B165" s="221"/>
      <c r="C165" s="221"/>
      <c r="D165" s="221"/>
      <c r="E165" s="221"/>
      <c r="F165" s="269"/>
      <c r="G165" s="34"/>
      <c r="H165" s="269"/>
      <c r="I165" s="34"/>
      <c r="J165" s="34"/>
    </row>
    <row r="166" spans="1:10" x14ac:dyDescent="0.3">
      <c r="A166" s="34"/>
      <c r="B166" s="221"/>
      <c r="C166" s="221"/>
      <c r="D166" s="221"/>
      <c r="E166" s="221"/>
      <c r="F166" s="269"/>
      <c r="G166" s="34"/>
      <c r="H166" s="269"/>
      <c r="I166" s="34"/>
      <c r="J166" s="34"/>
    </row>
    <row r="167" spans="1:10" x14ac:dyDescent="0.3">
      <c r="A167" s="34"/>
      <c r="B167" s="221"/>
      <c r="C167" s="221"/>
      <c r="D167" s="221"/>
      <c r="E167" s="221"/>
      <c r="F167" s="269"/>
      <c r="G167" s="34"/>
      <c r="H167" s="269"/>
      <c r="I167" s="34"/>
      <c r="J167" s="34"/>
    </row>
    <row r="168" spans="1:10" x14ac:dyDescent="0.3">
      <c r="A168" s="34"/>
      <c r="B168" s="221"/>
      <c r="C168" s="221"/>
      <c r="D168" s="221"/>
      <c r="E168" s="221"/>
      <c r="F168" s="269"/>
      <c r="G168" s="34"/>
      <c r="H168" s="269"/>
      <c r="I168" s="34"/>
      <c r="J168" s="34"/>
    </row>
    <row r="169" spans="1:10" x14ac:dyDescent="0.3">
      <c r="A169" s="34"/>
      <c r="B169" s="221"/>
      <c r="C169" s="221"/>
      <c r="D169" s="221"/>
      <c r="E169" s="221"/>
      <c r="F169" s="269"/>
      <c r="G169" s="34"/>
      <c r="H169" s="269"/>
      <c r="I169" s="34"/>
      <c r="J169" s="34"/>
    </row>
    <row r="170" spans="1:10" x14ac:dyDescent="0.3">
      <c r="A170" s="34"/>
      <c r="B170" s="221"/>
      <c r="C170" s="221"/>
      <c r="D170" s="221"/>
      <c r="E170" s="221"/>
      <c r="F170" s="269"/>
      <c r="G170" s="34"/>
      <c r="H170" s="269"/>
      <c r="I170" s="34"/>
      <c r="J170" s="34"/>
    </row>
    <row r="171" spans="1:10" x14ac:dyDescent="0.3">
      <c r="A171" s="34"/>
      <c r="B171" s="221"/>
      <c r="C171" s="221"/>
      <c r="D171" s="221"/>
      <c r="E171" s="221"/>
      <c r="F171" s="269"/>
      <c r="G171" s="34"/>
      <c r="H171" s="269"/>
      <c r="I171" s="34"/>
      <c r="J171" s="34"/>
    </row>
    <row r="172" spans="1:10" x14ac:dyDescent="0.3">
      <c r="A172" s="34"/>
      <c r="B172" s="221"/>
      <c r="C172" s="221"/>
      <c r="D172" s="221"/>
      <c r="E172" s="221"/>
      <c r="F172" s="269"/>
      <c r="G172" s="34"/>
      <c r="H172" s="269"/>
      <c r="I172" s="34"/>
      <c r="J172" s="34"/>
    </row>
    <row r="173" spans="1:10" x14ac:dyDescent="0.3">
      <c r="A173" s="34"/>
      <c r="B173" s="221"/>
      <c r="C173" s="221"/>
      <c r="D173" s="221"/>
      <c r="E173" s="221"/>
      <c r="F173" s="269"/>
      <c r="G173" s="34"/>
      <c r="H173" s="269"/>
      <c r="I173" s="34"/>
      <c r="J173" s="34"/>
    </row>
    <row r="174" spans="1:10" x14ac:dyDescent="0.3">
      <c r="A174" s="34"/>
      <c r="B174" s="221"/>
      <c r="C174" s="221"/>
      <c r="D174" s="221"/>
      <c r="E174" s="221"/>
      <c r="F174" s="269"/>
      <c r="G174" s="34"/>
      <c r="H174" s="269"/>
      <c r="I174" s="34"/>
      <c r="J174" s="34"/>
    </row>
    <row r="175" spans="1:10" x14ac:dyDescent="0.3">
      <c r="A175" s="34"/>
      <c r="B175" s="221"/>
      <c r="C175" s="221"/>
      <c r="D175" s="221"/>
      <c r="E175" s="221"/>
      <c r="F175" s="269"/>
      <c r="G175" s="34"/>
      <c r="H175" s="269"/>
      <c r="I175" s="34"/>
      <c r="J175" s="34"/>
    </row>
    <row r="176" spans="1:10" x14ac:dyDescent="0.3">
      <c r="A176" s="34"/>
      <c r="B176" s="221"/>
      <c r="C176" s="221"/>
      <c r="D176" s="221"/>
      <c r="E176" s="221"/>
      <c r="F176" s="269"/>
      <c r="G176" s="34"/>
      <c r="H176" s="269"/>
      <c r="I176" s="34"/>
      <c r="J176" s="34"/>
    </row>
    <row r="177" spans="1:10" x14ac:dyDescent="0.3">
      <c r="A177" s="34"/>
      <c r="B177" s="221"/>
      <c r="C177" s="221"/>
      <c r="D177" s="221"/>
      <c r="E177" s="221"/>
      <c r="F177" s="269"/>
      <c r="G177" s="34"/>
      <c r="H177" s="269"/>
      <c r="I177" s="34"/>
      <c r="J177" s="34"/>
    </row>
    <row r="178" spans="1:10" x14ac:dyDescent="0.3">
      <c r="A178" s="34"/>
      <c r="B178" s="221"/>
      <c r="C178" s="221"/>
      <c r="D178" s="221"/>
      <c r="E178" s="221"/>
      <c r="F178" s="269"/>
      <c r="G178" s="34"/>
      <c r="H178" s="269"/>
      <c r="I178" s="34"/>
      <c r="J178" s="34"/>
    </row>
    <row r="179" spans="1:10" x14ac:dyDescent="0.3">
      <c r="A179" s="34"/>
      <c r="B179" s="221"/>
      <c r="C179" s="221"/>
      <c r="D179" s="221"/>
      <c r="E179" s="221"/>
      <c r="F179" s="269"/>
      <c r="G179" s="34"/>
      <c r="H179" s="269"/>
      <c r="I179" s="34"/>
      <c r="J179" s="34"/>
    </row>
    <row r="180" spans="1:10" x14ac:dyDescent="0.3">
      <c r="A180" s="34"/>
      <c r="B180" s="221"/>
      <c r="C180" s="221"/>
      <c r="D180" s="221"/>
      <c r="E180" s="221"/>
      <c r="F180" s="269"/>
      <c r="G180" s="34"/>
      <c r="H180" s="269"/>
      <c r="I180" s="34"/>
      <c r="J180" s="34"/>
    </row>
    <row r="181" spans="1:10" x14ac:dyDescent="0.3">
      <c r="A181" s="34"/>
      <c r="B181" s="221"/>
      <c r="C181" s="221"/>
      <c r="D181" s="221"/>
      <c r="E181" s="221"/>
      <c r="F181" s="269"/>
      <c r="G181" s="34"/>
      <c r="H181" s="269"/>
      <c r="I181" s="34"/>
      <c r="J181" s="34"/>
    </row>
    <row r="182" spans="1:10" x14ac:dyDescent="0.3">
      <c r="A182" s="34"/>
      <c r="B182" s="221"/>
      <c r="C182" s="221"/>
      <c r="D182" s="221"/>
      <c r="E182" s="221"/>
      <c r="F182" s="269"/>
      <c r="G182" s="34"/>
      <c r="H182" s="269"/>
      <c r="I182" s="34"/>
      <c r="J182" s="34"/>
    </row>
    <row r="183" spans="1:10" x14ac:dyDescent="0.3">
      <c r="A183" s="34"/>
      <c r="B183" s="221"/>
      <c r="C183" s="221"/>
      <c r="D183" s="221"/>
      <c r="E183" s="221"/>
      <c r="F183" s="269"/>
      <c r="G183" s="34"/>
      <c r="H183" s="269"/>
      <c r="I183" s="34"/>
      <c r="J183" s="34"/>
    </row>
    <row r="184" spans="1:10" x14ac:dyDescent="0.3">
      <c r="A184" s="34"/>
      <c r="B184" s="221"/>
      <c r="C184" s="221"/>
      <c r="D184" s="221"/>
      <c r="E184" s="221"/>
      <c r="F184" s="269"/>
      <c r="G184" s="34"/>
      <c r="H184" s="269"/>
      <c r="I184" s="34"/>
      <c r="J184" s="34"/>
    </row>
    <row r="185" spans="1:10" x14ac:dyDescent="0.3">
      <c r="A185" s="34"/>
      <c r="B185" s="221"/>
      <c r="C185" s="221"/>
      <c r="D185" s="221"/>
      <c r="E185" s="221"/>
      <c r="F185" s="269"/>
      <c r="G185" s="34"/>
      <c r="H185" s="269"/>
      <c r="I185" s="34"/>
      <c r="J185" s="34"/>
    </row>
    <row r="186" spans="1:10" x14ac:dyDescent="0.3">
      <c r="A186" s="34"/>
      <c r="B186" s="221"/>
      <c r="C186" s="221"/>
      <c r="D186" s="221"/>
      <c r="E186" s="221"/>
      <c r="F186" s="269"/>
      <c r="G186" s="34"/>
      <c r="H186" s="269"/>
      <c r="I186" s="34"/>
      <c r="J186" s="34"/>
    </row>
    <row r="187" spans="1:10" x14ac:dyDescent="0.3">
      <c r="A187" s="34"/>
      <c r="B187" s="221"/>
      <c r="C187" s="221"/>
      <c r="D187" s="221"/>
      <c r="E187" s="221"/>
      <c r="F187" s="269"/>
      <c r="G187" s="34"/>
      <c r="H187" s="269"/>
      <c r="I187" s="34"/>
      <c r="J187" s="34"/>
    </row>
    <row r="188" spans="1:10" x14ac:dyDescent="0.3">
      <c r="A188" s="34"/>
      <c r="B188" s="221"/>
      <c r="C188" s="221"/>
      <c r="D188" s="221"/>
      <c r="E188" s="221"/>
      <c r="F188" s="269"/>
      <c r="G188" s="34"/>
      <c r="H188" s="269"/>
      <c r="I188" s="34"/>
      <c r="J188" s="34"/>
    </row>
    <row r="189" spans="1:10" x14ac:dyDescent="0.3">
      <c r="A189" s="34"/>
      <c r="B189" s="221"/>
      <c r="C189" s="221"/>
      <c r="D189" s="221"/>
      <c r="E189" s="221"/>
      <c r="F189" s="269"/>
      <c r="G189" s="34"/>
      <c r="H189" s="269"/>
      <c r="I189" s="34"/>
      <c r="J189" s="34"/>
    </row>
    <row r="190" spans="1:10" x14ac:dyDescent="0.3">
      <c r="A190" s="34"/>
      <c r="B190" s="221"/>
      <c r="C190" s="221"/>
      <c r="D190" s="221"/>
      <c r="E190" s="221"/>
      <c r="F190" s="269"/>
      <c r="G190" s="34"/>
      <c r="H190" s="269"/>
      <c r="I190" s="34"/>
      <c r="J190" s="34"/>
    </row>
    <row r="191" spans="1:10" x14ac:dyDescent="0.3">
      <c r="A191" s="34"/>
      <c r="B191" s="221"/>
      <c r="C191" s="221"/>
      <c r="D191" s="221"/>
      <c r="E191" s="221"/>
      <c r="F191" s="269"/>
      <c r="G191" s="34"/>
      <c r="H191" s="269"/>
      <c r="I191" s="34"/>
      <c r="J191" s="34"/>
    </row>
    <row r="192" spans="1:10" x14ac:dyDescent="0.3">
      <c r="A192" s="34"/>
      <c r="B192" s="221"/>
      <c r="C192" s="221"/>
      <c r="D192" s="221"/>
      <c r="E192" s="221"/>
      <c r="F192" s="269"/>
      <c r="G192" s="34"/>
      <c r="H192" s="269"/>
      <c r="I192" s="34"/>
      <c r="J192" s="34"/>
    </row>
    <row r="193" spans="1:10" x14ac:dyDescent="0.3">
      <c r="A193" s="34"/>
      <c r="B193" s="221"/>
      <c r="C193" s="221"/>
      <c r="D193" s="221"/>
      <c r="E193" s="221"/>
      <c r="F193" s="269"/>
      <c r="G193" s="34"/>
      <c r="H193" s="269"/>
      <c r="I193" s="34"/>
      <c r="J193" s="34"/>
    </row>
    <row r="194" spans="1:10" x14ac:dyDescent="0.3">
      <c r="A194" s="34"/>
      <c r="B194" s="221"/>
      <c r="C194" s="221"/>
      <c r="D194" s="221"/>
      <c r="E194" s="221"/>
      <c r="F194" s="269"/>
      <c r="G194" s="34"/>
      <c r="H194" s="269"/>
      <c r="I194" s="34"/>
      <c r="J194" s="34"/>
    </row>
    <row r="195" spans="1:10" x14ac:dyDescent="0.3">
      <c r="A195" s="34"/>
      <c r="B195" s="221"/>
      <c r="C195" s="221"/>
      <c r="D195" s="221"/>
      <c r="E195" s="221"/>
      <c r="F195" s="269"/>
      <c r="G195" s="34"/>
      <c r="H195" s="269"/>
      <c r="I195" s="34"/>
      <c r="J195" s="34"/>
    </row>
    <row r="196" spans="1:10" x14ac:dyDescent="0.3">
      <c r="A196" s="34"/>
      <c r="B196" s="221"/>
      <c r="C196" s="221"/>
      <c r="D196" s="221"/>
      <c r="E196" s="221"/>
      <c r="F196" s="269"/>
      <c r="G196" s="34"/>
      <c r="H196" s="269"/>
      <c r="I196" s="34"/>
      <c r="J196" s="34"/>
    </row>
    <row r="197" spans="1:10" x14ac:dyDescent="0.3">
      <c r="A197" s="34"/>
      <c r="B197" s="221"/>
      <c r="C197" s="221"/>
      <c r="D197" s="221"/>
      <c r="E197" s="221"/>
      <c r="F197" s="269"/>
      <c r="G197" s="34"/>
      <c r="H197" s="269"/>
      <c r="I197" s="34"/>
      <c r="J197" s="34"/>
    </row>
    <row r="198" spans="1:10" x14ac:dyDescent="0.3">
      <c r="A198" s="34"/>
      <c r="B198" s="221"/>
      <c r="C198" s="221"/>
      <c r="D198" s="221"/>
      <c r="E198" s="221"/>
      <c r="F198" s="269"/>
      <c r="G198" s="34"/>
      <c r="H198" s="269"/>
      <c r="I198" s="34"/>
      <c r="J198" s="34"/>
    </row>
    <row r="199" spans="1:10" x14ac:dyDescent="0.3">
      <c r="A199" s="34"/>
      <c r="B199" s="221"/>
      <c r="C199" s="221"/>
      <c r="D199" s="221"/>
      <c r="E199" s="221"/>
      <c r="F199" s="269"/>
      <c r="G199" s="34"/>
      <c r="H199" s="269"/>
      <c r="I199" s="34"/>
      <c r="J199" s="34"/>
    </row>
    <row r="200" spans="1:10" x14ac:dyDescent="0.3">
      <c r="A200" s="34"/>
      <c r="B200" s="221"/>
      <c r="C200" s="221"/>
      <c r="D200" s="221"/>
      <c r="E200" s="221"/>
      <c r="F200" s="269"/>
      <c r="G200" s="34"/>
      <c r="H200" s="269"/>
      <c r="I200" s="34"/>
      <c r="J200" s="34"/>
    </row>
    <row r="201" spans="1:10" x14ac:dyDescent="0.3">
      <c r="A201" s="34"/>
      <c r="B201" s="221"/>
      <c r="C201" s="221"/>
      <c r="D201" s="221"/>
      <c r="E201" s="221"/>
      <c r="F201" s="269"/>
      <c r="G201" s="34"/>
      <c r="H201" s="269"/>
      <c r="I201" s="34"/>
      <c r="J201" s="34"/>
    </row>
    <row r="202" spans="1:10" x14ac:dyDescent="0.3">
      <c r="A202" s="34"/>
      <c r="B202" s="221"/>
      <c r="C202" s="221"/>
      <c r="D202" s="221"/>
      <c r="E202" s="221"/>
      <c r="F202" s="269"/>
      <c r="G202" s="34"/>
      <c r="H202" s="269"/>
      <c r="I202" s="34"/>
      <c r="J202" s="34"/>
    </row>
    <row r="203" spans="1:10" x14ac:dyDescent="0.3">
      <c r="A203" s="34"/>
      <c r="B203" s="221"/>
      <c r="C203" s="221"/>
      <c r="D203" s="221"/>
      <c r="E203" s="221"/>
      <c r="F203" s="269"/>
      <c r="G203" s="34"/>
      <c r="H203" s="269"/>
      <c r="I203" s="34"/>
      <c r="J203" s="34"/>
    </row>
    <row r="204" spans="1:10" x14ac:dyDescent="0.3">
      <c r="A204" s="34"/>
      <c r="B204" s="221"/>
      <c r="C204" s="221"/>
      <c r="D204" s="221"/>
      <c r="E204" s="221"/>
      <c r="F204" s="269"/>
      <c r="G204" s="34"/>
      <c r="H204" s="269"/>
      <c r="I204" s="34"/>
      <c r="J204" s="34"/>
    </row>
    <row r="205" spans="1:10" x14ac:dyDescent="0.3">
      <c r="A205" s="34"/>
      <c r="B205" s="221"/>
      <c r="C205" s="221"/>
      <c r="D205" s="221"/>
      <c r="E205" s="221"/>
      <c r="F205" s="269"/>
      <c r="G205" s="34"/>
      <c r="H205" s="269"/>
      <c r="I205" s="34"/>
      <c r="J205" s="34"/>
    </row>
    <row r="206" spans="1:10" x14ac:dyDescent="0.3">
      <c r="A206" s="34"/>
      <c r="B206" s="221"/>
      <c r="C206" s="221"/>
      <c r="D206" s="221"/>
      <c r="E206" s="221"/>
      <c r="F206" s="269"/>
      <c r="G206" s="34"/>
      <c r="H206" s="269"/>
      <c r="I206" s="34"/>
      <c r="J206" s="34"/>
    </row>
    <row r="207" spans="1:10" x14ac:dyDescent="0.3">
      <c r="A207" s="34"/>
      <c r="B207" s="221"/>
      <c r="C207" s="221"/>
      <c r="D207" s="221"/>
      <c r="E207" s="221"/>
      <c r="F207" s="269"/>
      <c r="G207" s="34"/>
      <c r="H207" s="269"/>
      <c r="I207" s="34"/>
      <c r="J207" s="34"/>
    </row>
    <row r="208" spans="1:10" x14ac:dyDescent="0.3">
      <c r="A208" s="34"/>
      <c r="B208" s="221"/>
      <c r="C208" s="221"/>
      <c r="D208" s="221"/>
      <c r="E208" s="221"/>
      <c r="F208" s="269"/>
      <c r="G208" s="34"/>
      <c r="H208" s="269"/>
      <c r="I208" s="34"/>
      <c r="J208" s="34"/>
    </row>
    <row r="209" spans="1:10" x14ac:dyDescent="0.3">
      <c r="A209" s="34"/>
      <c r="B209" s="221"/>
      <c r="C209" s="221"/>
      <c r="D209" s="221"/>
      <c r="E209" s="221"/>
      <c r="F209" s="269"/>
      <c r="G209" s="34"/>
      <c r="H209" s="269"/>
      <c r="I209" s="34"/>
      <c r="J209" s="34"/>
    </row>
    <row r="210" spans="1:10" x14ac:dyDescent="0.3">
      <c r="A210" s="34"/>
      <c r="B210" s="221"/>
      <c r="C210" s="221"/>
      <c r="D210" s="221"/>
      <c r="E210" s="221"/>
      <c r="F210" s="269"/>
      <c r="G210" s="34"/>
      <c r="H210" s="269"/>
      <c r="I210" s="34"/>
      <c r="J210" s="34"/>
    </row>
    <row r="211" spans="1:10" x14ac:dyDescent="0.3">
      <c r="A211" s="34"/>
      <c r="B211" s="221"/>
      <c r="C211" s="221"/>
      <c r="D211" s="221"/>
      <c r="E211" s="221"/>
      <c r="F211" s="269"/>
      <c r="G211" s="34"/>
      <c r="H211" s="269"/>
      <c r="I211" s="34"/>
      <c r="J211" s="34"/>
    </row>
    <row r="212" spans="1:10" x14ac:dyDescent="0.3">
      <c r="A212" s="34"/>
      <c r="B212" s="221"/>
      <c r="C212" s="221"/>
      <c r="D212" s="221"/>
      <c r="E212" s="221"/>
      <c r="F212" s="269"/>
      <c r="G212" s="34"/>
      <c r="H212" s="269"/>
      <c r="I212" s="34"/>
      <c r="J212" s="34"/>
    </row>
    <row r="213" spans="1:10" x14ac:dyDescent="0.3">
      <c r="A213" s="34"/>
      <c r="B213" s="221"/>
      <c r="C213" s="221"/>
      <c r="D213" s="221"/>
      <c r="E213" s="221"/>
      <c r="F213" s="269"/>
      <c r="G213" s="34"/>
      <c r="H213" s="269"/>
      <c r="I213" s="34"/>
      <c r="J213" s="34"/>
    </row>
    <row r="214" spans="1:10" x14ac:dyDescent="0.3">
      <c r="A214" s="34"/>
      <c r="B214" s="221"/>
      <c r="C214" s="221"/>
      <c r="D214" s="221"/>
      <c r="E214" s="221"/>
      <c r="F214" s="269"/>
      <c r="G214" s="34"/>
      <c r="H214" s="269"/>
      <c r="I214" s="34"/>
      <c r="J214" s="34"/>
    </row>
    <row r="215" spans="1:10" x14ac:dyDescent="0.3">
      <c r="A215" s="34"/>
      <c r="B215" s="221"/>
      <c r="C215" s="221"/>
      <c r="D215" s="221"/>
      <c r="E215" s="221"/>
      <c r="F215" s="269"/>
      <c r="G215" s="34"/>
      <c r="H215" s="269"/>
      <c r="I215" s="34"/>
      <c r="J215" s="34"/>
    </row>
    <row r="216" spans="1:10" x14ac:dyDescent="0.3">
      <c r="A216" s="34"/>
      <c r="B216" s="221"/>
      <c r="C216" s="221"/>
      <c r="D216" s="221"/>
      <c r="E216" s="221"/>
      <c r="F216" s="269"/>
      <c r="G216" s="34"/>
      <c r="H216" s="269"/>
      <c r="I216" s="34"/>
      <c r="J216" s="34"/>
    </row>
    <row r="217" spans="1:10" x14ac:dyDescent="0.3">
      <c r="A217" s="34"/>
      <c r="B217" s="221"/>
      <c r="C217" s="221"/>
      <c r="D217" s="221"/>
      <c r="E217" s="221"/>
      <c r="F217" s="269"/>
      <c r="G217" s="34"/>
      <c r="H217" s="269"/>
      <c r="I217" s="34"/>
      <c r="J217" s="34"/>
    </row>
    <row r="218" spans="1:10" x14ac:dyDescent="0.3">
      <c r="A218" s="34"/>
      <c r="B218" s="221"/>
      <c r="C218" s="221"/>
      <c r="D218" s="221"/>
      <c r="E218" s="221"/>
      <c r="F218" s="269"/>
      <c r="G218" s="34"/>
      <c r="H218" s="269"/>
      <c r="I218" s="34"/>
      <c r="J218" s="34"/>
    </row>
    <row r="219" spans="1:10" x14ac:dyDescent="0.3">
      <c r="A219" s="34"/>
      <c r="B219" s="221"/>
      <c r="C219" s="221"/>
      <c r="D219" s="221"/>
      <c r="E219" s="221"/>
      <c r="F219" s="269"/>
      <c r="G219" s="34"/>
      <c r="H219" s="269"/>
      <c r="I219" s="34"/>
      <c r="J219" s="34"/>
    </row>
    <row r="220" spans="1:10" x14ac:dyDescent="0.3">
      <c r="A220" s="34"/>
      <c r="B220" s="221"/>
      <c r="C220" s="221"/>
      <c r="D220" s="221"/>
      <c r="E220" s="221"/>
      <c r="F220" s="269"/>
      <c r="G220" s="34"/>
      <c r="H220" s="269"/>
      <c r="I220" s="34"/>
      <c r="J220" s="34"/>
    </row>
    <row r="221" spans="1:10" x14ac:dyDescent="0.3">
      <c r="A221" s="34"/>
      <c r="B221" s="221"/>
      <c r="C221" s="221"/>
      <c r="D221" s="221"/>
      <c r="E221" s="221"/>
      <c r="F221" s="269"/>
      <c r="G221" s="34"/>
      <c r="H221" s="269"/>
      <c r="I221" s="34"/>
      <c r="J221" s="34"/>
    </row>
    <row r="222" spans="1:10" x14ac:dyDescent="0.3">
      <c r="A222" s="34"/>
      <c r="B222" s="221"/>
      <c r="C222" s="221"/>
      <c r="D222" s="221"/>
      <c r="E222" s="221"/>
      <c r="F222" s="269"/>
      <c r="G222" s="34"/>
      <c r="H222" s="269"/>
      <c r="I222" s="34"/>
      <c r="J222" s="34"/>
    </row>
    <row r="223" spans="1:10" x14ac:dyDescent="0.3">
      <c r="A223" s="34"/>
      <c r="B223" s="221"/>
      <c r="C223" s="221"/>
      <c r="D223" s="221"/>
      <c r="E223" s="221"/>
      <c r="F223" s="269"/>
      <c r="G223" s="34"/>
      <c r="H223" s="269"/>
      <c r="I223" s="34"/>
      <c r="J223" s="34"/>
    </row>
    <row r="224" spans="1:10" x14ac:dyDescent="0.3">
      <c r="A224" s="34"/>
      <c r="B224" s="221"/>
      <c r="C224" s="221"/>
      <c r="D224" s="221"/>
      <c r="E224" s="221"/>
      <c r="F224" s="269"/>
      <c r="G224" s="34"/>
      <c r="H224" s="269"/>
      <c r="I224" s="34"/>
      <c r="J224" s="34"/>
    </row>
    <row r="225" spans="1:10" x14ac:dyDescent="0.3">
      <c r="A225" s="34"/>
      <c r="B225" s="221"/>
      <c r="C225" s="221"/>
      <c r="D225" s="221"/>
      <c r="E225" s="221"/>
      <c r="F225" s="269"/>
      <c r="G225" s="34"/>
      <c r="H225" s="269"/>
      <c r="I225" s="34"/>
      <c r="J225" s="34"/>
    </row>
    <row r="226" spans="1:10" x14ac:dyDescent="0.3">
      <c r="A226" s="34"/>
      <c r="B226" s="221"/>
      <c r="C226" s="221"/>
      <c r="D226" s="221"/>
      <c r="E226" s="221"/>
      <c r="F226" s="269"/>
      <c r="G226" s="34"/>
      <c r="H226" s="269"/>
      <c r="I226" s="34"/>
      <c r="J226" s="34"/>
    </row>
    <row r="227" spans="1:10" x14ac:dyDescent="0.3">
      <c r="A227" s="34"/>
      <c r="B227" s="221"/>
      <c r="C227" s="221"/>
      <c r="D227" s="221"/>
      <c r="E227" s="221"/>
      <c r="F227" s="269"/>
      <c r="G227" s="34"/>
      <c r="H227" s="269"/>
      <c r="I227" s="34"/>
      <c r="J227" s="34"/>
    </row>
    <row r="228" spans="1:10" x14ac:dyDescent="0.3">
      <c r="A228" s="34"/>
      <c r="B228" s="221"/>
      <c r="C228" s="221"/>
      <c r="D228" s="221"/>
      <c r="E228" s="221"/>
      <c r="F228" s="269"/>
      <c r="G228" s="34"/>
      <c r="H228" s="269"/>
      <c r="I228" s="34"/>
      <c r="J228" s="34"/>
    </row>
    <row r="229" spans="1:10" x14ac:dyDescent="0.3">
      <c r="A229" s="34"/>
      <c r="B229" s="221"/>
      <c r="C229" s="221"/>
      <c r="D229" s="221"/>
      <c r="E229" s="221"/>
      <c r="F229" s="269"/>
      <c r="G229" s="34"/>
      <c r="H229" s="269"/>
      <c r="I229" s="34"/>
      <c r="J229" s="34"/>
    </row>
    <row r="230" spans="1:10" x14ac:dyDescent="0.3">
      <c r="A230" s="34"/>
      <c r="B230" s="221"/>
      <c r="C230" s="221"/>
      <c r="D230" s="221"/>
      <c r="E230" s="221"/>
      <c r="F230" s="269"/>
      <c r="G230" s="34"/>
      <c r="H230" s="269"/>
      <c r="I230" s="34"/>
      <c r="J230" s="34"/>
    </row>
    <row r="231" spans="1:10" x14ac:dyDescent="0.3">
      <c r="A231" s="34"/>
      <c r="B231" s="221"/>
      <c r="C231" s="221"/>
      <c r="D231" s="221"/>
      <c r="E231" s="221"/>
      <c r="F231" s="269"/>
      <c r="G231" s="34"/>
      <c r="H231" s="269"/>
      <c r="I231" s="34"/>
      <c r="J231" s="34"/>
    </row>
    <row r="232" spans="1:10" x14ac:dyDescent="0.3">
      <c r="A232" s="34"/>
      <c r="B232" s="221"/>
      <c r="C232" s="221"/>
      <c r="D232" s="221"/>
      <c r="E232" s="221"/>
      <c r="F232" s="269"/>
      <c r="G232" s="34"/>
      <c r="H232" s="269"/>
      <c r="I232" s="34"/>
      <c r="J232" s="34"/>
    </row>
    <row r="233" spans="1:10" x14ac:dyDescent="0.3">
      <c r="A233" s="34"/>
      <c r="B233" s="221"/>
      <c r="C233" s="221"/>
      <c r="D233" s="221"/>
      <c r="E233" s="221"/>
      <c r="F233" s="269"/>
      <c r="G233" s="34"/>
      <c r="H233" s="269"/>
      <c r="I233" s="34"/>
      <c r="J233" s="34"/>
    </row>
    <row r="234" spans="1:10" x14ac:dyDescent="0.3">
      <c r="A234" s="34"/>
      <c r="B234" s="221"/>
      <c r="C234" s="221"/>
      <c r="D234" s="221"/>
      <c r="E234" s="221"/>
      <c r="F234" s="269"/>
      <c r="G234" s="34"/>
      <c r="H234" s="269"/>
      <c r="I234" s="34"/>
      <c r="J234" s="34"/>
    </row>
    <row r="235" spans="1:10" x14ac:dyDescent="0.3">
      <c r="A235" s="34"/>
      <c r="B235" s="221"/>
      <c r="C235" s="221"/>
      <c r="D235" s="221"/>
      <c r="E235" s="221"/>
      <c r="F235" s="269"/>
      <c r="G235" s="34"/>
      <c r="H235" s="269"/>
      <c r="I235" s="34"/>
      <c r="J235" s="34"/>
    </row>
    <row r="236" spans="1:10" x14ac:dyDescent="0.3">
      <c r="A236" s="34"/>
      <c r="B236" s="221"/>
      <c r="C236" s="221"/>
      <c r="D236" s="221"/>
      <c r="E236" s="221"/>
      <c r="F236" s="269"/>
      <c r="G236" s="34"/>
      <c r="H236" s="269"/>
      <c r="I236" s="34"/>
      <c r="J236" s="34"/>
    </row>
    <row r="237" spans="1:10" x14ac:dyDescent="0.3">
      <c r="A237" s="34"/>
      <c r="B237" s="221"/>
      <c r="C237" s="221"/>
      <c r="D237" s="221"/>
      <c r="E237" s="221"/>
      <c r="F237" s="269"/>
      <c r="G237" s="34"/>
      <c r="H237" s="269"/>
      <c r="I237" s="34"/>
      <c r="J237" s="34"/>
    </row>
    <row r="238" spans="1:10" x14ac:dyDescent="0.3">
      <c r="A238" s="34"/>
      <c r="B238" s="221"/>
      <c r="C238" s="221"/>
      <c r="D238" s="221"/>
      <c r="E238" s="221"/>
      <c r="F238" s="269"/>
      <c r="G238" s="34"/>
      <c r="H238" s="269"/>
      <c r="I238" s="34"/>
      <c r="J238" s="34"/>
    </row>
    <row r="239" spans="1:10" x14ac:dyDescent="0.3">
      <c r="A239" s="34"/>
      <c r="B239" s="221"/>
      <c r="C239" s="221"/>
      <c r="D239" s="221"/>
      <c r="E239" s="221"/>
      <c r="F239" s="269"/>
      <c r="G239" s="34"/>
      <c r="H239" s="269"/>
      <c r="I239" s="34"/>
      <c r="J239" s="34"/>
    </row>
    <row r="240" spans="1:10" x14ac:dyDescent="0.3">
      <c r="A240" s="34"/>
      <c r="B240" s="221"/>
      <c r="C240" s="221"/>
      <c r="D240" s="221"/>
      <c r="E240" s="221"/>
      <c r="F240" s="269"/>
      <c r="G240" s="34"/>
      <c r="H240" s="269"/>
      <c r="I240" s="34"/>
      <c r="J240" s="34"/>
    </row>
    <row r="241" spans="1:10" x14ac:dyDescent="0.3">
      <c r="A241" s="34"/>
      <c r="B241" s="221"/>
      <c r="C241" s="221"/>
      <c r="D241" s="221"/>
      <c r="E241" s="221"/>
      <c r="F241" s="269"/>
      <c r="G241" s="34"/>
      <c r="H241" s="269"/>
      <c r="I241" s="34"/>
      <c r="J241" s="34"/>
    </row>
    <row r="242" spans="1:10" x14ac:dyDescent="0.3">
      <c r="A242" s="34"/>
      <c r="B242" s="221"/>
      <c r="C242" s="221"/>
      <c r="D242" s="221"/>
      <c r="E242" s="221"/>
      <c r="F242" s="269"/>
      <c r="G242" s="34"/>
      <c r="H242" s="269"/>
      <c r="I242" s="34"/>
      <c r="J242" s="34"/>
    </row>
    <row r="243" spans="1:10" x14ac:dyDescent="0.3">
      <c r="A243" s="34"/>
      <c r="B243" s="221"/>
      <c r="C243" s="221"/>
      <c r="D243" s="221"/>
      <c r="E243" s="221"/>
      <c r="F243" s="269"/>
      <c r="G243" s="34"/>
      <c r="H243" s="269"/>
      <c r="I243" s="34"/>
      <c r="J243" s="34"/>
    </row>
    <row r="244" spans="1:10" x14ac:dyDescent="0.3">
      <c r="A244" s="34"/>
      <c r="B244" s="221"/>
      <c r="C244" s="221"/>
      <c r="D244" s="221"/>
      <c r="E244" s="221"/>
      <c r="F244" s="269"/>
      <c r="G244" s="34"/>
      <c r="H244" s="269"/>
      <c r="I244" s="34"/>
      <c r="J244" s="34"/>
    </row>
    <row r="245" spans="1:10" x14ac:dyDescent="0.3">
      <c r="A245" s="34"/>
      <c r="B245" s="221"/>
      <c r="C245" s="221"/>
      <c r="D245" s="221"/>
      <c r="E245" s="221"/>
      <c r="F245" s="269"/>
      <c r="G245" s="34"/>
      <c r="H245" s="269"/>
      <c r="I245" s="34"/>
      <c r="J245" s="34"/>
    </row>
    <row r="246" spans="1:10" x14ac:dyDescent="0.3">
      <c r="A246" s="34"/>
      <c r="B246" s="221"/>
      <c r="C246" s="221"/>
      <c r="D246" s="221"/>
      <c r="E246" s="221"/>
      <c r="F246" s="269"/>
      <c r="G246" s="34"/>
      <c r="H246" s="269"/>
      <c r="I246" s="34"/>
      <c r="J246" s="34"/>
    </row>
    <row r="247" spans="1:10" x14ac:dyDescent="0.3">
      <c r="A247" s="34"/>
      <c r="B247" s="221"/>
      <c r="C247" s="221"/>
      <c r="D247" s="221"/>
      <c r="E247" s="221"/>
      <c r="F247" s="269"/>
      <c r="G247" s="34"/>
      <c r="H247" s="269"/>
      <c r="I247" s="34"/>
      <c r="J247" s="34"/>
    </row>
    <row r="248" spans="1:10" x14ac:dyDescent="0.3">
      <c r="A248" s="34"/>
      <c r="B248" s="221"/>
      <c r="C248" s="221"/>
      <c r="D248" s="221"/>
      <c r="E248" s="221"/>
      <c r="F248" s="269"/>
      <c r="G248" s="34"/>
      <c r="H248" s="269"/>
      <c r="I248" s="34"/>
      <c r="J248" s="34"/>
    </row>
    <row r="249" spans="1:10" x14ac:dyDescent="0.3">
      <c r="A249" s="34"/>
      <c r="B249" s="221"/>
      <c r="C249" s="221"/>
      <c r="D249" s="221"/>
      <c r="E249" s="221"/>
      <c r="F249" s="269"/>
      <c r="G249" s="34"/>
      <c r="H249" s="269"/>
      <c r="I249" s="34"/>
      <c r="J249" s="34"/>
    </row>
    <row r="250" spans="1:10" x14ac:dyDescent="0.3">
      <c r="A250" s="34"/>
      <c r="B250" s="221"/>
      <c r="C250" s="221"/>
      <c r="D250" s="221"/>
      <c r="E250" s="221"/>
      <c r="F250" s="269"/>
      <c r="G250" s="34"/>
      <c r="H250" s="269"/>
      <c r="I250" s="34"/>
      <c r="J250" s="34"/>
    </row>
    <row r="251" spans="1:10" x14ac:dyDescent="0.3">
      <c r="A251" s="34"/>
      <c r="B251" s="221"/>
      <c r="C251" s="221"/>
      <c r="D251" s="221"/>
      <c r="E251" s="221"/>
      <c r="F251" s="269"/>
      <c r="G251" s="34"/>
      <c r="H251" s="269"/>
      <c r="I251" s="34"/>
      <c r="J251" s="34"/>
    </row>
    <row r="252" spans="1:10" x14ac:dyDescent="0.3">
      <c r="A252" s="34"/>
      <c r="B252" s="221"/>
      <c r="C252" s="221"/>
      <c r="D252" s="221"/>
      <c r="E252" s="221"/>
      <c r="F252" s="269"/>
      <c r="G252" s="34"/>
      <c r="H252" s="269"/>
      <c r="I252" s="34"/>
      <c r="J252" s="34"/>
    </row>
    <row r="253" spans="1:10" x14ac:dyDescent="0.3">
      <c r="A253" s="34"/>
      <c r="B253" s="221"/>
      <c r="C253" s="221"/>
      <c r="D253" s="221"/>
      <c r="E253" s="221"/>
      <c r="F253" s="269"/>
      <c r="G253" s="34"/>
      <c r="H253" s="269"/>
      <c r="I253" s="34"/>
      <c r="J253" s="34"/>
    </row>
    <row r="254" spans="1:10" x14ac:dyDescent="0.3">
      <c r="A254" s="34"/>
      <c r="B254" s="221"/>
      <c r="C254" s="221"/>
      <c r="D254" s="221"/>
      <c r="E254" s="221"/>
      <c r="F254" s="269"/>
      <c r="G254" s="34"/>
      <c r="H254" s="269"/>
      <c r="I254" s="34"/>
      <c r="J254" s="34"/>
    </row>
    <row r="255" spans="1:10" x14ac:dyDescent="0.3">
      <c r="A255" s="34"/>
      <c r="B255" s="221"/>
      <c r="C255" s="221"/>
      <c r="D255" s="221"/>
      <c r="E255" s="221"/>
      <c r="F255" s="269"/>
      <c r="G255" s="34"/>
      <c r="H255" s="269"/>
      <c r="I255" s="34"/>
      <c r="J255" s="34"/>
    </row>
    <row r="256" spans="1:10" x14ac:dyDescent="0.3">
      <c r="A256" s="34"/>
      <c r="B256" s="221"/>
      <c r="C256" s="221"/>
      <c r="D256" s="221"/>
      <c r="E256" s="221"/>
      <c r="F256" s="269"/>
      <c r="G256" s="34"/>
      <c r="H256" s="269"/>
      <c r="I256" s="34"/>
      <c r="J256" s="34"/>
    </row>
    <row r="257" spans="1:10" x14ac:dyDescent="0.3">
      <c r="A257" s="34"/>
      <c r="B257" s="221"/>
      <c r="C257" s="221"/>
      <c r="D257" s="221"/>
      <c r="E257" s="221"/>
      <c r="F257" s="269"/>
      <c r="G257" s="34"/>
      <c r="H257" s="269"/>
      <c r="I257" s="34"/>
      <c r="J257" s="34"/>
    </row>
    <row r="258" spans="1:10" x14ac:dyDescent="0.3">
      <c r="A258" s="34"/>
      <c r="B258" s="221"/>
      <c r="C258" s="221"/>
      <c r="D258" s="221"/>
      <c r="E258" s="221"/>
      <c r="F258" s="269"/>
      <c r="G258" s="34"/>
      <c r="H258" s="269"/>
      <c r="I258" s="34"/>
      <c r="J258" s="34"/>
    </row>
    <row r="259" spans="1:10" x14ac:dyDescent="0.3">
      <c r="A259" s="34"/>
      <c r="B259" s="221"/>
      <c r="C259" s="221"/>
      <c r="D259" s="221"/>
      <c r="E259" s="221"/>
      <c r="F259" s="269"/>
      <c r="G259" s="34"/>
      <c r="H259" s="269"/>
      <c r="I259" s="34"/>
      <c r="J259" s="34"/>
    </row>
    <row r="260" spans="1:10" x14ac:dyDescent="0.3">
      <c r="A260" s="34"/>
      <c r="B260" s="221"/>
      <c r="C260" s="221"/>
      <c r="D260" s="221"/>
      <c r="E260" s="221"/>
      <c r="F260" s="269"/>
      <c r="G260" s="34"/>
      <c r="H260" s="269"/>
      <c r="I260" s="34"/>
      <c r="J260" s="34"/>
    </row>
    <row r="261" spans="1:10" x14ac:dyDescent="0.3">
      <c r="A261" s="34"/>
      <c r="B261" s="221"/>
      <c r="C261" s="221"/>
      <c r="D261" s="221"/>
      <c r="E261" s="221"/>
      <c r="F261" s="269"/>
      <c r="G261" s="34"/>
      <c r="H261" s="269"/>
      <c r="I261" s="34"/>
      <c r="J261" s="34"/>
    </row>
    <row r="262" spans="1:10" x14ac:dyDescent="0.3">
      <c r="A262" s="34"/>
      <c r="B262" s="221"/>
      <c r="C262" s="221"/>
      <c r="D262" s="221"/>
      <c r="E262" s="221"/>
      <c r="F262" s="269"/>
      <c r="G262" s="34"/>
      <c r="H262" s="269"/>
      <c r="I262" s="34"/>
      <c r="J262" s="34"/>
    </row>
    <row r="263" spans="1:10" x14ac:dyDescent="0.3">
      <c r="A263" s="34"/>
      <c r="B263" s="221"/>
      <c r="C263" s="221"/>
      <c r="D263" s="221"/>
      <c r="E263" s="221"/>
      <c r="F263" s="269"/>
      <c r="G263" s="34"/>
      <c r="H263" s="269"/>
      <c r="I263" s="34"/>
      <c r="J263" s="34"/>
    </row>
    <row r="264" spans="1:10" x14ac:dyDescent="0.3">
      <c r="A264" s="34"/>
      <c r="B264" s="221"/>
      <c r="C264" s="221"/>
      <c r="D264" s="221"/>
      <c r="E264" s="221"/>
      <c r="F264" s="269"/>
      <c r="G264" s="34"/>
      <c r="H264" s="269"/>
      <c r="I264" s="34"/>
      <c r="J264" s="34"/>
    </row>
    <row r="265" spans="1:10" x14ac:dyDescent="0.3">
      <c r="A265" s="34"/>
      <c r="B265" s="221"/>
      <c r="C265" s="221"/>
      <c r="D265" s="221"/>
      <c r="E265" s="221"/>
      <c r="F265" s="269"/>
      <c r="G265" s="34"/>
      <c r="H265" s="269"/>
      <c r="I265" s="34"/>
      <c r="J265" s="34"/>
    </row>
    <row r="266" spans="1:10" x14ac:dyDescent="0.3">
      <c r="A266" s="34"/>
      <c r="B266" s="221"/>
      <c r="C266" s="221"/>
      <c r="D266" s="221"/>
      <c r="E266" s="221"/>
      <c r="F266" s="269"/>
      <c r="G266" s="34"/>
      <c r="H266" s="269"/>
      <c r="I266" s="34"/>
      <c r="J266" s="34"/>
    </row>
    <row r="267" spans="1:10" x14ac:dyDescent="0.3">
      <c r="A267" s="34"/>
      <c r="B267" s="221"/>
      <c r="C267" s="221"/>
      <c r="D267" s="221"/>
      <c r="E267" s="221"/>
      <c r="F267" s="269"/>
      <c r="G267" s="34"/>
      <c r="H267" s="269"/>
      <c r="I267" s="34"/>
      <c r="J267" s="34"/>
    </row>
    <row r="268" spans="1:10" x14ac:dyDescent="0.3">
      <c r="A268" s="34"/>
      <c r="B268" s="221"/>
      <c r="C268" s="221"/>
      <c r="D268" s="221"/>
      <c r="E268" s="221"/>
      <c r="F268" s="269"/>
      <c r="G268" s="34"/>
      <c r="H268" s="269"/>
      <c r="I268" s="34"/>
      <c r="J268" s="34"/>
    </row>
    <row r="269" spans="1:10" x14ac:dyDescent="0.3">
      <c r="A269" s="34"/>
      <c r="B269" s="221"/>
      <c r="C269" s="221"/>
      <c r="D269" s="221"/>
      <c r="E269" s="221"/>
      <c r="F269" s="269"/>
      <c r="G269" s="34"/>
      <c r="H269" s="269"/>
      <c r="I269" s="34"/>
      <c r="J269" s="34"/>
    </row>
    <row r="270" spans="1:10" x14ac:dyDescent="0.3">
      <c r="A270" s="34"/>
      <c r="B270" s="221"/>
      <c r="C270" s="221"/>
      <c r="D270" s="221"/>
      <c r="E270" s="221"/>
      <c r="F270" s="269"/>
      <c r="G270" s="34"/>
      <c r="H270" s="269"/>
      <c r="I270" s="34"/>
      <c r="J270" s="34"/>
    </row>
    <row r="271" spans="1:10" x14ac:dyDescent="0.3">
      <c r="A271" s="34"/>
      <c r="B271" s="221"/>
      <c r="C271" s="221"/>
      <c r="D271" s="221"/>
      <c r="E271" s="221"/>
      <c r="F271" s="269"/>
      <c r="G271" s="34"/>
      <c r="H271" s="269"/>
      <c r="I271" s="34"/>
      <c r="J271" s="34"/>
    </row>
    <row r="272" spans="1:10" x14ac:dyDescent="0.3">
      <c r="A272" s="34"/>
      <c r="B272" s="221"/>
      <c r="C272" s="221"/>
      <c r="D272" s="221"/>
      <c r="E272" s="221"/>
      <c r="F272" s="269"/>
      <c r="G272" s="34"/>
      <c r="H272" s="269"/>
      <c r="I272" s="34"/>
      <c r="J272" s="34"/>
    </row>
    <row r="273" spans="1:10" x14ac:dyDescent="0.3">
      <c r="A273" s="34"/>
      <c r="B273" s="221"/>
      <c r="C273" s="221"/>
      <c r="D273" s="221"/>
      <c r="E273" s="221"/>
      <c r="F273" s="269"/>
      <c r="G273" s="34"/>
      <c r="H273" s="269"/>
      <c r="I273" s="34"/>
      <c r="J273" s="34"/>
    </row>
    <row r="274" spans="1:10" x14ac:dyDescent="0.3">
      <c r="A274" s="34"/>
      <c r="B274" s="221"/>
      <c r="C274" s="221"/>
      <c r="D274" s="221"/>
      <c r="E274" s="221"/>
      <c r="F274" s="269"/>
      <c r="G274" s="34"/>
      <c r="H274" s="269"/>
      <c r="I274" s="34"/>
      <c r="J274" s="34"/>
    </row>
    <row r="275" spans="1:10" x14ac:dyDescent="0.3">
      <c r="A275" s="34"/>
      <c r="B275" s="221"/>
      <c r="C275" s="221"/>
      <c r="D275" s="221"/>
      <c r="E275" s="221"/>
      <c r="F275" s="269"/>
      <c r="G275" s="34"/>
      <c r="H275" s="269"/>
      <c r="I275" s="34"/>
      <c r="J275" s="34"/>
    </row>
    <row r="276" spans="1:10" x14ac:dyDescent="0.3">
      <c r="A276" s="34"/>
      <c r="B276" s="221"/>
      <c r="C276" s="221"/>
      <c r="D276" s="221"/>
      <c r="E276" s="221"/>
      <c r="F276" s="269"/>
      <c r="G276" s="34"/>
      <c r="H276" s="269"/>
      <c r="I276" s="34"/>
      <c r="J276" s="34"/>
    </row>
    <row r="277" spans="1:10" x14ac:dyDescent="0.3">
      <c r="A277" s="34"/>
      <c r="B277" s="221"/>
      <c r="C277" s="221"/>
      <c r="D277" s="221"/>
      <c r="E277" s="221"/>
      <c r="F277" s="269"/>
      <c r="G277" s="34"/>
      <c r="H277" s="269"/>
      <c r="I277" s="34"/>
      <c r="J277" s="34"/>
    </row>
    <row r="278" spans="1:10" x14ac:dyDescent="0.3">
      <c r="A278" s="34"/>
      <c r="B278" s="221"/>
      <c r="C278" s="221"/>
      <c r="D278" s="221"/>
      <c r="E278" s="221"/>
      <c r="F278" s="269"/>
      <c r="G278" s="34"/>
      <c r="H278" s="269"/>
      <c r="I278" s="34"/>
      <c r="J278" s="34"/>
    </row>
    <row r="279" spans="1:10" x14ac:dyDescent="0.3">
      <c r="A279" s="34"/>
      <c r="B279" s="221"/>
      <c r="C279" s="221"/>
      <c r="D279" s="221"/>
      <c r="E279" s="221"/>
      <c r="F279" s="269"/>
      <c r="G279" s="34"/>
      <c r="H279" s="269"/>
      <c r="I279" s="34"/>
      <c r="J279" s="34"/>
    </row>
    <row r="280" spans="1:10" x14ac:dyDescent="0.3">
      <c r="A280" s="34"/>
      <c r="B280" s="221"/>
      <c r="C280" s="221"/>
      <c r="D280" s="221"/>
      <c r="E280" s="221"/>
      <c r="F280" s="269"/>
      <c r="G280" s="34"/>
      <c r="H280" s="269"/>
      <c r="I280" s="34"/>
      <c r="J280" s="34"/>
    </row>
    <row r="281" spans="1:10" x14ac:dyDescent="0.3">
      <c r="A281" s="34"/>
      <c r="B281" s="221"/>
      <c r="C281" s="221"/>
      <c r="D281" s="221"/>
      <c r="E281" s="221"/>
      <c r="F281" s="269"/>
      <c r="G281" s="34"/>
      <c r="H281" s="269"/>
      <c r="I281" s="34"/>
      <c r="J281" s="34"/>
    </row>
    <row r="282" spans="1:10" x14ac:dyDescent="0.3">
      <c r="A282" s="34"/>
      <c r="B282" s="221"/>
      <c r="C282" s="221"/>
      <c r="D282" s="221"/>
      <c r="E282" s="221"/>
      <c r="F282" s="269"/>
      <c r="G282" s="34"/>
      <c r="H282" s="269"/>
      <c r="I282" s="34"/>
      <c r="J282" s="34"/>
    </row>
    <row r="283" spans="1:10" x14ac:dyDescent="0.3">
      <c r="A283" s="34"/>
      <c r="B283" s="221"/>
      <c r="C283" s="221"/>
      <c r="D283" s="221"/>
      <c r="E283" s="221"/>
      <c r="F283" s="269"/>
      <c r="G283" s="34"/>
      <c r="H283" s="269"/>
      <c r="I283" s="34"/>
      <c r="J283" s="34"/>
    </row>
    <row r="284" spans="1:10" x14ac:dyDescent="0.3">
      <c r="A284" s="34"/>
      <c r="B284" s="221"/>
      <c r="C284" s="221"/>
      <c r="D284" s="221"/>
      <c r="E284" s="221"/>
      <c r="F284" s="269"/>
      <c r="G284" s="34"/>
      <c r="H284" s="269"/>
      <c r="I284" s="34"/>
      <c r="J284" s="34"/>
    </row>
    <row r="285" spans="1:10" x14ac:dyDescent="0.3">
      <c r="A285" s="34"/>
      <c r="B285" s="221"/>
      <c r="C285" s="221"/>
      <c r="D285" s="221"/>
      <c r="E285" s="221"/>
      <c r="F285" s="269"/>
      <c r="G285" s="34"/>
      <c r="H285" s="269"/>
      <c r="I285" s="34"/>
      <c r="J285" s="34"/>
    </row>
    <row r="286" spans="1:10" x14ac:dyDescent="0.3">
      <c r="A286" s="34"/>
      <c r="B286" s="221"/>
      <c r="C286" s="221"/>
      <c r="D286" s="221"/>
      <c r="E286" s="221"/>
      <c r="F286" s="269"/>
      <c r="G286" s="34"/>
      <c r="H286" s="269"/>
      <c r="I286" s="34"/>
      <c r="J286" s="34"/>
    </row>
    <row r="287" spans="1:10" x14ac:dyDescent="0.3">
      <c r="A287" s="34"/>
      <c r="B287" s="221"/>
      <c r="C287" s="221"/>
      <c r="D287" s="221"/>
      <c r="E287" s="221"/>
      <c r="F287" s="269"/>
      <c r="G287" s="34"/>
      <c r="H287" s="269"/>
      <c r="I287" s="34"/>
      <c r="J287" s="34"/>
    </row>
    <row r="288" spans="1:10" x14ac:dyDescent="0.3">
      <c r="A288" s="34"/>
      <c r="B288" s="221"/>
      <c r="C288" s="221"/>
      <c r="D288" s="221"/>
      <c r="E288" s="221"/>
      <c r="F288" s="269"/>
      <c r="G288" s="34"/>
      <c r="H288" s="269"/>
      <c r="I288" s="34"/>
      <c r="J288" s="34"/>
    </row>
    <row r="289" spans="1:10" x14ac:dyDescent="0.3">
      <c r="A289" s="34"/>
      <c r="B289" s="221"/>
      <c r="C289" s="221"/>
      <c r="D289" s="221"/>
      <c r="E289" s="221"/>
      <c r="F289" s="269"/>
      <c r="G289" s="34"/>
      <c r="H289" s="269"/>
      <c r="I289" s="34"/>
      <c r="J289" s="34"/>
    </row>
    <row r="290" spans="1:10" x14ac:dyDescent="0.3">
      <c r="A290" s="34"/>
      <c r="B290" s="221"/>
      <c r="C290" s="221"/>
      <c r="D290" s="221"/>
      <c r="E290" s="221"/>
      <c r="F290" s="269"/>
      <c r="G290" s="34"/>
      <c r="H290" s="269"/>
      <c r="I290" s="34"/>
      <c r="J290" s="34"/>
    </row>
    <row r="291" spans="1:10" x14ac:dyDescent="0.3">
      <c r="A291" s="34"/>
      <c r="B291" s="221"/>
      <c r="C291" s="221"/>
      <c r="D291" s="221"/>
      <c r="E291" s="221"/>
      <c r="F291" s="269"/>
      <c r="G291" s="34"/>
      <c r="H291" s="269"/>
      <c r="I291" s="34"/>
      <c r="J291" s="34"/>
    </row>
    <row r="292" spans="1:10" x14ac:dyDescent="0.3">
      <c r="A292" s="34"/>
      <c r="B292" s="221"/>
      <c r="C292" s="221"/>
      <c r="D292" s="221"/>
      <c r="E292" s="221"/>
      <c r="F292" s="269"/>
      <c r="G292" s="34"/>
      <c r="H292" s="269"/>
      <c r="I292" s="34"/>
      <c r="J292" s="34"/>
    </row>
    <row r="293" spans="1:10" x14ac:dyDescent="0.3">
      <c r="A293" s="34"/>
      <c r="B293" s="221"/>
      <c r="C293" s="221"/>
      <c r="D293" s="221"/>
      <c r="E293" s="221"/>
      <c r="F293" s="269"/>
      <c r="G293" s="34"/>
      <c r="H293" s="269"/>
      <c r="I293" s="34"/>
      <c r="J293" s="34"/>
    </row>
    <row r="294" spans="1:10" x14ac:dyDescent="0.3">
      <c r="A294" s="34"/>
      <c r="B294" s="221"/>
      <c r="C294" s="221"/>
      <c r="D294" s="221"/>
      <c r="E294" s="221"/>
      <c r="F294" s="269"/>
      <c r="G294" s="34"/>
      <c r="H294" s="269"/>
      <c r="I294" s="34"/>
      <c r="J294" s="34"/>
    </row>
    <row r="295" spans="1:10" x14ac:dyDescent="0.3">
      <c r="A295" s="34"/>
      <c r="B295" s="221"/>
      <c r="C295" s="221"/>
      <c r="D295" s="221"/>
      <c r="E295" s="221"/>
      <c r="F295" s="269"/>
      <c r="G295" s="34"/>
      <c r="H295" s="269"/>
      <c r="I295" s="34"/>
      <c r="J295" s="34"/>
    </row>
    <row r="296" spans="1:10" x14ac:dyDescent="0.3">
      <c r="A296" s="34"/>
      <c r="B296" s="221"/>
      <c r="C296" s="221"/>
      <c r="D296" s="221"/>
      <c r="E296" s="221"/>
      <c r="F296" s="269"/>
      <c r="G296" s="34"/>
      <c r="H296" s="269"/>
      <c r="I296" s="34"/>
      <c r="J296" s="34"/>
    </row>
    <row r="297" spans="1:10" x14ac:dyDescent="0.3">
      <c r="A297" s="34"/>
      <c r="B297" s="221"/>
      <c r="C297" s="221"/>
      <c r="D297" s="221"/>
      <c r="E297" s="221"/>
      <c r="F297" s="269"/>
      <c r="G297" s="34"/>
      <c r="H297" s="269"/>
      <c r="I297" s="34"/>
      <c r="J297" s="34"/>
    </row>
    <row r="298" spans="1:10" x14ac:dyDescent="0.3">
      <c r="A298" s="34"/>
      <c r="B298" s="221"/>
      <c r="C298" s="221"/>
      <c r="D298" s="221"/>
      <c r="E298" s="221"/>
      <c r="F298" s="269"/>
      <c r="G298" s="34"/>
      <c r="H298" s="269"/>
      <c r="I298" s="34"/>
      <c r="J298" s="34"/>
    </row>
    <row r="299" spans="1:10" x14ac:dyDescent="0.3">
      <c r="A299" s="34"/>
      <c r="B299" s="221"/>
      <c r="C299" s="221"/>
      <c r="D299" s="221"/>
      <c r="E299" s="221"/>
      <c r="F299" s="269"/>
      <c r="G299" s="34"/>
      <c r="H299" s="269"/>
      <c r="I299" s="34"/>
      <c r="J299" s="34"/>
    </row>
    <row r="300" spans="1:10" x14ac:dyDescent="0.3">
      <c r="A300" s="34"/>
      <c r="B300" s="221"/>
      <c r="C300" s="221"/>
      <c r="D300" s="221"/>
      <c r="E300" s="221"/>
      <c r="F300" s="269"/>
      <c r="G300" s="34"/>
      <c r="H300" s="269"/>
      <c r="I300" s="34"/>
      <c r="J300" s="34"/>
    </row>
    <row r="301" spans="1:10" x14ac:dyDescent="0.3">
      <c r="A301" s="34"/>
      <c r="B301" s="221"/>
      <c r="C301" s="221"/>
      <c r="D301" s="221"/>
      <c r="E301" s="221"/>
      <c r="F301" s="269"/>
      <c r="G301" s="34"/>
      <c r="H301" s="269"/>
      <c r="I301" s="34"/>
      <c r="J301" s="34"/>
    </row>
    <row r="302" spans="1:10" x14ac:dyDescent="0.3">
      <c r="A302" s="34"/>
      <c r="B302" s="221"/>
      <c r="C302" s="221"/>
      <c r="D302" s="221"/>
      <c r="E302" s="221"/>
      <c r="F302" s="269"/>
      <c r="G302" s="34"/>
      <c r="H302" s="269"/>
      <c r="I302" s="34"/>
      <c r="J302" s="34"/>
    </row>
    <row r="303" spans="1:10" x14ac:dyDescent="0.3">
      <c r="A303" s="34"/>
      <c r="B303" s="221"/>
      <c r="C303" s="221"/>
      <c r="D303" s="221"/>
      <c r="E303" s="221"/>
      <c r="F303" s="269"/>
      <c r="G303" s="34"/>
      <c r="H303" s="269"/>
      <c r="I303" s="34"/>
      <c r="J303" s="34"/>
    </row>
    <row r="304" spans="1:10" x14ac:dyDescent="0.3">
      <c r="A304" s="34"/>
      <c r="B304" s="221"/>
      <c r="C304" s="221"/>
      <c r="D304" s="221"/>
      <c r="E304" s="221"/>
      <c r="F304" s="269"/>
      <c r="G304" s="34"/>
      <c r="H304" s="269"/>
      <c r="I304" s="34"/>
      <c r="J304" s="34"/>
    </row>
    <row r="305" spans="1:10" x14ac:dyDescent="0.3">
      <c r="A305" s="34"/>
      <c r="B305" s="221"/>
      <c r="C305" s="221"/>
      <c r="D305" s="221"/>
      <c r="E305" s="221"/>
      <c r="F305" s="269"/>
      <c r="G305" s="34"/>
      <c r="H305" s="269"/>
      <c r="I305" s="34"/>
      <c r="J305" s="34"/>
    </row>
    <row r="306" spans="1:10" x14ac:dyDescent="0.3">
      <c r="A306" s="34"/>
      <c r="B306" s="221"/>
      <c r="C306" s="221"/>
      <c r="D306" s="221"/>
      <c r="E306" s="221"/>
      <c r="F306" s="269"/>
      <c r="G306" s="34"/>
      <c r="H306" s="269"/>
      <c r="I306" s="34"/>
      <c r="J306" s="34"/>
    </row>
    <row r="307" spans="1:10" x14ac:dyDescent="0.3">
      <c r="A307" s="34"/>
      <c r="B307" s="221"/>
      <c r="C307" s="221"/>
      <c r="D307" s="221"/>
      <c r="E307" s="221"/>
      <c r="F307" s="269"/>
      <c r="G307" s="34"/>
      <c r="H307" s="269"/>
      <c r="I307" s="34"/>
      <c r="J307" s="34"/>
    </row>
    <row r="308" spans="1:10" x14ac:dyDescent="0.3">
      <c r="A308" s="34"/>
      <c r="B308" s="221"/>
      <c r="C308" s="221"/>
      <c r="D308" s="221"/>
      <c r="E308" s="221"/>
      <c r="F308" s="269"/>
      <c r="G308" s="34"/>
      <c r="H308" s="269"/>
      <c r="I308" s="34"/>
      <c r="J308" s="34"/>
    </row>
    <row r="309" spans="1:10" x14ac:dyDescent="0.3">
      <c r="A309" s="34"/>
      <c r="B309" s="221"/>
      <c r="C309" s="221"/>
      <c r="D309" s="221"/>
      <c r="E309" s="221"/>
      <c r="F309" s="269"/>
      <c r="G309" s="34"/>
      <c r="H309" s="269"/>
      <c r="I309" s="34"/>
      <c r="J309" s="34"/>
    </row>
    <row r="310" spans="1:10" x14ac:dyDescent="0.3">
      <c r="A310" s="34"/>
      <c r="B310" s="221"/>
      <c r="C310" s="221"/>
      <c r="D310" s="221"/>
      <c r="E310" s="221"/>
      <c r="F310" s="269"/>
      <c r="G310" s="34"/>
      <c r="H310" s="269"/>
      <c r="I310" s="34"/>
      <c r="J310" s="34"/>
    </row>
    <row r="311" spans="1:10" x14ac:dyDescent="0.3">
      <c r="A311" s="34"/>
      <c r="B311" s="221"/>
      <c r="C311" s="221"/>
      <c r="D311" s="221"/>
      <c r="E311" s="221"/>
      <c r="F311" s="269"/>
      <c r="G311" s="34"/>
      <c r="H311" s="269"/>
      <c r="I311" s="34"/>
      <c r="J311" s="34"/>
    </row>
    <row r="312" spans="1:10" x14ac:dyDescent="0.3">
      <c r="A312" s="34"/>
      <c r="B312" s="221"/>
      <c r="C312" s="221"/>
      <c r="D312" s="221"/>
      <c r="E312" s="221"/>
      <c r="F312" s="269"/>
      <c r="G312" s="34"/>
      <c r="H312" s="269"/>
      <c r="I312" s="34"/>
      <c r="J312" s="34"/>
    </row>
    <row r="313" spans="1:10" x14ac:dyDescent="0.3">
      <c r="A313" s="34"/>
      <c r="B313" s="221"/>
      <c r="C313" s="221"/>
      <c r="D313" s="221"/>
      <c r="E313" s="221"/>
      <c r="F313" s="269"/>
      <c r="G313" s="34"/>
      <c r="H313" s="269"/>
      <c r="I313" s="34"/>
      <c r="J313" s="34"/>
    </row>
    <row r="314" spans="1:10" x14ac:dyDescent="0.3">
      <c r="A314" s="34"/>
      <c r="B314" s="221"/>
      <c r="C314" s="221"/>
      <c r="D314" s="221"/>
      <c r="E314" s="221"/>
      <c r="F314" s="269"/>
      <c r="G314" s="34"/>
      <c r="H314" s="269"/>
      <c r="I314" s="34"/>
      <c r="J314" s="34"/>
    </row>
    <row r="315" spans="1:10" x14ac:dyDescent="0.3">
      <c r="A315" s="34"/>
      <c r="B315" s="221"/>
      <c r="C315" s="221"/>
      <c r="D315" s="221"/>
      <c r="E315" s="221"/>
      <c r="F315" s="269"/>
      <c r="G315" s="34"/>
      <c r="H315" s="269"/>
      <c r="I315" s="34"/>
      <c r="J315" s="34"/>
    </row>
    <row r="316" spans="1:10" x14ac:dyDescent="0.3">
      <c r="A316" s="34"/>
      <c r="B316" s="221"/>
      <c r="C316" s="221"/>
      <c r="D316" s="221"/>
      <c r="E316" s="221"/>
      <c r="F316" s="269"/>
      <c r="G316" s="34"/>
      <c r="H316" s="269"/>
      <c r="I316" s="34"/>
      <c r="J316" s="34"/>
    </row>
    <row r="317" spans="1:10" x14ac:dyDescent="0.3">
      <c r="A317" s="34"/>
      <c r="B317" s="221"/>
      <c r="C317" s="221"/>
      <c r="D317" s="221"/>
      <c r="E317" s="221"/>
      <c r="F317" s="269"/>
      <c r="G317" s="34"/>
      <c r="H317" s="269"/>
      <c r="I317" s="34"/>
      <c r="J317" s="34"/>
    </row>
    <row r="318" spans="1:10" x14ac:dyDescent="0.3">
      <c r="A318" s="34"/>
      <c r="B318" s="221"/>
      <c r="C318" s="221"/>
      <c r="D318" s="221"/>
      <c r="E318" s="221"/>
      <c r="F318" s="269"/>
      <c r="G318" s="34"/>
      <c r="H318" s="269"/>
      <c r="I318" s="34"/>
      <c r="J318" s="34"/>
    </row>
    <row r="319" spans="1:10" x14ac:dyDescent="0.3">
      <c r="A319" s="34"/>
      <c r="B319" s="221"/>
      <c r="C319" s="221"/>
      <c r="D319" s="221"/>
      <c r="E319" s="221"/>
      <c r="F319" s="269"/>
      <c r="G319" s="34"/>
      <c r="H319" s="269"/>
      <c r="I319" s="34"/>
      <c r="J319" s="34"/>
    </row>
    <row r="320" spans="1:10" x14ac:dyDescent="0.3">
      <c r="A320" s="34"/>
      <c r="B320" s="221"/>
      <c r="C320" s="221"/>
      <c r="D320" s="221"/>
      <c r="E320" s="221"/>
      <c r="F320" s="269"/>
      <c r="G320" s="34"/>
      <c r="H320" s="269"/>
      <c r="I320" s="34"/>
      <c r="J320" s="34"/>
    </row>
    <row r="321" spans="1:10" x14ac:dyDescent="0.3">
      <c r="A321" s="34"/>
      <c r="B321" s="221"/>
      <c r="C321" s="221"/>
      <c r="D321" s="221"/>
      <c r="E321" s="221"/>
      <c r="F321" s="269"/>
      <c r="G321" s="34"/>
      <c r="H321" s="269"/>
      <c r="I321" s="34"/>
      <c r="J321" s="34"/>
    </row>
    <row r="322" spans="1:10" x14ac:dyDescent="0.3">
      <c r="A322" s="34"/>
      <c r="B322" s="221"/>
      <c r="C322" s="221"/>
      <c r="D322" s="221"/>
      <c r="E322" s="221"/>
      <c r="F322" s="269"/>
      <c r="G322" s="34"/>
      <c r="H322" s="269"/>
      <c r="I322" s="34"/>
      <c r="J322" s="34"/>
    </row>
    <row r="323" spans="1:10" x14ac:dyDescent="0.3">
      <c r="A323" s="34"/>
      <c r="B323" s="221"/>
      <c r="C323" s="221"/>
      <c r="D323" s="221"/>
      <c r="E323" s="221"/>
      <c r="F323" s="269"/>
      <c r="G323" s="34"/>
      <c r="H323" s="269"/>
      <c r="I323" s="34"/>
      <c r="J323" s="34"/>
    </row>
    <row r="324" spans="1:10" x14ac:dyDescent="0.3">
      <c r="A324" s="34"/>
      <c r="B324" s="221"/>
      <c r="C324" s="221"/>
      <c r="D324" s="221"/>
      <c r="E324" s="221"/>
      <c r="F324" s="269"/>
      <c r="G324" s="34"/>
      <c r="H324" s="269"/>
      <c r="I324" s="34"/>
      <c r="J324" s="34"/>
    </row>
    <row r="325" spans="1:10" x14ac:dyDescent="0.3">
      <c r="A325" s="34"/>
      <c r="B325" s="221"/>
      <c r="C325" s="221"/>
      <c r="D325" s="221"/>
      <c r="E325" s="221"/>
      <c r="F325" s="269"/>
      <c r="G325" s="34"/>
      <c r="H325" s="269"/>
      <c r="I325" s="34"/>
      <c r="J325" s="34"/>
    </row>
    <row r="326" spans="1:10" x14ac:dyDescent="0.3">
      <c r="A326" s="34"/>
      <c r="B326" s="221"/>
      <c r="C326" s="221"/>
      <c r="D326" s="221"/>
      <c r="E326" s="221"/>
      <c r="F326" s="269"/>
      <c r="G326" s="34"/>
      <c r="H326" s="269"/>
      <c r="I326" s="34"/>
      <c r="J326" s="34"/>
    </row>
    <row r="327" spans="1:10" x14ac:dyDescent="0.3">
      <c r="A327" s="34"/>
      <c r="B327" s="221"/>
      <c r="C327" s="221"/>
      <c r="D327" s="221"/>
      <c r="E327" s="221"/>
      <c r="F327" s="269"/>
      <c r="G327" s="34"/>
      <c r="H327" s="269"/>
      <c r="I327" s="34"/>
      <c r="J327" s="34"/>
    </row>
    <row r="328" spans="1:10" x14ac:dyDescent="0.3">
      <c r="A328" s="34"/>
      <c r="B328" s="221"/>
      <c r="C328" s="221"/>
      <c r="D328" s="221"/>
      <c r="E328" s="221"/>
      <c r="F328" s="269"/>
      <c r="G328" s="34"/>
      <c r="H328" s="269"/>
      <c r="I328" s="34"/>
      <c r="J328" s="34"/>
    </row>
    <row r="329" spans="1:10" x14ac:dyDescent="0.3">
      <c r="A329" s="34"/>
      <c r="B329" s="221"/>
      <c r="C329" s="221"/>
      <c r="D329" s="221"/>
      <c r="E329" s="221"/>
      <c r="F329" s="269"/>
      <c r="G329" s="34"/>
      <c r="H329" s="269"/>
      <c r="I329" s="34"/>
      <c r="J329" s="34"/>
    </row>
    <row r="330" spans="1:10" x14ac:dyDescent="0.3">
      <c r="A330" s="34"/>
      <c r="B330" s="221"/>
      <c r="C330" s="221"/>
      <c r="D330" s="221"/>
      <c r="E330" s="221"/>
      <c r="F330" s="269"/>
      <c r="G330" s="34"/>
      <c r="H330" s="269"/>
      <c r="I330" s="34"/>
      <c r="J330" s="34"/>
    </row>
    <row r="331" spans="1:10" x14ac:dyDescent="0.3">
      <c r="A331" s="34"/>
      <c r="B331" s="221"/>
      <c r="C331" s="221"/>
      <c r="D331" s="221"/>
      <c r="E331" s="221"/>
      <c r="F331" s="269"/>
      <c r="G331" s="34"/>
      <c r="H331" s="269"/>
      <c r="I331" s="34"/>
      <c r="J331" s="34"/>
    </row>
    <row r="332" spans="1:10" x14ac:dyDescent="0.3">
      <c r="A332" s="34"/>
      <c r="B332" s="221"/>
      <c r="C332" s="221"/>
      <c r="D332" s="221"/>
      <c r="E332" s="221"/>
      <c r="F332" s="269"/>
      <c r="G332" s="34"/>
      <c r="H332" s="269"/>
      <c r="I332" s="34"/>
      <c r="J332" s="34"/>
    </row>
    <row r="333" spans="1:10" x14ac:dyDescent="0.3">
      <c r="A333" s="34"/>
      <c r="B333" s="221"/>
      <c r="C333" s="221"/>
      <c r="D333" s="221"/>
      <c r="E333" s="221"/>
      <c r="F333" s="269"/>
      <c r="G333" s="34"/>
      <c r="H333" s="269"/>
      <c r="I333" s="34"/>
      <c r="J333" s="34"/>
    </row>
    <row r="334" spans="1:10" x14ac:dyDescent="0.3">
      <c r="A334" s="34"/>
      <c r="B334" s="221"/>
      <c r="C334" s="221"/>
      <c r="D334" s="221"/>
      <c r="E334" s="221"/>
      <c r="F334" s="269"/>
      <c r="G334" s="34"/>
      <c r="H334" s="269"/>
      <c r="I334" s="34"/>
      <c r="J334" s="34"/>
    </row>
    <row r="335" spans="1:10" x14ac:dyDescent="0.3">
      <c r="A335" s="34"/>
      <c r="B335" s="221"/>
      <c r="C335" s="221"/>
      <c r="D335" s="221"/>
      <c r="E335" s="221"/>
      <c r="F335" s="269"/>
      <c r="G335" s="34"/>
      <c r="H335" s="269"/>
      <c r="I335" s="34"/>
      <c r="J335" s="34"/>
    </row>
    <row r="336" spans="1:10" x14ac:dyDescent="0.3">
      <c r="A336" s="34"/>
      <c r="B336" s="221"/>
      <c r="C336" s="221"/>
      <c r="D336" s="221"/>
      <c r="E336" s="221"/>
      <c r="F336" s="269"/>
      <c r="G336" s="34"/>
      <c r="H336" s="269"/>
      <c r="I336" s="34"/>
      <c r="J336" s="34"/>
    </row>
    <row r="337" spans="1:10" x14ac:dyDescent="0.3">
      <c r="A337" s="34"/>
      <c r="B337" s="221"/>
      <c r="C337" s="221"/>
      <c r="D337" s="221"/>
      <c r="E337" s="221"/>
      <c r="F337" s="269"/>
      <c r="G337" s="34"/>
      <c r="H337" s="269"/>
      <c r="I337" s="34"/>
      <c r="J337" s="34"/>
    </row>
    <row r="338" spans="1:10" x14ac:dyDescent="0.3">
      <c r="A338" s="34"/>
      <c r="B338" s="221"/>
      <c r="C338" s="221"/>
      <c r="D338" s="221"/>
      <c r="E338" s="221"/>
      <c r="F338" s="269"/>
      <c r="G338" s="34"/>
      <c r="H338" s="269"/>
      <c r="I338" s="34"/>
      <c r="J338" s="34"/>
    </row>
    <row r="339" spans="1:10" x14ac:dyDescent="0.3">
      <c r="A339" s="34"/>
      <c r="B339" s="221"/>
      <c r="C339" s="221"/>
      <c r="D339" s="221"/>
      <c r="E339" s="221"/>
      <c r="F339" s="269"/>
      <c r="G339" s="34"/>
      <c r="H339" s="269"/>
      <c r="I339" s="34"/>
      <c r="J339" s="34"/>
    </row>
    <row r="340" spans="1:10" x14ac:dyDescent="0.3">
      <c r="A340" s="34"/>
      <c r="B340" s="221"/>
      <c r="C340" s="221"/>
      <c r="D340" s="221"/>
      <c r="E340" s="221"/>
      <c r="F340" s="269"/>
      <c r="G340" s="34"/>
      <c r="H340" s="269"/>
      <c r="I340" s="34"/>
      <c r="J340" s="34"/>
    </row>
    <row r="341" spans="1:10" x14ac:dyDescent="0.3">
      <c r="A341" s="34"/>
      <c r="B341" s="221"/>
      <c r="C341" s="221"/>
      <c r="D341" s="221"/>
      <c r="E341" s="221"/>
      <c r="F341" s="269"/>
      <c r="G341" s="34"/>
      <c r="H341" s="269"/>
      <c r="I341" s="34"/>
      <c r="J341" s="34"/>
    </row>
    <row r="342" spans="1:10" x14ac:dyDescent="0.3">
      <c r="A342" s="34"/>
      <c r="B342" s="221"/>
      <c r="C342" s="221"/>
      <c r="D342" s="221"/>
      <c r="E342" s="221"/>
      <c r="F342" s="269"/>
      <c r="G342" s="34"/>
      <c r="H342" s="269"/>
      <c r="I342" s="34"/>
      <c r="J342" s="34"/>
    </row>
    <row r="343" spans="1:10" x14ac:dyDescent="0.3">
      <c r="A343" s="34"/>
      <c r="B343" s="221"/>
      <c r="C343" s="221"/>
      <c r="D343" s="221"/>
      <c r="E343" s="221"/>
      <c r="F343" s="269"/>
      <c r="G343" s="34"/>
      <c r="H343" s="269"/>
      <c r="I343" s="34"/>
      <c r="J343" s="34"/>
    </row>
    <row r="344" spans="1:10" x14ac:dyDescent="0.3">
      <c r="A344" s="34"/>
      <c r="B344" s="221"/>
      <c r="C344" s="221"/>
      <c r="D344" s="221"/>
      <c r="E344" s="221"/>
      <c r="F344" s="269"/>
      <c r="G344" s="34"/>
      <c r="H344" s="269"/>
      <c r="I344" s="34"/>
      <c r="J344" s="34"/>
    </row>
    <row r="345" spans="1:10" x14ac:dyDescent="0.3">
      <c r="A345" s="34"/>
      <c r="B345" s="221"/>
      <c r="C345" s="221"/>
      <c r="D345" s="221"/>
      <c r="E345" s="221"/>
      <c r="F345" s="269"/>
      <c r="G345" s="34"/>
      <c r="H345" s="269"/>
      <c r="I345" s="34"/>
      <c r="J345" s="34"/>
    </row>
    <row r="346" spans="1:10" x14ac:dyDescent="0.3">
      <c r="A346" s="34"/>
      <c r="B346" s="221"/>
      <c r="C346" s="221"/>
      <c r="D346" s="221"/>
      <c r="E346" s="221"/>
      <c r="F346" s="269"/>
      <c r="G346" s="34"/>
      <c r="H346" s="269"/>
      <c r="I346" s="34"/>
      <c r="J346" s="34"/>
    </row>
    <row r="347" spans="1:10" x14ac:dyDescent="0.3">
      <c r="A347" s="34"/>
      <c r="B347" s="221"/>
      <c r="C347" s="221"/>
      <c r="D347" s="221"/>
      <c r="E347" s="221"/>
      <c r="F347" s="269"/>
      <c r="G347" s="34"/>
      <c r="H347" s="269"/>
      <c r="I347" s="34"/>
      <c r="J347" s="34"/>
    </row>
    <row r="348" spans="1:10" x14ac:dyDescent="0.3">
      <c r="A348" s="34"/>
      <c r="B348" s="221"/>
      <c r="C348" s="221"/>
      <c r="D348" s="221"/>
      <c r="E348" s="221"/>
      <c r="F348" s="269"/>
      <c r="G348" s="34"/>
      <c r="H348" s="269"/>
      <c r="I348" s="34"/>
      <c r="J348" s="34"/>
    </row>
    <row r="349" spans="1:10" x14ac:dyDescent="0.3">
      <c r="A349" s="34"/>
      <c r="B349" s="221"/>
      <c r="C349" s="221"/>
      <c r="D349" s="221"/>
      <c r="E349" s="221"/>
      <c r="F349" s="269"/>
      <c r="G349" s="34"/>
      <c r="H349" s="269"/>
      <c r="I349" s="34"/>
      <c r="J349" s="34"/>
    </row>
    <row r="350" spans="1:10" x14ac:dyDescent="0.3">
      <c r="A350" s="34"/>
      <c r="B350" s="221"/>
      <c r="C350" s="221"/>
      <c r="D350" s="221"/>
      <c r="E350" s="221"/>
      <c r="F350" s="269"/>
      <c r="G350" s="34"/>
      <c r="H350" s="269"/>
      <c r="I350" s="34"/>
      <c r="J350" s="34"/>
    </row>
    <row r="351" spans="1:10" x14ac:dyDescent="0.3">
      <c r="A351" s="34"/>
      <c r="B351" s="221"/>
      <c r="C351" s="221"/>
      <c r="D351" s="221"/>
      <c r="E351" s="221"/>
      <c r="F351" s="269"/>
      <c r="G351" s="34"/>
      <c r="H351" s="269"/>
      <c r="I351" s="34"/>
      <c r="J351" s="34"/>
    </row>
    <row r="352" spans="1:10" x14ac:dyDescent="0.3">
      <c r="A352" s="34"/>
      <c r="B352" s="221"/>
      <c r="C352" s="221"/>
      <c r="D352" s="221"/>
      <c r="E352" s="221"/>
      <c r="F352" s="269"/>
      <c r="G352" s="34"/>
      <c r="H352" s="269"/>
      <c r="I352" s="34"/>
      <c r="J352" s="34"/>
    </row>
    <row r="353" spans="1:10" x14ac:dyDescent="0.3">
      <c r="A353" s="34"/>
      <c r="B353" s="221"/>
      <c r="C353" s="221"/>
      <c r="D353" s="221"/>
      <c r="E353" s="221"/>
      <c r="F353" s="269"/>
      <c r="G353" s="34"/>
      <c r="H353" s="269"/>
      <c r="I353" s="34"/>
      <c r="J353" s="34"/>
    </row>
    <row r="354" spans="1:10" x14ac:dyDescent="0.3">
      <c r="A354" s="34"/>
      <c r="B354" s="221"/>
      <c r="C354" s="221"/>
      <c r="D354" s="221"/>
      <c r="E354" s="221"/>
      <c r="F354" s="269"/>
      <c r="G354" s="34"/>
      <c r="H354" s="269"/>
      <c r="I354" s="34"/>
      <c r="J354" s="34"/>
    </row>
    <row r="355" spans="1:10" x14ac:dyDescent="0.3">
      <c r="A355" s="34"/>
      <c r="B355" s="221"/>
      <c r="C355" s="221"/>
      <c r="D355" s="221"/>
      <c r="E355" s="221"/>
      <c r="F355" s="269"/>
      <c r="G355" s="34"/>
      <c r="H355" s="269"/>
      <c r="I355" s="34"/>
      <c r="J355" s="34"/>
    </row>
    <row r="356" spans="1:10" x14ac:dyDescent="0.3">
      <c r="A356" s="34"/>
      <c r="B356" s="221"/>
      <c r="C356" s="221"/>
      <c r="D356" s="221"/>
      <c r="E356" s="221"/>
      <c r="F356" s="269"/>
      <c r="G356" s="34"/>
      <c r="H356" s="269"/>
      <c r="I356" s="34"/>
      <c r="J356" s="34"/>
    </row>
    <row r="357" spans="1:10" x14ac:dyDescent="0.3">
      <c r="A357" s="222"/>
      <c r="B357" s="223"/>
      <c r="C357" s="224"/>
      <c r="D357" s="225"/>
      <c r="E357" s="226"/>
      <c r="F357" s="270"/>
      <c r="G357" s="222"/>
      <c r="H357" s="270"/>
      <c r="I357" s="222"/>
      <c r="J357" s="222"/>
    </row>
    <row r="358" spans="1:10" x14ac:dyDescent="0.3">
      <c r="A358" s="294"/>
      <c r="C358" s="441"/>
      <c r="F358" s="293"/>
      <c r="G358" s="294"/>
      <c r="H358" s="293"/>
      <c r="I358" s="294"/>
      <c r="J358" s="294"/>
    </row>
    <row r="359" spans="1:10" x14ac:dyDescent="0.3">
      <c r="A359" s="294"/>
      <c r="C359" s="441"/>
      <c r="F359" s="293"/>
      <c r="G359" s="294"/>
      <c r="H359" s="293"/>
      <c r="I359" s="294"/>
      <c r="J359" s="294"/>
    </row>
    <row r="360" spans="1:10" x14ac:dyDescent="0.3">
      <c r="A360" s="294"/>
      <c r="C360" s="441"/>
      <c r="F360" s="293"/>
      <c r="G360" s="294"/>
      <c r="H360" s="293"/>
      <c r="I360" s="294"/>
      <c r="J360" s="294"/>
    </row>
    <row r="361" spans="1:10" x14ac:dyDescent="0.3">
      <c r="A361" s="294"/>
      <c r="C361" s="441"/>
      <c r="F361" s="293"/>
      <c r="G361" s="294"/>
      <c r="H361" s="293"/>
      <c r="I361" s="294"/>
      <c r="J361" s="294"/>
    </row>
    <row r="362" spans="1:10" x14ac:dyDescent="0.3">
      <c r="A362" s="294"/>
      <c r="C362" s="441"/>
      <c r="F362" s="293"/>
      <c r="G362" s="294"/>
      <c r="H362" s="293"/>
      <c r="I362" s="294"/>
      <c r="J362" s="294"/>
    </row>
    <row r="363" spans="1:10" x14ac:dyDescent="0.3">
      <c r="A363" s="294"/>
      <c r="C363" s="441"/>
      <c r="F363" s="293"/>
      <c r="G363" s="294"/>
      <c r="H363" s="293"/>
      <c r="I363" s="294"/>
      <c r="J363" s="294"/>
    </row>
    <row r="364" spans="1:10" x14ac:dyDescent="0.3">
      <c r="A364" s="294"/>
      <c r="C364" s="441"/>
      <c r="F364" s="293"/>
      <c r="G364" s="294"/>
      <c r="H364" s="293"/>
      <c r="I364" s="294"/>
      <c r="J364" s="294"/>
    </row>
    <row r="365" spans="1:10" x14ac:dyDescent="0.3">
      <c r="A365" s="294"/>
      <c r="C365" s="441"/>
      <c r="F365" s="293"/>
      <c r="G365" s="294"/>
      <c r="H365" s="293"/>
      <c r="I365" s="294"/>
      <c r="J365" s="294"/>
    </row>
    <row r="366" spans="1:10" x14ac:dyDescent="0.3">
      <c r="A366" s="294"/>
      <c r="C366" s="441"/>
      <c r="F366" s="293"/>
      <c r="G366" s="294"/>
      <c r="H366" s="293"/>
      <c r="I366" s="294"/>
      <c r="J366" s="294"/>
    </row>
  </sheetData>
  <autoFilter ref="A2:J153" xr:uid="{00000000-0009-0000-0000-000001000000}"/>
  <customSheetViews>
    <customSheetView guid="{59B363CD-3DDC-B04B-9DA2-AD720BF8C467}" scale="80" showAutoFilter="1" state="hidden">
      <pane xSplit="1" ySplit="2.0277777777777777" topLeftCell="F6" activePane="bottomRight" state="frozenSplit"/>
      <selection pane="bottomRight" activeCell="I147" sqref="I147"/>
      <pageMargins left="0" right="0" top="0" bottom="0" header="0" footer="0"/>
      <pageSetup orientation="portrait"/>
      <autoFilter ref="A2:J153" xr:uid="{00000000-0000-0000-0000-000000000000}"/>
    </customSheetView>
    <customSheetView guid="{C2C56F38-527D-46F3-8E7F-3C5092082195}" scale="80" showAutoFilter="1" state="hidden">
      <pane xSplit="1" ySplit="2" topLeftCell="F6" activePane="bottomRight" state="frozenSplit"/>
      <selection pane="bottomRight" activeCell="I147" sqref="I147"/>
      <pageMargins left="0" right="0" top="0" bottom="0" header="0" footer="0"/>
      <pageSetup orientation="portrait"/>
      <autoFilter ref="A2:J153" xr:uid="{00000000-0000-0000-0000-000000000000}"/>
    </customSheetView>
  </customSheetViews>
  <mergeCells count="133">
    <mergeCell ref="A124:A125"/>
    <mergeCell ref="F81:F84"/>
    <mergeCell ref="A77:A84"/>
    <mergeCell ref="F63:F66"/>
    <mergeCell ref="F85:F87"/>
    <mergeCell ref="A56:A57"/>
    <mergeCell ref="A58:A62"/>
    <mergeCell ref="F118:F119"/>
    <mergeCell ref="F111:F112"/>
    <mergeCell ref="A116:A117"/>
    <mergeCell ref="A118:A119"/>
    <mergeCell ref="A120:A121"/>
    <mergeCell ref="B101:B108"/>
    <mergeCell ref="B111:B112"/>
    <mergeCell ref="A107:A108"/>
    <mergeCell ref="A139:A140"/>
    <mergeCell ref="B139:B146"/>
    <mergeCell ref="F109:F110"/>
    <mergeCell ref="F103:F104"/>
    <mergeCell ref="F105:F106"/>
    <mergeCell ref="F107:F108"/>
    <mergeCell ref="A109:A110"/>
    <mergeCell ref="B109:B110"/>
    <mergeCell ref="F143:F144"/>
    <mergeCell ref="F145:F146"/>
    <mergeCell ref="F135:F136"/>
    <mergeCell ref="F137:F138"/>
    <mergeCell ref="F124:F125"/>
    <mergeCell ref="F139:F140"/>
    <mergeCell ref="F141:F142"/>
    <mergeCell ref="F120:F121"/>
    <mergeCell ref="F122:F123"/>
    <mergeCell ref="F126:F128"/>
    <mergeCell ref="F131:F132"/>
    <mergeCell ref="F133:F134"/>
    <mergeCell ref="F114:F115"/>
    <mergeCell ref="F116:F117"/>
    <mergeCell ref="A135:A136"/>
    <mergeCell ref="A133:A134"/>
    <mergeCell ref="F4:F5"/>
    <mergeCell ref="F6:F7"/>
    <mergeCell ref="F73:F76"/>
    <mergeCell ref="F77:F80"/>
    <mergeCell ref="F88:F90"/>
    <mergeCell ref="F91:F92"/>
    <mergeCell ref="A27:A30"/>
    <mergeCell ref="A91:A94"/>
    <mergeCell ref="A8:A11"/>
    <mergeCell ref="A12:A13"/>
    <mergeCell ref="A16:A17"/>
    <mergeCell ref="A18:A19"/>
    <mergeCell ref="F50:F51"/>
    <mergeCell ref="F52:F53"/>
    <mergeCell ref="F54:F55"/>
    <mergeCell ref="F56:F57"/>
    <mergeCell ref="A50:A51"/>
    <mergeCell ref="A41:A42"/>
    <mergeCell ref="A43:A44"/>
    <mergeCell ref="A45:A46"/>
    <mergeCell ref="A47:A48"/>
    <mergeCell ref="A54:A55"/>
    <mergeCell ref="F8:F9"/>
    <mergeCell ref="F10:F11"/>
    <mergeCell ref="F45:F46"/>
    <mergeCell ref="F47:F48"/>
    <mergeCell ref="F35:F36"/>
    <mergeCell ref="F37:F38"/>
    <mergeCell ref="F39:F40"/>
    <mergeCell ref="F41:F42"/>
    <mergeCell ref="F43:F44"/>
    <mergeCell ref="F33:F34"/>
    <mergeCell ref="F18:F19"/>
    <mergeCell ref="F31:F32"/>
    <mergeCell ref="B29:B30"/>
    <mergeCell ref="B31:B32"/>
    <mergeCell ref="B33:B34"/>
    <mergeCell ref="A31:A34"/>
    <mergeCell ref="B35:B36"/>
    <mergeCell ref="F29:F30"/>
    <mergeCell ref="F27:F28"/>
    <mergeCell ref="A14:A15"/>
    <mergeCell ref="B8:B19"/>
    <mergeCell ref="B27:B28"/>
    <mergeCell ref="F12:F13"/>
    <mergeCell ref="F16:F17"/>
    <mergeCell ref="B147:D147"/>
    <mergeCell ref="A24:A25"/>
    <mergeCell ref="F24:F25"/>
    <mergeCell ref="A20:A21"/>
    <mergeCell ref="B20:B25"/>
    <mergeCell ref="F20:F21"/>
    <mergeCell ref="A22:A23"/>
    <mergeCell ref="F22:F23"/>
    <mergeCell ref="A141:A142"/>
    <mergeCell ref="A143:A144"/>
    <mergeCell ref="A145:A146"/>
    <mergeCell ref="A99:A100"/>
    <mergeCell ref="B114:B123"/>
    <mergeCell ref="A97:A98"/>
    <mergeCell ref="A137:A138"/>
    <mergeCell ref="A122:A123"/>
    <mergeCell ref="A126:A128"/>
    <mergeCell ref="A131:A132"/>
    <mergeCell ref="A101:A102"/>
    <mergeCell ref="B52:B100"/>
    <mergeCell ref="A85:A87"/>
    <mergeCell ref="A63:A69"/>
    <mergeCell ref="A103:A104"/>
    <mergeCell ref="A105:A106"/>
    <mergeCell ref="A4:A7"/>
    <mergeCell ref="A114:A115"/>
    <mergeCell ref="E105:E106"/>
    <mergeCell ref="F93:F94"/>
    <mergeCell ref="F95:F96"/>
    <mergeCell ref="F97:F98"/>
    <mergeCell ref="F99:F100"/>
    <mergeCell ref="F101:F102"/>
    <mergeCell ref="F58:F59"/>
    <mergeCell ref="F60:F62"/>
    <mergeCell ref="F67:F69"/>
    <mergeCell ref="F70:F72"/>
    <mergeCell ref="C54:C55"/>
    <mergeCell ref="D54:D55"/>
    <mergeCell ref="E54:E55"/>
    <mergeCell ref="A35:A36"/>
    <mergeCell ref="A52:A53"/>
    <mergeCell ref="B41:B48"/>
    <mergeCell ref="B50:B51"/>
    <mergeCell ref="A88:A90"/>
    <mergeCell ref="A95:A96"/>
    <mergeCell ref="A70:A76"/>
    <mergeCell ref="A37:A40"/>
    <mergeCell ref="A111:A112"/>
  </mergeCells>
  <pageMargins left="0.75" right="0.75" top="1" bottom="1" header="0.5" footer="0.5"/>
  <pageSetup orientation="portrait"/>
  <drawing r:id="rId1"/>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CCE7-43B8-4EBA-B488-3A75746BF64A}">
  <dimension ref="A1:M33"/>
  <sheetViews>
    <sheetView showGridLines="0" tabSelected="1" showWhiteSpace="0" topLeftCell="A13" zoomScale="70" zoomScaleNormal="70" workbookViewId="0">
      <selection activeCell="J31" sqref="J31:M32"/>
    </sheetView>
  </sheetViews>
  <sheetFormatPr defaultColWidth="10.81640625" defaultRowHeight="14.5" x14ac:dyDescent="0.35"/>
  <sheetData>
    <row r="1" spans="1:13" ht="44" x14ac:dyDescent="0.35">
      <c r="A1" s="447" t="s">
        <v>300</v>
      </c>
    </row>
    <row r="2" spans="1:13" ht="24.5" x14ac:dyDescent="0.35">
      <c r="A2" s="450" t="s">
        <v>301</v>
      </c>
    </row>
    <row r="3" spans="1:13" ht="18" x14ac:dyDescent="0.35">
      <c r="A3" s="449" t="s">
        <v>302</v>
      </c>
    </row>
    <row r="4" spans="1:13" ht="16" customHeight="1" x14ac:dyDescent="0.35">
      <c r="F4" s="448" t="s">
        <v>303</v>
      </c>
    </row>
    <row r="5" spans="1:13" ht="18" x14ac:dyDescent="0.35">
      <c r="A5" s="446"/>
      <c r="F5" s="659" t="s">
        <v>304</v>
      </c>
      <c r="G5" s="659"/>
      <c r="H5" s="659"/>
      <c r="I5" s="659"/>
      <c r="J5" s="659"/>
      <c r="K5" s="659"/>
      <c r="L5" s="659"/>
      <c r="M5" s="659"/>
    </row>
    <row r="6" spans="1:13" x14ac:dyDescent="0.35">
      <c r="F6" s="659"/>
      <c r="G6" s="659"/>
      <c r="H6" s="659"/>
      <c r="I6" s="659"/>
      <c r="J6" s="659"/>
      <c r="K6" s="659"/>
      <c r="L6" s="659"/>
      <c r="M6" s="659"/>
    </row>
    <row r="7" spans="1:13" x14ac:dyDescent="0.35">
      <c r="F7" s="659"/>
      <c r="G7" s="659"/>
      <c r="H7" s="659"/>
      <c r="I7" s="659"/>
      <c r="J7" s="659"/>
      <c r="K7" s="659"/>
      <c r="L7" s="659"/>
      <c r="M7" s="659"/>
    </row>
    <row r="8" spans="1:13" x14ac:dyDescent="0.35">
      <c r="F8" s="659"/>
      <c r="G8" s="659"/>
      <c r="H8" s="659"/>
      <c r="I8" s="659"/>
      <c r="J8" s="659"/>
      <c r="K8" s="659"/>
      <c r="L8" s="659"/>
      <c r="M8" s="659"/>
    </row>
    <row r="9" spans="1:13" ht="16" customHeight="1" x14ac:dyDescent="0.35">
      <c r="F9" s="448" t="s">
        <v>305</v>
      </c>
    </row>
    <row r="10" spans="1:13" ht="16" customHeight="1" x14ac:dyDescent="0.35">
      <c r="F10" s="660" t="s">
        <v>306</v>
      </c>
      <c r="G10" s="660"/>
      <c r="H10" s="660"/>
      <c r="I10" s="660"/>
      <c r="J10" s="660"/>
      <c r="K10" s="660"/>
      <c r="L10" s="660"/>
      <c r="M10" s="660"/>
    </row>
    <row r="11" spans="1:13" ht="16" customHeight="1" x14ac:dyDescent="0.35">
      <c r="F11" s="660"/>
      <c r="G11" s="660"/>
      <c r="H11" s="660"/>
      <c r="I11" s="660"/>
      <c r="J11" s="660"/>
      <c r="K11" s="660"/>
      <c r="L11" s="660"/>
      <c r="M11" s="660"/>
    </row>
    <row r="12" spans="1:13" ht="16" customHeight="1" x14ac:dyDescent="0.35">
      <c r="F12" s="566"/>
      <c r="G12" s="566"/>
      <c r="H12" s="566"/>
      <c r="I12" s="566"/>
      <c r="J12" s="566"/>
      <c r="K12" s="566"/>
      <c r="L12" s="566"/>
      <c r="M12" s="566"/>
    </row>
    <row r="13" spans="1:13" ht="18.649999999999999" customHeight="1" x14ac:dyDescent="0.35">
      <c r="F13" s="661" t="s">
        <v>307</v>
      </c>
      <c r="G13" s="662"/>
      <c r="H13" s="662"/>
      <c r="I13" s="662"/>
      <c r="J13" s="663" t="s">
        <v>308</v>
      </c>
      <c r="K13" s="663"/>
      <c r="L13" s="663" t="s">
        <v>309</v>
      </c>
      <c r="M13" s="663"/>
    </row>
    <row r="14" spans="1:13" ht="18.649999999999999" customHeight="1" x14ac:dyDescent="0.35">
      <c r="F14" s="658" t="s">
        <v>310</v>
      </c>
      <c r="G14" s="658"/>
      <c r="H14" s="658"/>
      <c r="I14" s="658"/>
      <c r="J14" s="658" t="s">
        <v>311</v>
      </c>
      <c r="K14" s="658"/>
      <c r="L14" s="658">
        <v>1</v>
      </c>
      <c r="M14" s="658"/>
    </row>
    <row r="15" spans="1:13" ht="18.649999999999999" customHeight="1" x14ac:dyDescent="0.35">
      <c r="F15" s="672" t="s">
        <v>312</v>
      </c>
      <c r="G15" s="672"/>
      <c r="H15" s="673" t="s">
        <v>313</v>
      </c>
      <c r="I15" s="673"/>
      <c r="J15" s="674" t="s">
        <v>314</v>
      </c>
      <c r="K15" s="674"/>
      <c r="L15" s="674" t="s">
        <v>315</v>
      </c>
      <c r="M15" s="674"/>
    </row>
    <row r="16" spans="1:13" ht="18.649999999999999" customHeight="1" x14ac:dyDescent="0.35">
      <c r="F16" s="675" t="s">
        <v>316</v>
      </c>
      <c r="G16" s="675"/>
      <c r="H16" s="658" t="s">
        <v>317</v>
      </c>
      <c r="I16" s="658"/>
      <c r="J16" s="675" t="s">
        <v>316</v>
      </c>
      <c r="K16" s="675"/>
      <c r="L16" s="658" t="s">
        <v>318</v>
      </c>
      <c r="M16" s="658"/>
    </row>
    <row r="17" spans="1:13" ht="18.649999999999999" customHeight="1" x14ac:dyDescent="0.35">
      <c r="F17" s="676" t="s">
        <v>319</v>
      </c>
      <c r="G17" s="676"/>
      <c r="H17" s="676"/>
      <c r="I17" s="676"/>
      <c r="J17" s="676" t="s">
        <v>320</v>
      </c>
      <c r="K17" s="676"/>
      <c r="L17" s="676"/>
      <c r="M17" s="676"/>
    </row>
    <row r="18" spans="1:13" ht="26.5" customHeight="1" x14ac:dyDescent="0.35">
      <c r="F18" s="677" t="s">
        <v>321</v>
      </c>
      <c r="G18" s="677"/>
      <c r="H18" s="677"/>
      <c r="I18" s="677"/>
      <c r="J18" s="677" t="s">
        <v>322</v>
      </c>
      <c r="K18" s="677"/>
      <c r="L18" s="677"/>
      <c r="M18" s="677"/>
    </row>
    <row r="19" spans="1:13" ht="18.649999999999999" customHeight="1" x14ac:dyDescent="0.35">
      <c r="F19" s="661" t="s">
        <v>323</v>
      </c>
      <c r="G19" s="661"/>
      <c r="H19" s="661"/>
      <c r="I19" s="661"/>
      <c r="J19" s="661"/>
      <c r="K19" s="661"/>
      <c r="L19" s="661"/>
      <c r="M19" s="661"/>
    </row>
    <row r="20" spans="1:13" ht="18.649999999999999" customHeight="1" x14ac:dyDescent="0.35">
      <c r="F20" s="664" t="s">
        <v>324</v>
      </c>
      <c r="G20" s="665"/>
      <c r="H20" s="665"/>
      <c r="I20" s="665"/>
      <c r="J20" s="665"/>
      <c r="K20" s="665"/>
      <c r="L20" s="665"/>
      <c r="M20" s="666"/>
    </row>
    <row r="21" spans="1:13" ht="18.649999999999999" customHeight="1" x14ac:dyDescent="0.35">
      <c r="F21" s="667"/>
      <c r="G21" s="659"/>
      <c r="H21" s="659"/>
      <c r="I21" s="659"/>
      <c r="J21" s="659"/>
      <c r="K21" s="659"/>
      <c r="L21" s="659"/>
      <c r="M21" s="668"/>
    </row>
    <row r="22" spans="1:13" ht="18.649999999999999" customHeight="1" x14ac:dyDescent="0.35">
      <c r="F22" s="667"/>
      <c r="G22" s="659"/>
      <c r="H22" s="659"/>
      <c r="I22" s="659"/>
      <c r="J22" s="659"/>
      <c r="K22" s="659"/>
      <c r="L22" s="659"/>
      <c r="M22" s="668"/>
    </row>
    <row r="23" spans="1:13" ht="18.649999999999999" customHeight="1" x14ac:dyDescent="0.35">
      <c r="F23" s="669"/>
      <c r="G23" s="670"/>
      <c r="H23" s="670"/>
      <c r="I23" s="670"/>
      <c r="J23" s="670"/>
      <c r="K23" s="670"/>
      <c r="L23" s="670"/>
      <c r="M23" s="671"/>
    </row>
    <row r="24" spans="1:13" ht="18.649999999999999" customHeight="1" x14ac:dyDescent="0.35">
      <c r="F24" s="661" t="s">
        <v>325</v>
      </c>
      <c r="G24" s="661"/>
      <c r="H24" s="661"/>
      <c r="I24" s="661"/>
      <c r="J24" s="661"/>
      <c r="K24" s="661"/>
      <c r="L24" s="661"/>
      <c r="M24" s="661"/>
    </row>
    <row r="25" spans="1:13" ht="18.649999999999999" customHeight="1" x14ac:dyDescent="0.35">
      <c r="F25" s="658" t="s">
        <v>326</v>
      </c>
      <c r="G25" s="658"/>
      <c r="H25" s="658"/>
      <c r="I25" s="658"/>
      <c r="J25" s="658"/>
      <c r="K25" s="658"/>
      <c r="L25" s="658"/>
      <c r="M25" s="658"/>
    </row>
    <row r="26" spans="1:13" ht="18.649999999999999" customHeight="1" x14ac:dyDescent="0.35">
      <c r="F26" s="661" t="s">
        <v>327</v>
      </c>
      <c r="G26" s="661"/>
      <c r="H26" s="661"/>
      <c r="I26" s="661"/>
      <c r="J26" s="661"/>
      <c r="K26" s="661"/>
      <c r="L26" s="661"/>
      <c r="M26" s="661"/>
    </row>
    <row r="27" spans="1:13" ht="18.649999999999999" customHeight="1" x14ac:dyDescent="0.35">
      <c r="F27" s="658" t="s">
        <v>328</v>
      </c>
      <c r="G27" s="658"/>
      <c r="H27" s="658"/>
      <c r="I27" s="658"/>
      <c r="J27" s="658"/>
      <c r="K27" s="658"/>
      <c r="L27" s="658"/>
      <c r="M27" s="658"/>
    </row>
    <row r="28" spans="1:13" ht="18.649999999999999" customHeight="1" x14ac:dyDescent="0.35">
      <c r="F28" s="661" t="s">
        <v>329</v>
      </c>
      <c r="G28" s="661"/>
      <c r="H28" s="661"/>
      <c r="I28" s="661"/>
      <c r="J28" s="661"/>
      <c r="K28" s="661"/>
      <c r="L28" s="661"/>
      <c r="M28" s="661"/>
    </row>
    <row r="29" spans="1:13" ht="18.649999999999999" customHeight="1" x14ac:dyDescent="0.35">
      <c r="F29" s="658" t="s">
        <v>330</v>
      </c>
      <c r="G29" s="658"/>
      <c r="H29" s="658"/>
      <c r="I29" s="658"/>
      <c r="J29" s="658"/>
      <c r="K29" s="658"/>
      <c r="L29" s="658"/>
      <c r="M29" s="658"/>
    </row>
    <row r="30" spans="1:13" ht="18.649999999999999" customHeight="1" x14ac:dyDescent="0.35">
      <c r="F30" s="661" t="s">
        <v>331</v>
      </c>
      <c r="G30" s="661"/>
      <c r="H30" s="661"/>
      <c r="I30" s="661"/>
      <c r="J30" s="661" t="s">
        <v>332</v>
      </c>
      <c r="K30" s="661"/>
      <c r="L30" s="661"/>
      <c r="M30" s="661"/>
    </row>
    <row r="31" spans="1:13" ht="18.649999999999999" customHeight="1" x14ac:dyDescent="0.35">
      <c r="A31" s="554" t="s">
        <v>333</v>
      </c>
      <c r="F31" s="677" t="s">
        <v>334</v>
      </c>
      <c r="G31" s="677"/>
      <c r="H31" s="677"/>
      <c r="I31" s="677"/>
      <c r="J31" s="677" t="s">
        <v>335</v>
      </c>
      <c r="K31" s="677"/>
      <c r="L31" s="677"/>
      <c r="M31" s="677"/>
    </row>
    <row r="32" spans="1:13" ht="18.649999999999999" customHeight="1" x14ac:dyDescent="0.35">
      <c r="F32" s="677"/>
      <c r="G32" s="677"/>
      <c r="H32" s="677"/>
      <c r="I32" s="677"/>
      <c r="J32" s="677"/>
      <c r="K32" s="677"/>
      <c r="L32" s="677"/>
      <c r="M32" s="677"/>
    </row>
    <row r="33" spans="1:1" x14ac:dyDescent="0.35">
      <c r="A33" s="553" t="s">
        <v>311</v>
      </c>
    </row>
  </sheetData>
  <mergeCells count="32">
    <mergeCell ref="F30:I30"/>
    <mergeCell ref="J30:M30"/>
    <mergeCell ref="F31:I32"/>
    <mergeCell ref="J31:M32"/>
    <mergeCell ref="F24:M24"/>
    <mergeCell ref="F25:M25"/>
    <mergeCell ref="F26:M26"/>
    <mergeCell ref="F27:M27"/>
    <mergeCell ref="F28:M28"/>
    <mergeCell ref="F29:M29"/>
    <mergeCell ref="F20:M23"/>
    <mergeCell ref="F15:G15"/>
    <mergeCell ref="H15:I15"/>
    <mergeCell ref="J15:K15"/>
    <mergeCell ref="L15:M15"/>
    <mergeCell ref="F16:G16"/>
    <mergeCell ref="H16:I16"/>
    <mergeCell ref="J16:K16"/>
    <mergeCell ref="L16:M16"/>
    <mergeCell ref="F17:I17"/>
    <mergeCell ref="J17:M17"/>
    <mergeCell ref="F18:I18"/>
    <mergeCell ref="J18:M18"/>
    <mergeCell ref="F19:M19"/>
    <mergeCell ref="F14:I14"/>
    <mergeCell ref="J14:K14"/>
    <mergeCell ref="L14:M14"/>
    <mergeCell ref="F5:M8"/>
    <mergeCell ref="F10:M11"/>
    <mergeCell ref="F13:I13"/>
    <mergeCell ref="J13:K13"/>
    <mergeCell ref="L13:M13"/>
  </mergeCells>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5"/>
  <sheetViews>
    <sheetView workbookViewId="0">
      <selection activeCell="B9" sqref="B9"/>
    </sheetView>
  </sheetViews>
  <sheetFormatPr defaultColWidth="8.81640625" defaultRowHeight="14.5" x14ac:dyDescent="0.35"/>
  <cols>
    <col min="1" max="1" width="22" customWidth="1"/>
    <col min="2" max="2" width="24" customWidth="1"/>
    <col min="3" max="3" width="14.453125" customWidth="1"/>
  </cols>
  <sheetData>
    <row r="2" spans="1:2" x14ac:dyDescent="0.35">
      <c r="A2" t="s">
        <v>336</v>
      </c>
    </row>
    <row r="3" spans="1:2" x14ac:dyDescent="0.35">
      <c r="A3" t="s">
        <v>337</v>
      </c>
      <c r="B3" t="s">
        <v>338</v>
      </c>
    </row>
    <row r="4" spans="1:2" x14ac:dyDescent="0.35">
      <c r="A4" t="s">
        <v>339</v>
      </c>
    </row>
    <row r="5" spans="1:2" x14ac:dyDescent="0.35">
      <c r="A5" t="s">
        <v>340</v>
      </c>
    </row>
  </sheetData>
  <customSheetViews>
    <customSheetView guid="{59B363CD-3DDC-B04B-9DA2-AD720BF8C467}" state="hidden">
      <selection activeCell="B9" sqref="B9"/>
      <pageMargins left="0" right="0" top="0" bottom="0" header="0" footer="0"/>
    </customSheetView>
    <customSheetView guid="{C2C56F38-527D-46F3-8E7F-3C5092082195}" state="hidden">
      <selection activeCell="B9" sqref="B9"/>
      <pageMargins left="0" right="0" top="0" bottom="0" header="0" footer="0"/>
    </customSheetView>
  </customSheetViews>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112"/>
  <sheetViews>
    <sheetView topLeftCell="B1" zoomScale="68" zoomScaleNormal="68" zoomScalePageLayoutView="68" workbookViewId="0">
      <pane ySplit="2" topLeftCell="A5" activePane="bottomLeft" state="frozenSplit"/>
      <selection activeCell="B1" sqref="B1"/>
      <selection pane="bottomLeft" activeCell="G7" sqref="G7"/>
    </sheetView>
  </sheetViews>
  <sheetFormatPr defaultColWidth="9.1796875" defaultRowHeight="14.5" x14ac:dyDescent="0.35"/>
  <cols>
    <col min="1" max="1" width="8.54296875" hidden="1" customWidth="1"/>
    <col min="2" max="2" width="18.453125" customWidth="1"/>
    <col min="3" max="3" width="22.453125" customWidth="1"/>
    <col min="4" max="4" width="31.453125" customWidth="1"/>
    <col min="5" max="5" width="30.54296875" customWidth="1"/>
    <col min="6" max="6" width="50.453125" customWidth="1"/>
    <col min="7" max="7" width="40.54296875" customWidth="1"/>
    <col min="8" max="8" width="11.54296875" customWidth="1"/>
    <col min="9" max="9" width="16.453125" customWidth="1"/>
    <col min="10" max="10" width="66.1796875" customWidth="1"/>
    <col min="11" max="11" width="78" customWidth="1"/>
    <col min="12" max="16384" width="9.1796875" style="130"/>
  </cols>
  <sheetData>
    <row r="2" spans="1:11" ht="46.5" x14ac:dyDescent="0.35">
      <c r="B2" s="282" t="s">
        <v>341</v>
      </c>
      <c r="C2" s="82" t="s">
        <v>342</v>
      </c>
      <c r="D2" s="282" t="s">
        <v>343</v>
      </c>
      <c r="E2" s="82" t="s">
        <v>9</v>
      </c>
      <c r="F2" s="282" t="s">
        <v>344</v>
      </c>
      <c r="G2" s="82" t="s">
        <v>10</v>
      </c>
      <c r="H2" s="282" t="s">
        <v>11</v>
      </c>
      <c r="I2" s="282" t="s">
        <v>12</v>
      </c>
      <c r="J2" s="82" t="s">
        <v>13</v>
      </c>
      <c r="K2" s="82" t="s">
        <v>14</v>
      </c>
    </row>
    <row r="3" spans="1:11" ht="19.5" customHeight="1" x14ac:dyDescent="0.35">
      <c r="A3" s="79"/>
      <c r="B3" s="83" t="s">
        <v>345</v>
      </c>
      <c r="C3" s="80"/>
      <c r="D3" s="80"/>
      <c r="E3" s="80"/>
      <c r="F3" s="81"/>
      <c r="G3" s="80"/>
      <c r="H3" s="80"/>
      <c r="I3" s="80"/>
      <c r="J3" s="80"/>
      <c r="K3" s="80"/>
    </row>
    <row r="4" spans="1:11" ht="83.25" customHeight="1" x14ac:dyDescent="0.35">
      <c r="A4" s="79"/>
      <c r="B4" s="74"/>
      <c r="C4" s="74" t="s">
        <v>346</v>
      </c>
      <c r="D4" s="74" t="s">
        <v>347</v>
      </c>
      <c r="E4" s="74" t="s">
        <v>348</v>
      </c>
      <c r="F4" s="74" t="s">
        <v>15</v>
      </c>
      <c r="G4" s="565" t="s">
        <v>349</v>
      </c>
      <c r="H4" s="565" t="s">
        <v>61</v>
      </c>
      <c r="I4" s="565"/>
      <c r="J4" s="91" t="s">
        <v>350</v>
      </c>
      <c r="K4" s="74"/>
    </row>
    <row r="5" spans="1:11" ht="83.25" customHeight="1" x14ac:dyDescent="0.35">
      <c r="A5" s="79"/>
      <c r="B5" s="74"/>
      <c r="C5" s="74" t="s">
        <v>346</v>
      </c>
      <c r="D5" s="74" t="s">
        <v>347</v>
      </c>
      <c r="E5" s="74" t="s">
        <v>348</v>
      </c>
      <c r="F5" s="74" t="s">
        <v>15</v>
      </c>
      <c r="G5" s="565" t="s">
        <v>349</v>
      </c>
      <c r="H5" s="565" t="s">
        <v>39</v>
      </c>
      <c r="I5" s="565"/>
      <c r="J5" s="91" t="s">
        <v>351</v>
      </c>
      <c r="K5" s="74"/>
    </row>
    <row r="6" spans="1:11" s="79" customFormat="1" ht="15.5" x14ac:dyDescent="0.35">
      <c r="B6" s="71" t="s">
        <v>352</v>
      </c>
      <c r="C6" s="72"/>
      <c r="D6" s="56"/>
      <c r="E6" s="56"/>
      <c r="F6" s="56"/>
      <c r="G6" s="56"/>
      <c r="H6" s="56"/>
      <c r="I6" s="56"/>
      <c r="J6" s="56"/>
      <c r="K6" s="9"/>
    </row>
    <row r="7" spans="1:11" s="79" customFormat="1" ht="39" x14ac:dyDescent="0.35">
      <c r="B7" s="76"/>
      <c r="C7" s="76" t="s">
        <v>353</v>
      </c>
      <c r="D7" s="74" t="s">
        <v>347</v>
      </c>
      <c r="E7" s="76"/>
      <c r="F7" s="74" t="s">
        <v>15</v>
      </c>
      <c r="G7" s="62" t="s">
        <v>354</v>
      </c>
      <c r="H7" s="62"/>
      <c r="I7" s="92"/>
      <c r="J7" s="92" t="s">
        <v>355</v>
      </c>
      <c r="K7" s="74"/>
    </row>
    <row r="8" spans="1:11" s="131" customFormat="1" ht="52" x14ac:dyDescent="0.35">
      <c r="A8" s="79"/>
      <c r="B8" s="75"/>
      <c r="C8" s="76" t="s">
        <v>353</v>
      </c>
      <c r="D8" s="74" t="s">
        <v>347</v>
      </c>
      <c r="E8" s="76"/>
      <c r="F8" s="74" t="s">
        <v>15</v>
      </c>
      <c r="G8" s="92" t="s">
        <v>356</v>
      </c>
      <c r="H8" s="92"/>
      <c r="I8" s="92"/>
      <c r="J8" s="92" t="s">
        <v>357</v>
      </c>
      <c r="K8" s="76"/>
    </row>
    <row r="9" spans="1:11" s="132" customFormat="1" ht="72" customHeight="1" x14ac:dyDescent="0.35">
      <c r="A9" s="113">
        <v>1</v>
      </c>
      <c r="B9" s="125" t="s">
        <v>358</v>
      </c>
      <c r="C9" s="113" t="s">
        <v>98</v>
      </c>
      <c r="D9" s="113" t="s">
        <v>20</v>
      </c>
      <c r="E9" s="116" t="s">
        <v>359</v>
      </c>
      <c r="F9" s="126" t="s">
        <v>23</v>
      </c>
      <c r="G9" s="127" t="s">
        <v>360</v>
      </c>
      <c r="H9" s="113" t="s">
        <v>61</v>
      </c>
      <c r="I9" s="113" t="s">
        <v>23</v>
      </c>
      <c r="J9" s="128" t="s">
        <v>361</v>
      </c>
      <c r="K9" s="113"/>
    </row>
    <row r="10" spans="1:11" s="132" customFormat="1" ht="72" customHeight="1" x14ac:dyDescent="0.35">
      <c r="A10" s="113">
        <v>1</v>
      </c>
      <c r="B10" s="125" t="s">
        <v>358</v>
      </c>
      <c r="C10" s="113" t="s">
        <v>98</v>
      </c>
      <c r="D10" s="113" t="s">
        <v>23</v>
      </c>
      <c r="E10" s="116" t="s">
        <v>359</v>
      </c>
      <c r="F10" s="126" t="s">
        <v>23</v>
      </c>
      <c r="G10" s="127" t="s">
        <v>360</v>
      </c>
      <c r="H10" s="113" t="s">
        <v>39</v>
      </c>
      <c r="I10" s="113" t="s">
        <v>23</v>
      </c>
      <c r="J10" s="128" t="s">
        <v>362</v>
      </c>
      <c r="K10" s="113"/>
    </row>
    <row r="11" spans="1:11" s="79" customFormat="1" ht="15.5" x14ac:dyDescent="0.35">
      <c r="B11" s="6" t="s">
        <v>363</v>
      </c>
      <c r="C11" s="10"/>
      <c r="D11" s="9"/>
      <c r="E11" s="9"/>
      <c r="F11" s="9"/>
      <c r="G11" s="9"/>
      <c r="H11" s="9"/>
      <c r="I11" s="9"/>
      <c r="J11" s="9"/>
      <c r="K11" s="9"/>
    </row>
    <row r="12" spans="1:11" s="79" customFormat="1" ht="65" x14ac:dyDescent="0.35">
      <c r="B12" s="77"/>
      <c r="C12" s="77" t="s">
        <v>364</v>
      </c>
      <c r="D12" s="77" t="s">
        <v>365</v>
      </c>
      <c r="E12" s="77" t="s">
        <v>366</v>
      </c>
      <c r="F12" s="77"/>
      <c r="G12" s="77" t="s">
        <v>367</v>
      </c>
      <c r="H12" s="77" t="s">
        <v>61</v>
      </c>
      <c r="I12" s="77" t="s">
        <v>20</v>
      </c>
      <c r="J12" s="77" t="s">
        <v>368</v>
      </c>
      <c r="K12" s="77"/>
    </row>
    <row r="13" spans="1:11" s="79" customFormat="1" ht="65" x14ac:dyDescent="0.35">
      <c r="B13" s="77"/>
      <c r="C13" s="77" t="s">
        <v>364</v>
      </c>
      <c r="D13" s="77" t="s">
        <v>365</v>
      </c>
      <c r="E13" s="77" t="s">
        <v>366</v>
      </c>
      <c r="F13" s="77"/>
      <c r="G13" s="77" t="s">
        <v>367</v>
      </c>
      <c r="H13" s="106" t="s">
        <v>369</v>
      </c>
      <c r="I13" s="106" t="s">
        <v>370</v>
      </c>
      <c r="J13" s="106" t="s">
        <v>371</v>
      </c>
      <c r="K13" s="77"/>
    </row>
    <row r="14" spans="1:11" s="79" customFormat="1" ht="52" x14ac:dyDescent="0.35">
      <c r="B14" s="77"/>
      <c r="C14" s="77" t="s">
        <v>364</v>
      </c>
      <c r="D14" s="77" t="s">
        <v>365</v>
      </c>
      <c r="E14" s="77" t="s">
        <v>372</v>
      </c>
      <c r="F14" s="77"/>
      <c r="G14" s="158" t="s">
        <v>373</v>
      </c>
      <c r="H14" s="161" t="s">
        <v>61</v>
      </c>
      <c r="I14" s="161"/>
      <c r="J14" s="161" t="s">
        <v>374</v>
      </c>
      <c r="K14" s="159"/>
    </row>
    <row r="15" spans="1:11" s="79" customFormat="1" ht="52" x14ac:dyDescent="0.35">
      <c r="B15" s="77"/>
      <c r="C15" s="77" t="s">
        <v>364</v>
      </c>
      <c r="D15" s="77" t="s">
        <v>365</v>
      </c>
      <c r="E15" s="77" t="s">
        <v>372</v>
      </c>
      <c r="F15" s="77"/>
      <c r="G15" s="158" t="s">
        <v>375</v>
      </c>
      <c r="H15" s="160" t="s">
        <v>95</v>
      </c>
      <c r="I15" s="160" t="s">
        <v>20</v>
      </c>
      <c r="J15" s="160" t="s">
        <v>376</v>
      </c>
      <c r="K15" s="77"/>
    </row>
    <row r="16" spans="1:11" s="79" customFormat="1" ht="52" x14ac:dyDescent="0.35">
      <c r="B16" s="77"/>
      <c r="C16" s="77" t="s">
        <v>364</v>
      </c>
      <c r="D16" s="77" t="s">
        <v>365</v>
      </c>
      <c r="E16" s="158" t="s">
        <v>377</v>
      </c>
      <c r="F16" s="160"/>
      <c r="G16" s="160" t="s">
        <v>115</v>
      </c>
      <c r="H16" s="160" t="s">
        <v>61</v>
      </c>
      <c r="I16" s="77" t="s">
        <v>23</v>
      </c>
      <c r="J16" s="77" t="s">
        <v>116</v>
      </c>
      <c r="K16" s="77"/>
    </row>
    <row r="17" spans="1:11" ht="52" x14ac:dyDescent="0.35">
      <c r="A17" s="77"/>
      <c r="B17" s="77"/>
      <c r="C17" s="77" t="s">
        <v>364</v>
      </c>
      <c r="D17" s="77" t="s">
        <v>365</v>
      </c>
      <c r="E17" s="158" t="s">
        <v>377</v>
      </c>
      <c r="F17" s="77"/>
      <c r="G17" s="160" t="s">
        <v>115</v>
      </c>
      <c r="H17" s="77" t="s">
        <v>39</v>
      </c>
      <c r="I17" s="77" t="s">
        <v>23</v>
      </c>
      <c r="J17" s="77" t="s">
        <v>118</v>
      </c>
      <c r="K17" s="77"/>
    </row>
    <row r="18" spans="1:11" ht="36" customHeight="1" x14ac:dyDescent="0.35">
      <c r="A18" s="170"/>
      <c r="B18" s="168"/>
      <c r="C18" s="168" t="s">
        <v>378</v>
      </c>
      <c r="D18" s="168" t="s">
        <v>347</v>
      </c>
      <c r="E18" s="171" t="s">
        <v>379</v>
      </c>
      <c r="F18" s="168"/>
      <c r="G18" s="172" t="s">
        <v>123</v>
      </c>
      <c r="H18" s="168" t="s">
        <v>33</v>
      </c>
      <c r="I18" s="168" t="s">
        <v>23</v>
      </c>
      <c r="J18" s="168" t="s">
        <v>374</v>
      </c>
      <c r="K18" s="170"/>
    </row>
    <row r="19" spans="1:11" ht="44.25" customHeight="1" x14ac:dyDescent="0.35">
      <c r="A19" s="170"/>
      <c r="B19" s="168"/>
      <c r="C19" s="168" t="s">
        <v>378</v>
      </c>
      <c r="D19" s="168" t="s">
        <v>347</v>
      </c>
      <c r="E19" s="171" t="s">
        <v>379</v>
      </c>
      <c r="F19" s="168"/>
      <c r="G19" s="172" t="s">
        <v>123</v>
      </c>
      <c r="H19" s="168" t="s">
        <v>39</v>
      </c>
      <c r="I19" s="168" t="s">
        <v>137</v>
      </c>
      <c r="J19" s="169" t="s">
        <v>380</v>
      </c>
      <c r="K19" s="170"/>
    </row>
    <row r="20" spans="1:11" ht="91" x14ac:dyDescent="0.35">
      <c r="A20" s="170"/>
      <c r="B20" s="168"/>
      <c r="C20" s="168" t="s">
        <v>378</v>
      </c>
      <c r="D20" s="168" t="s">
        <v>347</v>
      </c>
      <c r="E20" s="171" t="s">
        <v>379</v>
      </c>
      <c r="F20" s="168"/>
      <c r="G20" s="172" t="s">
        <v>123</v>
      </c>
      <c r="H20" s="168" t="s">
        <v>39</v>
      </c>
      <c r="I20" s="168" t="s">
        <v>381</v>
      </c>
      <c r="J20" s="169" t="s">
        <v>382</v>
      </c>
      <c r="K20" s="170"/>
    </row>
    <row r="21" spans="1:11" s="79" customFormat="1" ht="169" x14ac:dyDescent="0.35">
      <c r="B21" s="84"/>
      <c r="C21" s="84" t="s">
        <v>383</v>
      </c>
      <c r="D21" s="84" t="s">
        <v>347</v>
      </c>
      <c r="E21" s="84" t="s">
        <v>120</v>
      </c>
      <c r="F21" s="84"/>
      <c r="G21" s="84" t="s">
        <v>384</v>
      </c>
      <c r="H21" s="84" t="s">
        <v>61</v>
      </c>
      <c r="I21" s="84" t="s">
        <v>23</v>
      </c>
      <c r="J21" s="84" t="s">
        <v>368</v>
      </c>
      <c r="K21" s="85"/>
    </row>
    <row r="22" spans="1:11" s="79" customFormat="1" ht="97.5" customHeight="1" x14ac:dyDescent="0.35">
      <c r="B22" s="84"/>
      <c r="C22" s="84" t="s">
        <v>383</v>
      </c>
      <c r="D22" s="84" t="s">
        <v>347</v>
      </c>
      <c r="E22" s="84" t="s">
        <v>120</v>
      </c>
      <c r="F22" s="84"/>
      <c r="G22" s="84" t="s">
        <v>385</v>
      </c>
      <c r="H22" s="84" t="s">
        <v>39</v>
      </c>
      <c r="I22" s="84" t="s">
        <v>137</v>
      </c>
      <c r="J22" s="167" t="s">
        <v>386</v>
      </c>
      <c r="K22" s="85"/>
    </row>
    <row r="23" spans="1:11" s="79" customFormat="1" ht="169" x14ac:dyDescent="0.35">
      <c r="B23" s="84"/>
      <c r="C23" s="84" t="s">
        <v>383</v>
      </c>
      <c r="D23" s="84" t="s">
        <v>347</v>
      </c>
      <c r="E23" s="84" t="s">
        <v>120</v>
      </c>
      <c r="F23" s="84"/>
      <c r="G23" s="84" t="s">
        <v>387</v>
      </c>
      <c r="H23" s="168" t="s">
        <v>95</v>
      </c>
      <c r="I23" s="168" t="s">
        <v>381</v>
      </c>
      <c r="J23" s="169" t="s">
        <v>388</v>
      </c>
      <c r="K23" s="85"/>
    </row>
    <row r="24" spans="1:11" s="79" customFormat="1" ht="39" x14ac:dyDescent="0.35">
      <c r="B24" s="86"/>
      <c r="C24" s="86" t="s">
        <v>127</v>
      </c>
      <c r="D24" s="86" t="s">
        <v>347</v>
      </c>
      <c r="E24" s="86" t="s">
        <v>127</v>
      </c>
      <c r="F24" s="86"/>
      <c r="G24" s="86" t="s">
        <v>389</v>
      </c>
      <c r="H24" s="86" t="s">
        <v>61</v>
      </c>
      <c r="I24" s="86" t="s">
        <v>23</v>
      </c>
      <c r="J24" s="86" t="s">
        <v>368</v>
      </c>
      <c r="K24" s="87"/>
    </row>
    <row r="25" spans="1:11" s="79" customFormat="1" ht="39" x14ac:dyDescent="0.35">
      <c r="B25" s="86"/>
      <c r="C25" s="86" t="s">
        <v>127</v>
      </c>
      <c r="D25" s="86" t="s">
        <v>347</v>
      </c>
      <c r="E25" s="86" t="s">
        <v>127</v>
      </c>
      <c r="F25" s="86"/>
      <c r="G25" s="173" t="s">
        <v>389</v>
      </c>
      <c r="H25" s="173" t="s">
        <v>39</v>
      </c>
      <c r="I25" s="86" t="s">
        <v>137</v>
      </c>
      <c r="J25" s="174" t="s">
        <v>390</v>
      </c>
      <c r="K25" s="88"/>
    </row>
    <row r="26" spans="1:11" s="79" customFormat="1" ht="156" x14ac:dyDescent="0.35">
      <c r="B26" s="86"/>
      <c r="C26" s="86" t="s">
        <v>127</v>
      </c>
      <c r="D26" s="86" t="s">
        <v>347</v>
      </c>
      <c r="E26" s="86" t="s">
        <v>127</v>
      </c>
      <c r="F26" s="86"/>
      <c r="G26" s="173" t="s">
        <v>391</v>
      </c>
      <c r="H26" s="86" t="s">
        <v>39</v>
      </c>
      <c r="I26" s="86" t="s">
        <v>381</v>
      </c>
      <c r="J26" s="174" t="s">
        <v>392</v>
      </c>
      <c r="K26" s="87"/>
    </row>
    <row r="27" spans="1:11" s="79" customFormat="1" ht="26" x14ac:dyDescent="0.35">
      <c r="B27" s="89"/>
      <c r="C27" s="89" t="s">
        <v>393</v>
      </c>
      <c r="D27" s="89" t="s">
        <v>347</v>
      </c>
      <c r="E27" s="89" t="s">
        <v>129</v>
      </c>
      <c r="F27" s="89"/>
      <c r="G27" s="89" t="s">
        <v>133</v>
      </c>
      <c r="H27" s="89" t="s">
        <v>61</v>
      </c>
      <c r="I27" s="89" t="s">
        <v>394</v>
      </c>
      <c r="J27" s="89" t="s">
        <v>395</v>
      </c>
      <c r="K27" s="90"/>
    </row>
    <row r="28" spans="1:11" s="79" customFormat="1" ht="26" x14ac:dyDescent="0.35">
      <c r="B28" s="89"/>
      <c r="C28" s="89" t="s">
        <v>393</v>
      </c>
      <c r="D28" s="89" t="s">
        <v>347</v>
      </c>
      <c r="E28" s="89" t="s">
        <v>129</v>
      </c>
      <c r="F28" s="89"/>
      <c r="G28" s="89" t="s">
        <v>133</v>
      </c>
      <c r="H28" s="89" t="s">
        <v>61</v>
      </c>
      <c r="I28" s="89" t="s">
        <v>396</v>
      </c>
      <c r="J28" s="89" t="s">
        <v>368</v>
      </c>
      <c r="K28" s="90"/>
    </row>
    <row r="29" spans="1:11" s="79" customFormat="1" ht="169" x14ac:dyDescent="0.35">
      <c r="B29" s="89"/>
      <c r="C29" s="89" t="s">
        <v>393</v>
      </c>
      <c r="D29" s="89" t="s">
        <v>347</v>
      </c>
      <c r="E29" s="89" t="s">
        <v>129</v>
      </c>
      <c r="F29" s="89"/>
      <c r="G29" s="89" t="s">
        <v>133</v>
      </c>
      <c r="H29" s="89" t="s">
        <v>95</v>
      </c>
      <c r="I29" s="89" t="s">
        <v>20</v>
      </c>
      <c r="J29" s="89" t="s">
        <v>397</v>
      </c>
      <c r="K29" s="90"/>
    </row>
    <row r="30" spans="1:11" s="79" customFormat="1" ht="26" x14ac:dyDescent="0.35">
      <c r="B30" s="89"/>
      <c r="C30" s="89" t="s">
        <v>393</v>
      </c>
      <c r="D30" s="89" t="s">
        <v>347</v>
      </c>
      <c r="E30" s="89" t="s">
        <v>129</v>
      </c>
      <c r="F30" s="89"/>
      <c r="G30" s="89" t="s">
        <v>133</v>
      </c>
      <c r="H30" s="89" t="s">
        <v>39</v>
      </c>
      <c r="I30" s="89" t="s">
        <v>23</v>
      </c>
      <c r="J30" s="89" t="s">
        <v>398</v>
      </c>
      <c r="K30" s="90"/>
    </row>
    <row r="31" spans="1:11" s="79" customFormat="1" ht="39" x14ac:dyDescent="0.35">
      <c r="B31" s="89"/>
      <c r="C31" s="89" t="s">
        <v>393</v>
      </c>
      <c r="D31" s="89" t="s">
        <v>147</v>
      </c>
      <c r="E31" s="89" t="s">
        <v>140</v>
      </c>
      <c r="F31" s="89"/>
      <c r="G31" s="162" t="s">
        <v>399</v>
      </c>
      <c r="H31" s="162" t="s">
        <v>400</v>
      </c>
      <c r="I31" s="162" t="s">
        <v>401</v>
      </c>
      <c r="J31" s="162" t="s">
        <v>402</v>
      </c>
      <c r="K31" s="90"/>
    </row>
    <row r="32" spans="1:11" s="79" customFormat="1" ht="39" x14ac:dyDescent="0.35">
      <c r="B32" s="89"/>
      <c r="C32" s="89" t="s">
        <v>393</v>
      </c>
      <c r="D32" s="89" t="s">
        <v>147</v>
      </c>
      <c r="E32" s="89" t="s">
        <v>140</v>
      </c>
      <c r="F32" s="89"/>
      <c r="G32" s="162" t="s">
        <v>399</v>
      </c>
      <c r="H32" s="162" t="s">
        <v>400</v>
      </c>
      <c r="I32" s="162" t="s">
        <v>403</v>
      </c>
      <c r="J32" s="162" t="s">
        <v>149</v>
      </c>
    </row>
    <row r="33" spans="2:11" s="79" customFormat="1" ht="104" x14ac:dyDescent="0.35">
      <c r="B33" s="89"/>
      <c r="C33" s="89" t="s">
        <v>393</v>
      </c>
      <c r="D33" s="89" t="s">
        <v>147</v>
      </c>
      <c r="E33" s="89" t="s">
        <v>140</v>
      </c>
      <c r="F33" s="89"/>
      <c r="G33" s="162" t="s">
        <v>399</v>
      </c>
      <c r="H33" s="89" t="s">
        <v>95</v>
      </c>
      <c r="I33" s="89" t="s">
        <v>20</v>
      </c>
      <c r="J33" s="162" t="s">
        <v>404</v>
      </c>
      <c r="K33" s="90"/>
    </row>
    <row r="34" spans="2:11" s="79" customFormat="1" ht="130" x14ac:dyDescent="0.35">
      <c r="B34" s="89"/>
      <c r="C34" s="89" t="s">
        <v>393</v>
      </c>
      <c r="D34" s="89" t="s">
        <v>147</v>
      </c>
      <c r="E34" s="89" t="s">
        <v>140</v>
      </c>
      <c r="F34" s="89"/>
      <c r="G34" s="162" t="s">
        <v>399</v>
      </c>
      <c r="H34" s="89" t="s">
        <v>95</v>
      </c>
      <c r="I34" s="89" t="s">
        <v>405</v>
      </c>
      <c r="J34" s="162" t="s">
        <v>406</v>
      </c>
      <c r="K34" s="90"/>
    </row>
    <row r="35" spans="2:11" s="79" customFormat="1" ht="39" x14ac:dyDescent="0.35">
      <c r="B35" s="89"/>
      <c r="C35" s="89" t="s">
        <v>393</v>
      </c>
      <c r="D35" s="89" t="s">
        <v>407</v>
      </c>
      <c r="E35" s="89" t="s">
        <v>140</v>
      </c>
      <c r="F35" s="89"/>
      <c r="G35" s="162" t="s">
        <v>408</v>
      </c>
      <c r="H35" s="89" t="s">
        <v>33</v>
      </c>
      <c r="I35" s="89" t="s">
        <v>405</v>
      </c>
      <c r="J35" s="89" t="s">
        <v>409</v>
      </c>
      <c r="K35" s="90"/>
    </row>
    <row r="36" spans="2:11" s="79" customFormat="1" ht="39" x14ac:dyDescent="0.35">
      <c r="B36" s="89"/>
      <c r="C36" s="89" t="s">
        <v>393</v>
      </c>
      <c r="D36" s="89" t="s">
        <v>410</v>
      </c>
      <c r="E36" s="89" t="s">
        <v>140</v>
      </c>
      <c r="F36" s="89"/>
      <c r="G36" s="162" t="s">
        <v>408</v>
      </c>
      <c r="H36" s="89" t="s">
        <v>33</v>
      </c>
      <c r="I36" s="89" t="s">
        <v>411</v>
      </c>
      <c r="J36" s="89" t="s">
        <v>412</v>
      </c>
      <c r="K36" s="90"/>
    </row>
    <row r="37" spans="2:11" s="79" customFormat="1" ht="39" x14ac:dyDescent="0.35">
      <c r="B37" s="89"/>
      <c r="C37" s="89" t="s">
        <v>393</v>
      </c>
      <c r="D37" s="89" t="s">
        <v>413</v>
      </c>
      <c r="E37" s="89" t="s">
        <v>140</v>
      </c>
      <c r="F37" s="89"/>
      <c r="G37" s="162" t="s">
        <v>408</v>
      </c>
      <c r="H37" s="89" t="s">
        <v>19</v>
      </c>
      <c r="I37" s="89" t="s">
        <v>405</v>
      </c>
      <c r="J37" s="89" t="s">
        <v>414</v>
      </c>
      <c r="K37" s="90"/>
    </row>
    <row r="38" spans="2:11" s="79" customFormat="1" ht="39" x14ac:dyDescent="0.35">
      <c r="B38" s="89"/>
      <c r="C38" s="89" t="s">
        <v>393</v>
      </c>
      <c r="D38" s="89" t="s">
        <v>415</v>
      </c>
      <c r="E38" s="89" t="s">
        <v>140</v>
      </c>
      <c r="G38" s="162" t="s">
        <v>408</v>
      </c>
      <c r="H38" s="89" t="s">
        <v>19</v>
      </c>
      <c r="I38" s="89" t="s">
        <v>411</v>
      </c>
      <c r="J38" s="89" t="s">
        <v>416</v>
      </c>
      <c r="K38" s="90"/>
    </row>
    <row r="39" spans="2:11" s="79" customFormat="1" ht="91" x14ac:dyDescent="0.35">
      <c r="B39" s="89"/>
      <c r="C39" s="89" t="s">
        <v>393</v>
      </c>
      <c r="D39" s="89" t="s">
        <v>417</v>
      </c>
      <c r="E39" s="89" t="s">
        <v>153</v>
      </c>
      <c r="F39" s="89"/>
      <c r="G39" s="162" t="s">
        <v>160</v>
      </c>
      <c r="H39" s="89" t="s">
        <v>95</v>
      </c>
      <c r="I39" s="89" t="s">
        <v>394</v>
      </c>
      <c r="J39" s="162" t="s">
        <v>418</v>
      </c>
      <c r="K39" s="90"/>
    </row>
    <row r="40" spans="2:11" s="79" customFormat="1" ht="52" x14ac:dyDescent="0.35">
      <c r="B40" s="89"/>
      <c r="C40" s="89" t="s">
        <v>393</v>
      </c>
      <c r="D40" s="89" t="s">
        <v>417</v>
      </c>
      <c r="E40" s="89" t="s">
        <v>153</v>
      </c>
      <c r="F40" s="89"/>
      <c r="G40" s="162" t="s">
        <v>160</v>
      </c>
      <c r="H40" s="89" t="s">
        <v>95</v>
      </c>
      <c r="I40" s="89" t="s">
        <v>419</v>
      </c>
      <c r="J40" s="162" t="s">
        <v>163</v>
      </c>
      <c r="K40" s="90"/>
    </row>
    <row r="41" spans="2:11" s="79" customFormat="1" ht="39" x14ac:dyDescent="0.35">
      <c r="B41" s="89"/>
      <c r="C41" s="89" t="s">
        <v>393</v>
      </c>
      <c r="D41" s="89" t="s">
        <v>417</v>
      </c>
      <c r="E41" s="89" t="s">
        <v>153</v>
      </c>
      <c r="F41" s="89"/>
      <c r="G41" s="162" t="s">
        <v>160</v>
      </c>
      <c r="H41" s="89" t="s">
        <v>61</v>
      </c>
      <c r="I41" s="89" t="s">
        <v>137</v>
      </c>
      <c r="J41" s="89" t="s">
        <v>362</v>
      </c>
      <c r="K41" s="90"/>
    </row>
    <row r="42" spans="2:11" s="79" customFormat="1" ht="39" x14ac:dyDescent="0.35">
      <c r="B42" s="89"/>
      <c r="C42" s="89" t="s">
        <v>393</v>
      </c>
      <c r="D42" s="89" t="s">
        <v>417</v>
      </c>
      <c r="E42" s="89" t="s">
        <v>157</v>
      </c>
      <c r="F42" s="89"/>
      <c r="G42" s="162" t="s">
        <v>160</v>
      </c>
      <c r="H42" s="89" t="s">
        <v>61</v>
      </c>
      <c r="I42" s="89" t="s">
        <v>420</v>
      </c>
      <c r="J42" s="162" t="s">
        <v>164</v>
      </c>
      <c r="K42" s="90"/>
    </row>
    <row r="43" spans="2:11" s="79" customFormat="1" ht="195" x14ac:dyDescent="0.35">
      <c r="B43" s="89"/>
      <c r="C43" s="89" t="s">
        <v>393</v>
      </c>
      <c r="D43" s="89" t="s">
        <v>347</v>
      </c>
      <c r="E43" s="89" t="s">
        <v>165</v>
      </c>
      <c r="F43" s="89"/>
      <c r="G43" s="89" t="s">
        <v>421</v>
      </c>
      <c r="H43" s="89" t="s">
        <v>22</v>
      </c>
      <c r="I43" s="89" t="s">
        <v>20</v>
      </c>
      <c r="J43" s="162" t="s">
        <v>422</v>
      </c>
      <c r="K43" s="90"/>
    </row>
    <row r="44" spans="2:11" s="79" customFormat="1" ht="39" x14ac:dyDescent="0.35">
      <c r="B44" s="89"/>
      <c r="C44" s="89" t="s">
        <v>393</v>
      </c>
      <c r="D44" s="89" t="s">
        <v>347</v>
      </c>
      <c r="E44" s="89" t="s">
        <v>165</v>
      </c>
      <c r="F44" s="89"/>
      <c r="G44" s="89" t="s">
        <v>423</v>
      </c>
      <c r="H44" s="162" t="s">
        <v>19</v>
      </c>
      <c r="I44" s="89" t="s">
        <v>20</v>
      </c>
      <c r="J44" s="162" t="s">
        <v>424</v>
      </c>
      <c r="K44" s="90"/>
    </row>
    <row r="45" spans="2:11" s="79" customFormat="1" ht="78" x14ac:dyDescent="0.35">
      <c r="B45" s="89"/>
      <c r="C45" s="89" t="s">
        <v>393</v>
      </c>
      <c r="D45" s="89" t="s">
        <v>347</v>
      </c>
      <c r="E45" s="89" t="s">
        <v>165</v>
      </c>
      <c r="F45" s="89"/>
      <c r="G45" s="89" t="s">
        <v>423</v>
      </c>
      <c r="H45" s="89" t="s">
        <v>95</v>
      </c>
      <c r="I45" s="89" t="s">
        <v>405</v>
      </c>
      <c r="J45" s="89" t="s">
        <v>425</v>
      </c>
      <c r="K45" s="90"/>
    </row>
    <row r="46" spans="2:11" s="79" customFormat="1" ht="26" x14ac:dyDescent="0.35">
      <c r="B46" s="89"/>
      <c r="C46" s="89" t="s">
        <v>393</v>
      </c>
      <c r="D46" s="89" t="s">
        <v>347</v>
      </c>
      <c r="E46" s="89" t="s">
        <v>165</v>
      </c>
      <c r="F46" s="166"/>
      <c r="G46" s="89" t="s">
        <v>423</v>
      </c>
      <c r="H46" s="89" t="s">
        <v>95</v>
      </c>
      <c r="I46" s="89" t="s">
        <v>426</v>
      </c>
      <c r="J46" s="89" t="s">
        <v>362</v>
      </c>
      <c r="K46" s="90"/>
    </row>
    <row r="47" spans="2:11" s="165" customFormat="1" ht="26" x14ac:dyDescent="0.35">
      <c r="B47" s="73"/>
      <c r="C47" s="76" t="s">
        <v>427</v>
      </c>
      <c r="D47" s="76" t="s">
        <v>428</v>
      </c>
      <c r="E47" s="76" t="s">
        <v>174</v>
      </c>
      <c r="F47" s="76" t="s">
        <v>429</v>
      </c>
      <c r="G47" s="76" t="s">
        <v>430</v>
      </c>
      <c r="H47" s="76" t="s">
        <v>39</v>
      </c>
      <c r="I47" s="76" t="s">
        <v>23</v>
      </c>
      <c r="J47" s="76" t="s">
        <v>368</v>
      </c>
      <c r="K47" s="164"/>
    </row>
    <row r="48" spans="2:11" s="165" customFormat="1" ht="39" x14ac:dyDescent="0.35">
      <c r="B48" s="73"/>
      <c r="C48" s="76" t="s">
        <v>427</v>
      </c>
      <c r="D48" s="76" t="s">
        <v>428</v>
      </c>
      <c r="E48" s="76" t="s">
        <v>174</v>
      </c>
      <c r="F48" s="76" t="s">
        <v>429</v>
      </c>
      <c r="G48" s="76" t="s">
        <v>430</v>
      </c>
      <c r="H48" s="76" t="s">
        <v>61</v>
      </c>
      <c r="I48" s="76" t="s">
        <v>20</v>
      </c>
      <c r="J48" s="76" t="s">
        <v>431</v>
      </c>
      <c r="K48" s="164"/>
    </row>
    <row r="49" spans="2:11" s="165" customFormat="1" ht="221" x14ac:dyDescent="0.35">
      <c r="B49" s="73"/>
      <c r="C49" s="76" t="s">
        <v>427</v>
      </c>
      <c r="D49" s="76" t="s">
        <v>428</v>
      </c>
      <c r="E49" s="76" t="s">
        <v>174</v>
      </c>
      <c r="F49" s="76" t="s">
        <v>429</v>
      </c>
      <c r="G49" s="76" t="s">
        <v>430</v>
      </c>
      <c r="H49" s="76" t="s">
        <v>61</v>
      </c>
      <c r="I49" s="76" t="s">
        <v>405</v>
      </c>
      <c r="J49" s="76" t="s">
        <v>432</v>
      </c>
      <c r="K49" s="164"/>
    </row>
    <row r="50" spans="2:11" s="165" customFormat="1" ht="15.5" x14ac:dyDescent="0.35">
      <c r="B50" s="73"/>
      <c r="C50" s="76"/>
      <c r="D50" s="76" t="s">
        <v>428</v>
      </c>
      <c r="E50" s="76" t="s">
        <v>183</v>
      </c>
      <c r="F50" s="76" t="s">
        <v>429</v>
      </c>
      <c r="G50" s="76" t="s">
        <v>186</v>
      </c>
      <c r="H50" s="76" t="s">
        <v>39</v>
      </c>
      <c r="I50" s="76" t="s">
        <v>23</v>
      </c>
      <c r="J50" s="76" t="s">
        <v>433</v>
      </c>
      <c r="K50" s="164"/>
    </row>
    <row r="51" spans="2:11" s="165" customFormat="1" ht="130" x14ac:dyDescent="0.35">
      <c r="B51" s="73"/>
      <c r="C51" s="76" t="s">
        <v>427</v>
      </c>
      <c r="D51" s="76" t="s">
        <v>428</v>
      </c>
      <c r="E51" s="76" t="s">
        <v>183</v>
      </c>
      <c r="F51" s="76" t="s">
        <v>429</v>
      </c>
      <c r="G51" s="76" t="s">
        <v>186</v>
      </c>
      <c r="H51" s="76" t="s">
        <v>61</v>
      </c>
      <c r="I51" s="76" t="s">
        <v>23</v>
      </c>
      <c r="J51" s="76" t="s">
        <v>434</v>
      </c>
      <c r="K51" s="164"/>
    </row>
    <row r="52" spans="2:11" s="165" customFormat="1" ht="104" x14ac:dyDescent="0.35">
      <c r="B52" s="73"/>
      <c r="C52" s="76"/>
      <c r="D52" s="76" t="s">
        <v>428</v>
      </c>
      <c r="E52" s="76" t="s">
        <v>183</v>
      </c>
      <c r="F52" s="76" t="s">
        <v>429</v>
      </c>
      <c r="G52" s="76" t="s">
        <v>186</v>
      </c>
      <c r="H52" s="76" t="s">
        <v>61</v>
      </c>
      <c r="I52" s="76" t="s">
        <v>405</v>
      </c>
      <c r="J52" s="76" t="s">
        <v>435</v>
      </c>
      <c r="K52" s="164"/>
    </row>
    <row r="53" spans="2:11" s="165" customFormat="1" ht="26" x14ac:dyDescent="0.35">
      <c r="B53" s="73"/>
      <c r="C53" s="76" t="s">
        <v>427</v>
      </c>
      <c r="D53" s="76" t="s">
        <v>428</v>
      </c>
      <c r="E53" s="76" t="s">
        <v>188</v>
      </c>
      <c r="F53" s="76" t="s">
        <v>429</v>
      </c>
      <c r="G53" s="76" t="s">
        <v>436</v>
      </c>
      <c r="H53" s="76" t="s">
        <v>95</v>
      </c>
      <c r="I53" s="76" t="s">
        <v>23</v>
      </c>
      <c r="J53" s="76" t="s">
        <v>362</v>
      </c>
      <c r="K53" s="164"/>
    </row>
    <row r="54" spans="2:11" s="165" customFormat="1" ht="78" x14ac:dyDescent="0.35">
      <c r="B54" s="73"/>
      <c r="C54" s="76" t="s">
        <v>427</v>
      </c>
      <c r="D54" s="76" t="s">
        <v>428</v>
      </c>
      <c r="E54" s="76" t="s">
        <v>188</v>
      </c>
      <c r="F54" s="76" t="s">
        <v>429</v>
      </c>
      <c r="G54" s="76" t="s">
        <v>436</v>
      </c>
      <c r="H54" s="76" t="s">
        <v>61</v>
      </c>
      <c r="I54" s="76" t="s">
        <v>23</v>
      </c>
      <c r="J54" s="76" t="s">
        <v>437</v>
      </c>
      <c r="K54" s="164"/>
    </row>
    <row r="55" spans="2:11" s="165" customFormat="1" ht="39" x14ac:dyDescent="0.35">
      <c r="B55" s="73"/>
      <c r="C55" s="76" t="s">
        <v>427</v>
      </c>
      <c r="D55" s="76" t="s">
        <v>428</v>
      </c>
      <c r="E55" s="76" t="s">
        <v>188</v>
      </c>
      <c r="F55" s="76" t="s">
        <v>429</v>
      </c>
      <c r="G55" s="76" t="s">
        <v>436</v>
      </c>
      <c r="H55" s="76" t="s">
        <v>61</v>
      </c>
      <c r="I55" s="76" t="s">
        <v>405</v>
      </c>
      <c r="J55" s="76" t="s">
        <v>438</v>
      </c>
      <c r="K55" s="164"/>
    </row>
    <row r="56" spans="2:11" s="165" customFormat="1" ht="52" x14ac:dyDescent="0.35">
      <c r="B56" s="73"/>
      <c r="C56" s="76" t="s">
        <v>427</v>
      </c>
      <c r="D56" s="76" t="s">
        <v>439</v>
      </c>
      <c r="E56" s="76" t="s">
        <v>192</v>
      </c>
      <c r="F56" s="76" t="s">
        <v>429</v>
      </c>
      <c r="G56" s="76" t="s">
        <v>440</v>
      </c>
      <c r="H56" s="76" t="s">
        <v>39</v>
      </c>
      <c r="I56" s="76" t="s">
        <v>23</v>
      </c>
      <c r="J56" s="76" t="s">
        <v>441</v>
      </c>
      <c r="K56" s="164"/>
    </row>
    <row r="57" spans="2:11" s="165" customFormat="1" ht="91" x14ac:dyDescent="0.35">
      <c r="B57" s="73"/>
      <c r="C57" s="76" t="s">
        <v>427</v>
      </c>
      <c r="D57" s="76" t="s">
        <v>439</v>
      </c>
      <c r="E57" s="76" t="s">
        <v>192</v>
      </c>
      <c r="F57" s="76" t="s">
        <v>429</v>
      </c>
      <c r="G57" s="76" t="s">
        <v>440</v>
      </c>
      <c r="H57" s="76" t="s">
        <v>61</v>
      </c>
      <c r="I57" s="76" t="s">
        <v>23</v>
      </c>
      <c r="J57" s="76" t="s">
        <v>442</v>
      </c>
      <c r="K57" s="164"/>
    </row>
    <row r="58" spans="2:11" s="165" customFormat="1" ht="52" x14ac:dyDescent="0.35">
      <c r="B58" s="73"/>
      <c r="C58" s="76" t="s">
        <v>427</v>
      </c>
      <c r="D58" s="76" t="s">
        <v>439</v>
      </c>
      <c r="E58" s="76" t="s">
        <v>192</v>
      </c>
      <c r="F58" s="76" t="s">
        <v>429</v>
      </c>
      <c r="G58" s="76" t="s">
        <v>440</v>
      </c>
      <c r="H58" s="76" t="s">
        <v>61</v>
      </c>
      <c r="I58" s="76" t="s">
        <v>405</v>
      </c>
      <c r="J58" s="76" t="s">
        <v>443</v>
      </c>
      <c r="K58" s="164"/>
    </row>
    <row r="59" spans="2:11" s="165" customFormat="1" ht="52" x14ac:dyDescent="0.35">
      <c r="B59" s="73"/>
      <c r="C59" s="76" t="s">
        <v>427</v>
      </c>
      <c r="D59" s="76" t="s">
        <v>439</v>
      </c>
      <c r="E59" s="76" t="s">
        <v>195</v>
      </c>
      <c r="F59" s="76" t="s">
        <v>429</v>
      </c>
      <c r="G59" s="76" t="s">
        <v>196</v>
      </c>
      <c r="H59" s="76" t="s">
        <v>39</v>
      </c>
      <c r="I59" s="76" t="s">
        <v>23</v>
      </c>
      <c r="J59" s="76" t="s">
        <v>433</v>
      </c>
      <c r="K59" s="164"/>
    </row>
    <row r="60" spans="2:11" s="165" customFormat="1" ht="52" x14ac:dyDescent="0.35">
      <c r="B60" s="73"/>
      <c r="C60" s="76" t="s">
        <v>427</v>
      </c>
      <c r="D60" s="76" t="s">
        <v>439</v>
      </c>
      <c r="E60" s="76" t="s">
        <v>195</v>
      </c>
      <c r="F60" s="76" t="s">
        <v>429</v>
      </c>
      <c r="G60" s="76" t="s">
        <v>196</v>
      </c>
      <c r="H60" s="76" t="s">
        <v>61</v>
      </c>
      <c r="I60" s="76" t="s">
        <v>23</v>
      </c>
      <c r="J60" s="76" t="s">
        <v>444</v>
      </c>
      <c r="K60" s="164"/>
    </row>
    <row r="61" spans="2:11" s="165" customFormat="1" ht="78" x14ac:dyDescent="0.35">
      <c r="B61" s="73"/>
      <c r="C61" s="76" t="s">
        <v>427</v>
      </c>
      <c r="D61" s="76" t="s">
        <v>439</v>
      </c>
      <c r="E61" s="76" t="s">
        <v>195</v>
      </c>
      <c r="F61" s="76" t="s">
        <v>429</v>
      </c>
      <c r="G61" s="76" t="s">
        <v>196</v>
      </c>
      <c r="H61" s="76" t="s">
        <v>61</v>
      </c>
      <c r="I61" s="76" t="s">
        <v>405</v>
      </c>
      <c r="J61" s="76" t="s">
        <v>445</v>
      </c>
      <c r="K61" s="164"/>
    </row>
    <row r="62" spans="2:11" s="79" customFormat="1" ht="39" x14ac:dyDescent="0.35">
      <c r="B62" s="77"/>
      <c r="C62" s="77" t="s">
        <v>446</v>
      </c>
      <c r="D62" s="77"/>
      <c r="E62" s="77"/>
      <c r="F62" s="78" t="s">
        <v>447</v>
      </c>
      <c r="G62" s="175" t="s">
        <v>448</v>
      </c>
      <c r="H62" s="175"/>
      <c r="I62" s="175" t="s">
        <v>20</v>
      </c>
      <c r="J62" s="175" t="s">
        <v>449</v>
      </c>
      <c r="K62" s="175"/>
    </row>
    <row r="63" spans="2:11" s="79" customFormat="1" ht="52" x14ac:dyDescent="0.35">
      <c r="B63" s="77"/>
      <c r="C63" s="77" t="s">
        <v>446</v>
      </c>
      <c r="D63" s="77"/>
      <c r="E63" s="77"/>
      <c r="F63" s="78" t="s">
        <v>447</v>
      </c>
      <c r="G63" s="175" t="s">
        <v>450</v>
      </c>
      <c r="H63" s="175"/>
      <c r="I63" s="175" t="s">
        <v>20</v>
      </c>
      <c r="J63" s="175" t="s">
        <v>317</v>
      </c>
      <c r="K63" s="175" t="s">
        <v>451</v>
      </c>
    </row>
    <row r="64" spans="2:11" s="79" customFormat="1" ht="39" x14ac:dyDescent="0.35">
      <c r="B64" s="77"/>
      <c r="C64" s="77" t="s">
        <v>446</v>
      </c>
      <c r="D64" s="77"/>
      <c r="E64" s="77"/>
      <c r="F64" s="78" t="s">
        <v>447</v>
      </c>
      <c r="G64" s="175" t="s">
        <v>452</v>
      </c>
      <c r="H64" s="175"/>
      <c r="I64" s="175" t="s">
        <v>20</v>
      </c>
      <c r="J64" s="175" t="s">
        <v>317</v>
      </c>
      <c r="K64" s="175"/>
    </row>
    <row r="65" spans="2:11" s="79" customFormat="1" ht="52" x14ac:dyDescent="0.35">
      <c r="B65" s="77"/>
      <c r="C65" s="77" t="s">
        <v>446</v>
      </c>
      <c r="D65" s="77"/>
      <c r="E65" s="77"/>
      <c r="F65" s="78" t="s">
        <v>447</v>
      </c>
      <c r="G65" s="175" t="s">
        <v>450</v>
      </c>
      <c r="H65" s="175" t="s">
        <v>453</v>
      </c>
      <c r="I65" s="175" t="s">
        <v>20</v>
      </c>
      <c r="J65" s="175" t="s">
        <v>454</v>
      </c>
      <c r="K65" s="175" t="s">
        <v>455</v>
      </c>
    </row>
    <row r="66" spans="2:11" s="79" customFormat="1" ht="39" x14ac:dyDescent="0.35">
      <c r="B66" s="77"/>
      <c r="C66" s="77" t="s">
        <v>446</v>
      </c>
      <c r="D66" s="77"/>
      <c r="E66" s="77"/>
      <c r="F66" s="78" t="s">
        <v>447</v>
      </c>
      <c r="G66" s="199" t="s">
        <v>456</v>
      </c>
      <c r="H66" s="175" t="s">
        <v>453</v>
      </c>
      <c r="I66" s="175" t="s">
        <v>20</v>
      </c>
      <c r="J66" s="175" t="s">
        <v>457</v>
      </c>
      <c r="K66" s="175" t="s">
        <v>458</v>
      </c>
    </row>
    <row r="67" spans="2:11" s="79" customFormat="1" ht="91" x14ac:dyDescent="0.35">
      <c r="B67" s="77"/>
      <c r="C67" s="77" t="s">
        <v>446</v>
      </c>
      <c r="D67" s="77"/>
      <c r="E67" s="77"/>
      <c r="F67" s="78" t="s">
        <v>447</v>
      </c>
      <c r="G67" s="175" t="s">
        <v>459</v>
      </c>
      <c r="H67" s="175" t="s">
        <v>453</v>
      </c>
      <c r="I67" s="175" t="s">
        <v>20</v>
      </c>
      <c r="J67" s="175" t="s">
        <v>460</v>
      </c>
      <c r="K67" s="175"/>
    </row>
    <row r="68" spans="2:11" s="79" customFormat="1" ht="52" x14ac:dyDescent="0.35">
      <c r="B68" s="77"/>
      <c r="C68" s="77" t="s">
        <v>446</v>
      </c>
      <c r="D68" s="77"/>
      <c r="E68" s="77"/>
      <c r="F68" s="78" t="s">
        <v>447</v>
      </c>
      <c r="G68" s="175" t="s">
        <v>461</v>
      </c>
      <c r="H68" s="175" t="s">
        <v>453</v>
      </c>
      <c r="I68" s="175" t="s">
        <v>20</v>
      </c>
      <c r="J68" s="175" t="s">
        <v>454</v>
      </c>
      <c r="K68" s="175"/>
    </row>
    <row r="69" spans="2:11" s="79" customFormat="1" ht="52" x14ac:dyDescent="0.35">
      <c r="B69" s="77"/>
      <c r="C69" s="77" t="s">
        <v>446</v>
      </c>
      <c r="D69" s="77"/>
      <c r="E69" s="77"/>
      <c r="F69" s="78" t="s">
        <v>447</v>
      </c>
      <c r="G69" s="175" t="s">
        <v>462</v>
      </c>
      <c r="H69" s="175" t="s">
        <v>453</v>
      </c>
      <c r="I69" s="175" t="s">
        <v>20</v>
      </c>
      <c r="J69" s="175" t="s">
        <v>454</v>
      </c>
      <c r="K69" s="175" t="s">
        <v>463</v>
      </c>
    </row>
    <row r="70" spans="2:11" s="79" customFormat="1" ht="39" x14ac:dyDescent="0.35">
      <c r="B70" s="77"/>
      <c r="C70" s="77" t="s">
        <v>446</v>
      </c>
      <c r="D70" s="77"/>
      <c r="E70" s="77"/>
      <c r="F70" s="78" t="s">
        <v>447</v>
      </c>
      <c r="G70" s="175" t="s">
        <v>464</v>
      </c>
      <c r="H70" s="175" t="s">
        <v>453</v>
      </c>
      <c r="I70" s="175" t="s">
        <v>20</v>
      </c>
      <c r="J70" s="175" t="s">
        <v>454</v>
      </c>
      <c r="K70" s="175"/>
    </row>
    <row r="71" spans="2:11" s="79" customFormat="1" ht="39" x14ac:dyDescent="0.35">
      <c r="B71" s="77"/>
      <c r="C71" s="77" t="s">
        <v>446</v>
      </c>
      <c r="D71" s="77"/>
      <c r="E71" s="77"/>
      <c r="F71" s="78" t="s">
        <v>447</v>
      </c>
      <c r="G71" s="175" t="s">
        <v>465</v>
      </c>
      <c r="H71" s="175" t="s">
        <v>453</v>
      </c>
      <c r="I71" s="175" t="s">
        <v>20</v>
      </c>
      <c r="J71" s="175" t="s">
        <v>454</v>
      </c>
      <c r="K71" s="175"/>
    </row>
    <row r="72" spans="2:11" s="79" customFormat="1" ht="52" x14ac:dyDescent="0.35">
      <c r="B72" s="77"/>
      <c r="C72" s="77" t="s">
        <v>446</v>
      </c>
      <c r="D72" s="77"/>
      <c r="E72" s="77"/>
      <c r="F72" s="78" t="s">
        <v>447</v>
      </c>
      <c r="G72" s="175" t="s">
        <v>466</v>
      </c>
      <c r="H72" s="175" t="s">
        <v>453</v>
      </c>
      <c r="I72" s="175" t="s">
        <v>20</v>
      </c>
      <c r="J72" s="175" t="s">
        <v>454</v>
      </c>
      <c r="K72" s="175"/>
    </row>
    <row r="73" spans="2:11" s="79" customFormat="1" ht="26" x14ac:dyDescent="0.35">
      <c r="B73" s="77"/>
      <c r="C73" s="77" t="s">
        <v>446</v>
      </c>
      <c r="D73" s="77"/>
      <c r="E73" s="77"/>
      <c r="F73" s="78" t="s">
        <v>447</v>
      </c>
      <c r="G73" s="175" t="s">
        <v>467</v>
      </c>
      <c r="H73" s="175" t="s">
        <v>453</v>
      </c>
      <c r="I73" s="175" t="s">
        <v>20</v>
      </c>
      <c r="J73" s="175" t="s">
        <v>454</v>
      </c>
      <c r="K73" s="175"/>
    </row>
    <row r="74" spans="2:11" s="79" customFormat="1" ht="79.5" customHeight="1" x14ac:dyDescent="0.35">
      <c r="B74" s="77"/>
      <c r="C74" s="77" t="s">
        <v>446</v>
      </c>
      <c r="D74" s="77"/>
      <c r="E74" s="77"/>
      <c r="F74" s="78" t="s">
        <v>447</v>
      </c>
      <c r="G74" s="175" t="s">
        <v>468</v>
      </c>
      <c r="H74" s="175" t="s">
        <v>453</v>
      </c>
      <c r="I74" s="175" t="s">
        <v>20</v>
      </c>
      <c r="J74" s="175" t="s">
        <v>469</v>
      </c>
      <c r="K74" s="175"/>
    </row>
    <row r="75" spans="2:11" s="79" customFormat="1" ht="65" x14ac:dyDescent="0.35">
      <c r="B75" s="77"/>
      <c r="C75" s="77" t="s">
        <v>446</v>
      </c>
      <c r="D75" s="77"/>
      <c r="E75" s="77"/>
      <c r="F75" s="78" t="s">
        <v>447</v>
      </c>
      <c r="G75" s="175" t="s">
        <v>470</v>
      </c>
      <c r="H75" s="175" t="s">
        <v>453</v>
      </c>
      <c r="I75" s="175" t="s">
        <v>20</v>
      </c>
      <c r="J75" s="175" t="s">
        <v>471</v>
      </c>
      <c r="K75" s="175"/>
    </row>
    <row r="76" spans="2:11" s="79" customFormat="1" ht="91" x14ac:dyDescent="0.35">
      <c r="B76" s="77"/>
      <c r="C76" s="77" t="s">
        <v>446</v>
      </c>
      <c r="D76" s="77"/>
      <c r="E76" s="77"/>
      <c r="F76" s="78" t="s">
        <v>447</v>
      </c>
      <c r="G76" s="175" t="s">
        <v>472</v>
      </c>
      <c r="H76" s="175" t="s">
        <v>453</v>
      </c>
      <c r="I76" s="175" t="s">
        <v>20</v>
      </c>
      <c r="J76" s="175" t="s">
        <v>473</v>
      </c>
      <c r="K76" s="175"/>
    </row>
    <row r="77" spans="2:11" s="79" customFormat="1" ht="91" x14ac:dyDescent="0.35">
      <c r="B77" s="77"/>
      <c r="C77" s="77" t="s">
        <v>446</v>
      </c>
      <c r="D77" s="77"/>
      <c r="E77" s="77"/>
      <c r="F77" s="78" t="s">
        <v>447</v>
      </c>
      <c r="G77" s="175" t="s">
        <v>474</v>
      </c>
      <c r="H77" s="175" t="s">
        <v>453</v>
      </c>
      <c r="I77" s="175" t="s">
        <v>20</v>
      </c>
      <c r="J77" s="175" t="s">
        <v>475</v>
      </c>
      <c r="K77" s="175" t="s">
        <v>476</v>
      </c>
    </row>
    <row r="78" spans="2:11" s="79" customFormat="1" ht="39" x14ac:dyDescent="0.35">
      <c r="B78" s="77"/>
      <c r="C78" s="77" t="s">
        <v>477</v>
      </c>
      <c r="D78" s="77" t="s">
        <v>23</v>
      </c>
      <c r="E78" s="77" t="s">
        <v>478</v>
      </c>
      <c r="F78" s="77" t="s">
        <v>23</v>
      </c>
      <c r="G78" s="175" t="s">
        <v>479</v>
      </c>
      <c r="H78" s="175" t="s">
        <v>33</v>
      </c>
      <c r="I78" s="175" t="s">
        <v>20</v>
      </c>
      <c r="J78" s="175" t="s">
        <v>362</v>
      </c>
      <c r="K78" s="175"/>
    </row>
    <row r="79" spans="2:11" s="79" customFormat="1" ht="143" x14ac:dyDescent="0.35">
      <c r="B79" s="77"/>
      <c r="C79" s="77" t="s">
        <v>477</v>
      </c>
      <c r="D79" s="77" t="s">
        <v>23</v>
      </c>
      <c r="E79" s="77" t="s">
        <v>478</v>
      </c>
      <c r="F79" s="77" t="s">
        <v>23</v>
      </c>
      <c r="G79" s="175" t="s">
        <v>479</v>
      </c>
      <c r="H79" s="175" t="s">
        <v>39</v>
      </c>
      <c r="I79" s="175" t="s">
        <v>20</v>
      </c>
      <c r="J79" s="175" t="s">
        <v>480</v>
      </c>
      <c r="K79" s="175"/>
    </row>
    <row r="80" spans="2:11" s="79" customFormat="1" ht="39" x14ac:dyDescent="0.35">
      <c r="B80" s="77"/>
      <c r="C80" s="77" t="s">
        <v>477</v>
      </c>
      <c r="D80" s="77" t="s">
        <v>23</v>
      </c>
      <c r="E80" s="77" t="s">
        <v>199</v>
      </c>
      <c r="F80" s="77" t="s">
        <v>23</v>
      </c>
      <c r="G80" s="175" t="s">
        <v>481</v>
      </c>
      <c r="H80" s="175" t="s">
        <v>33</v>
      </c>
      <c r="I80" s="175" t="s">
        <v>20</v>
      </c>
      <c r="J80" s="175" t="s">
        <v>362</v>
      </c>
      <c r="K80" s="175"/>
    </row>
    <row r="81" spans="1:11" s="79" customFormat="1" ht="117" x14ac:dyDescent="0.35">
      <c r="B81" s="77"/>
      <c r="C81" s="77" t="s">
        <v>477</v>
      </c>
      <c r="D81" s="77" t="s">
        <v>23</v>
      </c>
      <c r="E81" s="77" t="s">
        <v>199</v>
      </c>
      <c r="F81" s="77" t="s">
        <v>23</v>
      </c>
      <c r="G81" s="175" t="s">
        <v>481</v>
      </c>
      <c r="H81" s="175" t="s">
        <v>39</v>
      </c>
      <c r="I81" s="175" t="s">
        <v>20</v>
      </c>
      <c r="J81" s="175" t="s">
        <v>482</v>
      </c>
      <c r="K81" s="175"/>
    </row>
    <row r="82" spans="1:11" s="79" customFormat="1" ht="52" x14ac:dyDescent="0.35">
      <c r="B82" s="77"/>
      <c r="C82" s="77" t="s">
        <v>477</v>
      </c>
      <c r="D82" s="77"/>
      <c r="E82" s="77" t="s">
        <v>207</v>
      </c>
      <c r="F82" s="77" t="s">
        <v>23</v>
      </c>
      <c r="G82" s="175" t="s">
        <v>483</v>
      </c>
      <c r="H82" s="175" t="s">
        <v>33</v>
      </c>
      <c r="I82" s="175" t="s">
        <v>20</v>
      </c>
      <c r="J82" s="175" t="s">
        <v>362</v>
      </c>
      <c r="K82" s="175"/>
    </row>
    <row r="83" spans="1:11" s="79" customFormat="1" ht="117" x14ac:dyDescent="0.35">
      <c r="B83" s="77"/>
      <c r="C83" s="77" t="s">
        <v>477</v>
      </c>
      <c r="D83" s="77"/>
      <c r="E83" s="77" t="s">
        <v>207</v>
      </c>
      <c r="F83" s="77" t="s">
        <v>23</v>
      </c>
      <c r="G83" s="175" t="s">
        <v>483</v>
      </c>
      <c r="H83" s="175" t="s">
        <v>19</v>
      </c>
      <c r="I83" s="175" t="s">
        <v>23</v>
      </c>
      <c r="J83" s="176" t="s">
        <v>484</v>
      </c>
      <c r="K83" s="175"/>
    </row>
    <row r="84" spans="1:11" s="79" customFormat="1" ht="39" x14ac:dyDescent="0.35">
      <c r="B84" s="77"/>
      <c r="C84" s="77" t="s">
        <v>477</v>
      </c>
      <c r="D84" s="77"/>
      <c r="E84" s="77"/>
      <c r="F84" s="77" t="s">
        <v>23</v>
      </c>
      <c r="G84" s="175" t="s">
        <v>485</v>
      </c>
      <c r="H84" s="175" t="s">
        <v>486</v>
      </c>
      <c r="I84" s="175" t="s">
        <v>23</v>
      </c>
      <c r="J84" s="176" t="s">
        <v>457</v>
      </c>
      <c r="K84" s="175"/>
    </row>
    <row r="85" spans="1:11" s="79" customFormat="1" ht="15.5" x14ac:dyDescent="0.35">
      <c r="A85" s="2"/>
      <c r="B85" s="118" t="s">
        <v>487</v>
      </c>
      <c r="C85" s="119"/>
      <c r="D85" s="120"/>
      <c r="E85" s="120"/>
      <c r="F85" s="120"/>
      <c r="G85" s="120"/>
      <c r="H85" s="120"/>
      <c r="I85" s="120"/>
      <c r="J85" s="120"/>
      <c r="K85" s="154"/>
    </row>
    <row r="86" spans="1:11" s="3" customFormat="1" ht="48" customHeight="1" x14ac:dyDescent="0.35">
      <c r="A86" s="679">
        <v>1</v>
      </c>
      <c r="C86" s="107" t="s">
        <v>488</v>
      </c>
      <c r="D86" s="103" t="s">
        <v>23</v>
      </c>
      <c r="E86" s="148" t="s">
        <v>17</v>
      </c>
      <c r="F86" s="75" t="s">
        <v>23</v>
      </c>
      <c r="G86" s="77" t="s">
        <v>27</v>
      </c>
      <c r="H86" s="76" t="s">
        <v>19</v>
      </c>
      <c r="I86" s="582" t="s">
        <v>20</v>
      </c>
      <c r="J86" s="150" t="s">
        <v>368</v>
      </c>
      <c r="K86" s="131"/>
    </row>
    <row r="87" spans="1:11" s="3" customFormat="1" ht="63.75" customHeight="1" x14ac:dyDescent="0.35">
      <c r="A87" s="680"/>
      <c r="C87" s="266" t="s">
        <v>488</v>
      </c>
      <c r="D87" s="560" t="s">
        <v>23</v>
      </c>
      <c r="E87" s="149" t="s">
        <v>17</v>
      </c>
      <c r="F87" s="75" t="s">
        <v>23</v>
      </c>
      <c r="G87" s="77" t="s">
        <v>27</v>
      </c>
      <c r="H87" s="77" t="s">
        <v>22</v>
      </c>
      <c r="I87" s="147" t="s">
        <v>23</v>
      </c>
      <c r="J87" s="151" t="s">
        <v>489</v>
      </c>
      <c r="K87" s="131"/>
    </row>
    <row r="88" spans="1:11" s="133" customFormat="1" ht="29" x14ac:dyDescent="0.35">
      <c r="A88" s="109"/>
      <c r="B88" s="110" t="s">
        <v>358</v>
      </c>
      <c r="C88" s="110" t="s">
        <v>490</v>
      </c>
      <c r="D88" s="111" t="s">
        <v>491</v>
      </c>
      <c r="E88" s="142" t="s">
        <v>492</v>
      </c>
      <c r="F88" s="152" t="s">
        <v>429</v>
      </c>
      <c r="G88" s="153"/>
      <c r="H88" s="152" t="s">
        <v>33</v>
      </c>
      <c r="I88" s="152" t="s">
        <v>493</v>
      </c>
      <c r="J88" s="163">
        <v>0.3</v>
      </c>
      <c r="K88" s="155"/>
    </row>
    <row r="89" spans="1:11" s="133" customFormat="1" ht="52" x14ac:dyDescent="0.35">
      <c r="A89" s="109"/>
      <c r="B89" s="110" t="s">
        <v>358</v>
      </c>
      <c r="C89" s="110" t="s">
        <v>490</v>
      </c>
      <c r="D89" s="135"/>
      <c r="E89" s="135" t="s">
        <v>492</v>
      </c>
      <c r="F89" s="112"/>
      <c r="G89" s="137" t="s">
        <v>494</v>
      </c>
      <c r="H89" s="98" t="s">
        <v>495</v>
      </c>
      <c r="I89" s="98"/>
      <c r="J89" s="98" t="s">
        <v>496</v>
      </c>
      <c r="K89" s="77" t="s">
        <v>497</v>
      </c>
    </row>
    <row r="90" spans="1:11" s="133" customFormat="1" ht="78" x14ac:dyDescent="0.35">
      <c r="A90" s="109"/>
      <c r="B90" s="110" t="s">
        <v>358</v>
      </c>
      <c r="C90" s="110" t="s">
        <v>490</v>
      </c>
      <c r="D90" s="135"/>
      <c r="E90" s="135" t="s">
        <v>492</v>
      </c>
      <c r="F90" s="112"/>
      <c r="G90" s="137" t="s">
        <v>498</v>
      </c>
      <c r="H90" s="98" t="s">
        <v>495</v>
      </c>
      <c r="I90" s="98"/>
      <c r="J90" s="98" t="s">
        <v>499</v>
      </c>
      <c r="K90" s="77" t="s">
        <v>497</v>
      </c>
    </row>
    <row r="91" spans="1:11" s="133" customFormat="1" ht="78" x14ac:dyDescent="0.35">
      <c r="A91" s="109"/>
      <c r="B91" s="110" t="s">
        <v>358</v>
      </c>
      <c r="C91" s="110" t="s">
        <v>490</v>
      </c>
      <c r="D91" s="135"/>
      <c r="E91" s="135" t="s">
        <v>492</v>
      </c>
      <c r="F91" s="112"/>
      <c r="G91" s="138" t="s">
        <v>235</v>
      </c>
      <c r="H91" s="73" t="s">
        <v>495</v>
      </c>
      <c r="I91" s="73"/>
      <c r="J91" s="73" t="s">
        <v>236</v>
      </c>
      <c r="K91" s="156"/>
    </row>
    <row r="92" spans="1:11" s="133" customFormat="1" ht="91" x14ac:dyDescent="0.35">
      <c r="A92" s="109"/>
      <c r="B92" s="110" t="s">
        <v>358</v>
      </c>
      <c r="C92" s="110" t="s">
        <v>490</v>
      </c>
      <c r="D92" s="135"/>
      <c r="E92" s="142" t="s">
        <v>492</v>
      </c>
      <c r="F92" s="145"/>
      <c r="G92" s="138" t="s">
        <v>500</v>
      </c>
      <c r="H92" s="73" t="s">
        <v>495</v>
      </c>
      <c r="I92" s="73"/>
      <c r="J92" s="73" t="s">
        <v>501</v>
      </c>
      <c r="K92" s="156"/>
    </row>
    <row r="93" spans="1:11" s="133" customFormat="1" ht="167.25" customHeight="1" x14ac:dyDescent="0.35">
      <c r="A93" s="109"/>
      <c r="B93" s="110" t="s">
        <v>358</v>
      </c>
      <c r="C93" s="110" t="s">
        <v>490</v>
      </c>
      <c r="D93" s="135"/>
      <c r="E93" s="110" t="s">
        <v>492</v>
      </c>
      <c r="F93" s="112"/>
      <c r="G93" s="139" t="s">
        <v>502</v>
      </c>
      <c r="H93" s="98" t="s">
        <v>495</v>
      </c>
      <c r="I93" s="98"/>
      <c r="J93" s="98" t="s">
        <v>503</v>
      </c>
      <c r="K93" s="156"/>
    </row>
    <row r="94" spans="1:11" s="133" customFormat="1" ht="72" customHeight="1" x14ac:dyDescent="0.35">
      <c r="A94" s="115">
        <v>1</v>
      </c>
      <c r="B94" s="112" t="s">
        <v>358</v>
      </c>
      <c r="C94" s="121" t="s">
        <v>504</v>
      </c>
      <c r="D94" s="136" t="s">
        <v>23</v>
      </c>
      <c r="E94" s="146" t="s">
        <v>505</v>
      </c>
      <c r="F94" s="141" t="s">
        <v>23</v>
      </c>
      <c r="G94" s="140" t="s">
        <v>506</v>
      </c>
      <c r="H94" s="121" t="s">
        <v>61</v>
      </c>
      <c r="I94" s="121" t="s">
        <v>23</v>
      </c>
      <c r="J94" s="108" t="s">
        <v>507</v>
      </c>
      <c r="K94" s="129"/>
    </row>
    <row r="95" spans="1:11" s="133" customFormat="1" ht="72" customHeight="1" x14ac:dyDescent="0.35">
      <c r="A95" s="115">
        <v>1</v>
      </c>
      <c r="B95" s="112" t="s">
        <v>358</v>
      </c>
      <c r="C95" s="121" t="s">
        <v>504</v>
      </c>
      <c r="D95" s="136" t="s">
        <v>23</v>
      </c>
      <c r="E95" s="136" t="s">
        <v>505</v>
      </c>
      <c r="F95" s="112" t="s">
        <v>23</v>
      </c>
      <c r="G95" s="140" t="s">
        <v>506</v>
      </c>
      <c r="H95" s="121" t="s">
        <v>39</v>
      </c>
      <c r="I95" s="121" t="s">
        <v>23</v>
      </c>
      <c r="J95" s="104" t="s">
        <v>508</v>
      </c>
      <c r="K95" s="129"/>
    </row>
    <row r="96" spans="1:11" s="133" customFormat="1" ht="72" customHeight="1" x14ac:dyDescent="0.35">
      <c r="A96" s="116">
        <v>1</v>
      </c>
      <c r="B96" s="122" t="s">
        <v>358</v>
      </c>
      <c r="C96" s="111" t="s">
        <v>509</v>
      </c>
      <c r="D96" s="111" t="s">
        <v>510</v>
      </c>
      <c r="E96" s="143" t="s">
        <v>264</v>
      </c>
      <c r="F96" s="112" t="s">
        <v>23</v>
      </c>
      <c r="G96" s="144" t="s">
        <v>511</v>
      </c>
      <c r="H96" s="111" t="s">
        <v>61</v>
      </c>
      <c r="I96" s="111" t="s">
        <v>23</v>
      </c>
      <c r="J96" s="105" t="s">
        <v>362</v>
      </c>
      <c r="K96" s="129"/>
    </row>
    <row r="97" spans="1:11" s="133" customFormat="1" ht="72" customHeight="1" x14ac:dyDescent="0.35">
      <c r="A97" s="116">
        <v>1</v>
      </c>
      <c r="B97" s="122" t="s">
        <v>358</v>
      </c>
      <c r="C97" s="111" t="s">
        <v>509</v>
      </c>
      <c r="D97" s="111" t="s">
        <v>510</v>
      </c>
      <c r="E97" s="111" t="s">
        <v>264</v>
      </c>
      <c r="F97" s="141" t="s">
        <v>23</v>
      </c>
      <c r="G97" s="111" t="s">
        <v>511</v>
      </c>
      <c r="H97" s="111" t="s">
        <v>39</v>
      </c>
      <c r="I97" s="111" t="s">
        <v>23</v>
      </c>
      <c r="J97" s="105" t="s">
        <v>267</v>
      </c>
      <c r="K97" s="129"/>
    </row>
    <row r="98" spans="1:11" s="133" customFormat="1" ht="72" customHeight="1" x14ac:dyDescent="0.35">
      <c r="A98" s="116">
        <v>2</v>
      </c>
      <c r="B98" s="122" t="s">
        <v>358</v>
      </c>
      <c r="C98" s="111" t="s">
        <v>509</v>
      </c>
      <c r="D98" s="111" t="s">
        <v>512</v>
      </c>
      <c r="E98" s="111" t="s">
        <v>270</v>
      </c>
      <c r="F98" s="112" t="s">
        <v>23</v>
      </c>
      <c r="G98" s="111" t="s">
        <v>513</v>
      </c>
      <c r="H98" s="111" t="s">
        <v>61</v>
      </c>
      <c r="I98" s="111" t="s">
        <v>23</v>
      </c>
      <c r="J98" s="105" t="s">
        <v>272</v>
      </c>
      <c r="K98" s="129"/>
    </row>
    <row r="99" spans="1:11" s="133" customFormat="1" ht="72" customHeight="1" x14ac:dyDescent="0.35">
      <c r="A99" s="116">
        <v>2</v>
      </c>
      <c r="B99" s="122" t="s">
        <v>358</v>
      </c>
      <c r="C99" s="111" t="s">
        <v>509</v>
      </c>
      <c r="D99" s="111" t="s">
        <v>512</v>
      </c>
      <c r="E99" s="111" t="s">
        <v>270</v>
      </c>
      <c r="F99" s="112" t="s">
        <v>23</v>
      </c>
      <c r="G99" s="111" t="s">
        <v>513</v>
      </c>
      <c r="H99" s="111" t="s">
        <v>39</v>
      </c>
      <c r="I99" s="111" t="s">
        <v>23</v>
      </c>
      <c r="J99" s="105" t="s">
        <v>362</v>
      </c>
      <c r="K99" s="129"/>
    </row>
    <row r="100" spans="1:11" s="133" customFormat="1" ht="72" customHeight="1" x14ac:dyDescent="0.35">
      <c r="A100" s="115">
        <v>3</v>
      </c>
      <c r="B100" s="112" t="s">
        <v>358</v>
      </c>
      <c r="C100" s="111" t="s">
        <v>509</v>
      </c>
      <c r="D100" s="111" t="s">
        <v>514</v>
      </c>
      <c r="E100" s="111" t="s">
        <v>276</v>
      </c>
      <c r="F100" s="112" t="s">
        <v>23</v>
      </c>
      <c r="G100" s="111" t="s">
        <v>515</v>
      </c>
      <c r="H100" s="111" t="s">
        <v>61</v>
      </c>
      <c r="I100" s="111" t="s">
        <v>23</v>
      </c>
      <c r="J100" s="105" t="s">
        <v>278</v>
      </c>
      <c r="K100" s="129"/>
    </row>
    <row r="101" spans="1:11" s="133" customFormat="1" ht="72" customHeight="1" x14ac:dyDescent="0.35">
      <c r="A101" s="115">
        <v>3</v>
      </c>
      <c r="B101" s="112" t="s">
        <v>358</v>
      </c>
      <c r="C101" s="111" t="s">
        <v>509</v>
      </c>
      <c r="D101" s="111" t="s">
        <v>514</v>
      </c>
      <c r="E101" s="111" t="s">
        <v>276</v>
      </c>
      <c r="F101" s="112" t="s">
        <v>23</v>
      </c>
      <c r="G101" s="111" t="s">
        <v>515</v>
      </c>
      <c r="H101" s="111" t="s">
        <v>39</v>
      </c>
      <c r="I101" s="111" t="s">
        <v>23</v>
      </c>
      <c r="J101" s="105" t="s">
        <v>280</v>
      </c>
      <c r="K101" s="129"/>
    </row>
    <row r="102" spans="1:11" s="134" customFormat="1" ht="72" customHeight="1" x14ac:dyDescent="0.35">
      <c r="A102" s="117">
        <v>4</v>
      </c>
      <c r="B102" s="124" t="s">
        <v>358</v>
      </c>
      <c r="C102" s="111" t="s">
        <v>509</v>
      </c>
      <c r="D102" s="111" t="s">
        <v>516</v>
      </c>
      <c r="E102" s="111" t="s">
        <v>282</v>
      </c>
      <c r="F102" s="112" t="s">
        <v>23</v>
      </c>
      <c r="G102" s="111" t="s">
        <v>517</v>
      </c>
      <c r="H102" s="111" t="s">
        <v>61</v>
      </c>
      <c r="I102" s="111" t="s">
        <v>23</v>
      </c>
      <c r="J102" s="105" t="s">
        <v>362</v>
      </c>
      <c r="K102" s="157"/>
    </row>
    <row r="103" spans="1:11" s="134" customFormat="1" ht="72" customHeight="1" x14ac:dyDescent="0.35">
      <c r="A103" s="117">
        <v>4</v>
      </c>
      <c r="B103" s="124" t="s">
        <v>358</v>
      </c>
      <c r="C103" s="111" t="s">
        <v>509</v>
      </c>
      <c r="D103" s="111" t="s">
        <v>516</v>
      </c>
      <c r="E103" s="111" t="s">
        <v>282</v>
      </c>
      <c r="F103" s="112" t="s">
        <v>23</v>
      </c>
      <c r="G103" s="111" t="s">
        <v>517</v>
      </c>
      <c r="H103" s="111" t="s">
        <v>39</v>
      </c>
      <c r="I103" s="111" t="s">
        <v>23</v>
      </c>
      <c r="J103" s="105" t="s">
        <v>286</v>
      </c>
      <c r="K103" s="157"/>
    </row>
    <row r="104" spans="1:11" s="133" customFormat="1" ht="72" customHeight="1" x14ac:dyDescent="0.35">
      <c r="A104" s="115">
        <v>5</v>
      </c>
      <c r="B104" s="112" t="s">
        <v>358</v>
      </c>
      <c r="C104" s="121" t="s">
        <v>509</v>
      </c>
      <c r="D104" s="121" t="s">
        <v>518</v>
      </c>
      <c r="E104" s="121" t="s">
        <v>246</v>
      </c>
      <c r="F104" s="112" t="s">
        <v>23</v>
      </c>
      <c r="G104" s="121" t="s">
        <v>519</v>
      </c>
      <c r="H104" s="121" t="s">
        <v>61</v>
      </c>
      <c r="I104" s="121" t="s">
        <v>23</v>
      </c>
      <c r="J104" s="104" t="s">
        <v>362</v>
      </c>
      <c r="K104" s="129"/>
    </row>
    <row r="105" spans="1:11" s="133" customFormat="1" ht="72" customHeight="1" x14ac:dyDescent="0.35">
      <c r="A105" s="115">
        <v>5</v>
      </c>
      <c r="B105" s="112" t="s">
        <v>358</v>
      </c>
      <c r="C105" s="121" t="s">
        <v>509</v>
      </c>
      <c r="D105" s="121" t="s">
        <v>518</v>
      </c>
      <c r="E105" s="121" t="s">
        <v>246</v>
      </c>
      <c r="F105" s="112" t="s">
        <v>23</v>
      </c>
      <c r="G105" s="121" t="s">
        <v>519</v>
      </c>
      <c r="H105" s="121" t="s">
        <v>39</v>
      </c>
      <c r="I105" s="121" t="s">
        <v>23</v>
      </c>
      <c r="J105" s="104" t="s">
        <v>520</v>
      </c>
      <c r="K105" s="129"/>
    </row>
    <row r="106" spans="1:11" s="133" customFormat="1" ht="72" customHeight="1" x14ac:dyDescent="0.35">
      <c r="A106" s="116">
        <v>1</v>
      </c>
      <c r="B106" s="122" t="s">
        <v>358</v>
      </c>
      <c r="C106" s="111" t="s">
        <v>521</v>
      </c>
      <c r="D106" s="111" t="s">
        <v>510</v>
      </c>
      <c r="E106" s="111" t="s">
        <v>522</v>
      </c>
      <c r="F106" s="112" t="s">
        <v>23</v>
      </c>
      <c r="G106" s="111" t="s">
        <v>523</v>
      </c>
      <c r="H106" s="111" t="s">
        <v>39</v>
      </c>
      <c r="I106" s="111" t="s">
        <v>23</v>
      </c>
      <c r="J106" s="123" t="s">
        <v>362</v>
      </c>
      <c r="K106" s="114"/>
    </row>
    <row r="107" spans="1:11" s="133" customFormat="1" ht="72" customHeight="1" x14ac:dyDescent="0.35">
      <c r="A107" s="116">
        <v>1</v>
      </c>
      <c r="B107" s="122" t="s">
        <v>358</v>
      </c>
      <c r="C107" s="111" t="s">
        <v>521</v>
      </c>
      <c r="D107" s="111" t="s">
        <v>510</v>
      </c>
      <c r="E107" s="111" t="s">
        <v>522</v>
      </c>
      <c r="F107" s="112" t="s">
        <v>23</v>
      </c>
      <c r="G107" s="111" t="s">
        <v>523</v>
      </c>
      <c r="H107" s="111" t="s">
        <v>61</v>
      </c>
      <c r="I107" s="111" t="s">
        <v>23</v>
      </c>
      <c r="J107" s="123" t="s">
        <v>524</v>
      </c>
      <c r="K107" s="114"/>
    </row>
    <row r="108" spans="1:11" ht="39" x14ac:dyDescent="0.35">
      <c r="B108" s="74"/>
      <c r="C108" s="678" t="s">
        <v>287</v>
      </c>
      <c r="D108" s="293" t="s">
        <v>23</v>
      </c>
      <c r="E108" s="294"/>
      <c r="F108" s="74"/>
      <c r="G108" s="576" t="s">
        <v>525</v>
      </c>
      <c r="H108" s="576" t="s">
        <v>526</v>
      </c>
      <c r="I108" s="293" t="s">
        <v>23</v>
      </c>
      <c r="J108" s="576" t="s">
        <v>527</v>
      </c>
    </row>
    <row r="109" spans="1:11" ht="52" x14ac:dyDescent="0.35">
      <c r="B109" s="74"/>
      <c r="C109" s="678"/>
      <c r="D109" s="293" t="s">
        <v>23</v>
      </c>
      <c r="E109" s="294"/>
      <c r="F109" s="74"/>
      <c r="G109" s="576" t="s">
        <v>528</v>
      </c>
      <c r="H109" s="576" t="s">
        <v>526</v>
      </c>
      <c r="I109" s="293" t="s">
        <v>23</v>
      </c>
      <c r="J109" s="576" t="s">
        <v>529</v>
      </c>
    </row>
    <row r="110" spans="1:11" ht="78" x14ac:dyDescent="0.35">
      <c r="B110" s="74"/>
      <c r="C110" s="678"/>
      <c r="D110" s="293" t="s">
        <v>23</v>
      </c>
      <c r="E110" s="294"/>
      <c r="F110" s="74"/>
      <c r="G110" s="576" t="s">
        <v>530</v>
      </c>
      <c r="H110" s="576" t="s">
        <v>526</v>
      </c>
      <c r="I110" s="293" t="s">
        <v>23</v>
      </c>
      <c r="J110" s="576" t="s">
        <v>531</v>
      </c>
    </row>
    <row r="111" spans="1:11" ht="39" x14ac:dyDescent="0.35">
      <c r="B111" s="74"/>
      <c r="C111" s="678"/>
      <c r="D111" s="293" t="s">
        <v>23</v>
      </c>
      <c r="E111" s="294"/>
      <c r="F111" s="74"/>
      <c r="G111" s="576" t="s">
        <v>532</v>
      </c>
      <c r="H111" s="576" t="s">
        <v>526</v>
      </c>
      <c r="I111" s="293" t="s">
        <v>23</v>
      </c>
      <c r="J111" s="576" t="s">
        <v>296</v>
      </c>
    </row>
    <row r="112" spans="1:11" ht="39" x14ac:dyDescent="0.35">
      <c r="B112" s="74"/>
      <c r="C112" s="678"/>
      <c r="D112" s="293" t="s">
        <v>23</v>
      </c>
      <c r="E112" s="294"/>
      <c r="F112" s="74"/>
      <c r="G112" s="576" t="s">
        <v>297</v>
      </c>
      <c r="H112" s="576" t="s">
        <v>526</v>
      </c>
      <c r="I112" s="293" t="s">
        <v>23</v>
      </c>
      <c r="J112" s="576" t="s">
        <v>298</v>
      </c>
    </row>
  </sheetData>
  <customSheetViews>
    <customSheetView guid="{59B363CD-3DDC-B04B-9DA2-AD720BF8C467}" scale="68" hiddenColumns="1" state="hidden" topLeftCell="B1">
      <pane ySplit="2.032258064516129" topLeftCell="A5" activePane="bottomLeft" state="frozenSplit"/>
      <selection pane="bottomLeft" activeCell="G7" sqref="G7"/>
      <pageMargins left="0" right="0" top="0" bottom="0" header="0" footer="0"/>
      <pageSetup orientation="portrait" horizontalDpi="360" verticalDpi="360"/>
    </customSheetView>
    <customSheetView guid="{C2C56F38-527D-46F3-8E7F-3C5092082195}" scale="68" hiddenColumns="1" state="hidden" topLeftCell="B1">
      <pane ySplit="2" topLeftCell="A5" activePane="bottomLeft" state="frozenSplit"/>
      <selection pane="bottomLeft" activeCell="G7" sqref="G7"/>
      <pageMargins left="0" right="0" top="0" bottom="0" header="0" footer="0"/>
      <pageSetup orientation="portrait" horizontalDpi="360" verticalDpi="360"/>
    </customSheetView>
  </customSheetViews>
  <mergeCells count="2">
    <mergeCell ref="C108:C112"/>
    <mergeCell ref="A86:A87"/>
  </mergeCells>
  <phoneticPr fontId="21" type="noConversion"/>
  <pageMargins left="0.75" right="0.75" top="1" bottom="1" header="0.5" footer="0.5"/>
  <pageSetup orientation="portrait" horizontalDpi="360" verticalDpi="360"/>
  <drawing r:id="rId1"/>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64"/>
  <sheetViews>
    <sheetView topLeftCell="A33" workbookViewId="0"/>
  </sheetViews>
  <sheetFormatPr defaultColWidth="9.1796875" defaultRowHeight="13" x14ac:dyDescent="0.3"/>
  <cols>
    <col min="1" max="1" width="14.453125" style="1" customWidth="1"/>
    <col min="2" max="2" width="4.54296875" style="32" customWidth="1"/>
    <col min="3" max="4" width="48.81640625" style="34" customWidth="1"/>
    <col min="5" max="5" width="15.54296875" style="34" customWidth="1"/>
    <col min="6" max="6" width="69.453125" style="34" customWidth="1"/>
    <col min="7" max="7" width="14" style="34" customWidth="1"/>
    <col min="8" max="8" width="78.81640625" style="34" customWidth="1"/>
    <col min="9" max="9" width="49.54296875" style="1" customWidth="1"/>
    <col min="10" max="12" width="50.54296875" style="1" customWidth="1"/>
    <col min="13" max="13" width="50.54296875" style="28" customWidth="1"/>
    <col min="14" max="14" width="9.54296875" style="17" customWidth="1"/>
    <col min="15" max="16" width="9.54296875" style="35" customWidth="1"/>
    <col min="17" max="17" width="9.54296875" style="17" customWidth="1"/>
    <col min="18" max="16384" width="9.1796875" style="1"/>
  </cols>
  <sheetData>
    <row r="2" spans="1:17" x14ac:dyDescent="0.3">
      <c r="A2" s="689" t="s">
        <v>533</v>
      </c>
      <c r="B2" s="689"/>
      <c r="C2" s="689"/>
      <c r="D2" s="689"/>
      <c r="E2" s="689"/>
      <c r="F2" s="689"/>
      <c r="G2" s="689"/>
      <c r="H2" s="689"/>
      <c r="I2" s="689"/>
      <c r="J2" s="689"/>
      <c r="K2" s="689"/>
      <c r="L2" s="689"/>
      <c r="N2" s="97"/>
      <c r="Q2" s="97"/>
    </row>
    <row r="3" spans="1:17" x14ac:dyDescent="0.3">
      <c r="A3" s="689"/>
      <c r="B3" s="689"/>
      <c r="C3" s="689"/>
      <c r="D3" s="689"/>
      <c r="E3" s="689"/>
      <c r="F3" s="689"/>
      <c r="G3" s="689"/>
      <c r="H3" s="689"/>
      <c r="I3" s="689"/>
      <c r="J3" s="689"/>
      <c r="K3" s="689"/>
      <c r="L3" s="689"/>
      <c r="N3" s="97"/>
      <c r="Q3" s="97"/>
    </row>
    <row r="4" spans="1:17" ht="65.25" customHeight="1" x14ac:dyDescent="0.3">
      <c r="A4" s="690"/>
      <c r="B4" s="690"/>
      <c r="C4" s="690"/>
      <c r="D4" s="690"/>
      <c r="E4" s="690"/>
      <c r="F4" s="690"/>
      <c r="G4" s="690"/>
      <c r="H4" s="690"/>
      <c r="I4" s="690"/>
      <c r="J4" s="690"/>
      <c r="K4" s="690"/>
      <c r="L4" s="690"/>
      <c r="N4" s="97"/>
      <c r="Q4" s="97"/>
    </row>
    <row r="5" spans="1:17" s="4" customFormat="1" ht="26.25" customHeight="1" x14ac:dyDescent="0.3">
      <c r="A5" s="52"/>
      <c r="B5" s="691" t="s">
        <v>534</v>
      </c>
      <c r="C5" s="692"/>
      <c r="D5" s="44" t="s">
        <v>535</v>
      </c>
      <c r="E5" s="44" t="s">
        <v>536</v>
      </c>
      <c r="F5" s="44" t="s">
        <v>537</v>
      </c>
      <c r="G5" s="44"/>
      <c r="H5" s="44"/>
      <c r="I5" s="5" t="s">
        <v>538</v>
      </c>
      <c r="J5" s="5" t="s">
        <v>539</v>
      </c>
      <c r="K5" s="5" t="s">
        <v>540</v>
      </c>
      <c r="L5" s="5" t="s">
        <v>541</v>
      </c>
      <c r="M5" s="27"/>
      <c r="N5" s="15"/>
      <c r="O5" s="36"/>
      <c r="P5" s="36"/>
      <c r="Q5" s="15"/>
    </row>
    <row r="6" spans="1:17" s="2" customFormat="1" ht="159.75" customHeight="1" x14ac:dyDescent="0.3">
      <c r="A6" s="52"/>
      <c r="B6" s="693" t="s">
        <v>542</v>
      </c>
      <c r="C6" s="694"/>
      <c r="D6" s="45" t="s">
        <v>543</v>
      </c>
      <c r="E6" s="45"/>
      <c r="F6" s="45" t="s">
        <v>544</v>
      </c>
      <c r="G6" s="45"/>
      <c r="H6" s="45"/>
      <c r="I6" s="695" t="s">
        <v>545</v>
      </c>
      <c r="J6" s="697" t="s">
        <v>546</v>
      </c>
      <c r="K6" s="699" t="s">
        <v>547</v>
      </c>
      <c r="L6" s="701" t="s">
        <v>548</v>
      </c>
      <c r="M6" s="29" t="s">
        <v>549</v>
      </c>
      <c r="N6" s="14"/>
      <c r="O6" s="18"/>
      <c r="P6" s="18"/>
      <c r="Q6" s="14"/>
    </row>
    <row r="7" spans="1:17" s="2" customFormat="1" ht="21" customHeight="1" x14ac:dyDescent="0.35">
      <c r="A7" s="52"/>
      <c r="B7" s="52"/>
      <c r="C7" s="52"/>
      <c r="D7" s="46"/>
      <c r="E7" s="46"/>
      <c r="F7" s="46"/>
      <c r="G7" s="46"/>
      <c r="H7" s="46"/>
      <c r="I7" s="696"/>
      <c r="J7" s="698"/>
      <c r="K7" s="700"/>
      <c r="L7" s="702"/>
      <c r="M7" s="30">
        <f>COUNTA(N9:N64)</f>
        <v>13</v>
      </c>
      <c r="N7" s="14"/>
      <c r="O7" s="18"/>
      <c r="P7" s="18"/>
      <c r="Q7" s="14"/>
    </row>
    <row r="8" spans="1:17" s="2" customFormat="1" ht="73.5" customHeight="1" x14ac:dyDescent="0.35">
      <c r="A8" s="6" t="s">
        <v>550</v>
      </c>
      <c r="B8" s="9"/>
      <c r="C8" s="10" t="s">
        <v>551</v>
      </c>
      <c r="D8" s="48" t="s">
        <v>552</v>
      </c>
      <c r="E8" s="48"/>
      <c r="F8" s="9" t="s">
        <v>5</v>
      </c>
      <c r="G8" s="9" t="s">
        <v>453</v>
      </c>
      <c r="H8" s="9" t="s">
        <v>553</v>
      </c>
      <c r="I8" s="7"/>
      <c r="J8" s="7"/>
      <c r="K8" s="7"/>
      <c r="L8" s="8"/>
      <c r="M8" s="31" t="s">
        <v>554</v>
      </c>
      <c r="N8" s="20" t="s">
        <v>555</v>
      </c>
      <c r="O8" s="19" t="s">
        <v>556</v>
      </c>
      <c r="P8" s="19">
        <f>AVERAGE(P9:P64)</f>
        <v>0.38430769230769241</v>
      </c>
      <c r="Q8" s="20" t="s">
        <v>557</v>
      </c>
    </row>
    <row r="9" spans="1:17" s="2" customFormat="1" ht="42" hidden="1" customHeight="1" x14ac:dyDescent="0.35">
      <c r="A9" s="681" t="s">
        <v>558</v>
      </c>
      <c r="B9" s="704">
        <v>1</v>
      </c>
      <c r="C9" s="706" t="s">
        <v>559</v>
      </c>
      <c r="D9" s="53"/>
      <c r="E9" s="53"/>
      <c r="F9" s="53"/>
      <c r="G9" s="53"/>
      <c r="H9" s="53"/>
      <c r="I9" s="26"/>
      <c r="J9" s="26"/>
      <c r="K9" s="26"/>
      <c r="L9" s="26"/>
      <c r="M9" s="708"/>
      <c r="N9" s="14"/>
      <c r="O9" s="18"/>
      <c r="P9" s="18"/>
      <c r="Q9" s="14"/>
    </row>
    <row r="10" spans="1:17" s="2" customFormat="1" ht="36" hidden="1" customHeight="1" x14ac:dyDescent="0.35">
      <c r="A10" s="703"/>
      <c r="B10" s="705"/>
      <c r="C10" s="707"/>
      <c r="D10" s="53"/>
      <c r="E10" s="53"/>
      <c r="F10" s="53"/>
      <c r="G10" s="53"/>
      <c r="H10" s="53"/>
      <c r="I10" s="24"/>
      <c r="J10" s="23"/>
      <c r="K10" s="23"/>
      <c r="L10" s="25"/>
      <c r="M10" s="709"/>
      <c r="N10" s="14">
        <v>4</v>
      </c>
      <c r="O10" s="18">
        <f>IF(N10=1,0)+IF(N10=2,0.333)+IF(N10=3,0.666)+IF(N10=4,100%)</f>
        <v>1</v>
      </c>
      <c r="P10" s="18">
        <f>O10*Q10/100</f>
        <v>1</v>
      </c>
      <c r="Q10" s="14">
        <v>100</v>
      </c>
    </row>
    <row r="11" spans="1:17" s="2" customFormat="1" ht="42" hidden="1" customHeight="1" x14ac:dyDescent="0.35">
      <c r="A11" s="65" t="s">
        <v>558</v>
      </c>
      <c r="B11" s="67">
        <v>2</v>
      </c>
      <c r="C11" s="573" t="s">
        <v>560</v>
      </c>
      <c r="D11" s="53"/>
      <c r="E11" s="53"/>
      <c r="F11" s="53"/>
      <c r="G11" s="53"/>
      <c r="H11" s="53"/>
      <c r="I11" s="21"/>
      <c r="J11" s="26"/>
      <c r="K11" s="26"/>
      <c r="L11" s="26"/>
      <c r="M11" s="708"/>
      <c r="N11" s="14"/>
      <c r="O11" s="18"/>
      <c r="P11" s="18"/>
      <c r="Q11" s="14"/>
    </row>
    <row r="12" spans="1:17" s="2" customFormat="1" ht="60.75" customHeight="1" x14ac:dyDescent="0.35">
      <c r="A12" s="65" t="s">
        <v>558</v>
      </c>
      <c r="B12" s="68">
        <v>3</v>
      </c>
      <c r="C12" s="573" t="s">
        <v>346</v>
      </c>
      <c r="D12" s="53" t="s">
        <v>561</v>
      </c>
      <c r="E12" s="53"/>
      <c r="F12" s="53" t="s">
        <v>562</v>
      </c>
      <c r="G12" s="53"/>
      <c r="H12" s="53" t="s">
        <v>563</v>
      </c>
      <c r="I12" s="70"/>
      <c r="J12" s="47"/>
      <c r="K12" s="47"/>
      <c r="L12" s="574"/>
      <c r="M12" s="710"/>
      <c r="N12" s="14"/>
      <c r="O12" s="18"/>
      <c r="P12" s="18"/>
      <c r="Q12" s="14"/>
    </row>
    <row r="13" spans="1:17" s="2" customFormat="1" ht="25" customHeight="1" x14ac:dyDescent="0.35">
      <c r="A13" s="6" t="s">
        <v>352</v>
      </c>
      <c r="B13" s="9"/>
      <c r="C13" s="10"/>
      <c r="D13" s="9"/>
      <c r="E13" s="9"/>
      <c r="F13" s="9"/>
      <c r="G13" s="9"/>
      <c r="H13" s="9"/>
      <c r="I13" s="7"/>
      <c r="J13" s="7"/>
      <c r="K13" s="7"/>
      <c r="L13" s="8"/>
      <c r="M13" s="31" t="s">
        <v>554</v>
      </c>
      <c r="N13" s="20" t="s">
        <v>555</v>
      </c>
      <c r="O13" s="19" t="s">
        <v>556</v>
      </c>
      <c r="P13" s="19">
        <f>AVERAGE(P14:P71)</f>
        <v>0.33300000000000007</v>
      </c>
      <c r="Q13" s="20" t="s">
        <v>557</v>
      </c>
    </row>
    <row r="14" spans="1:17" s="3" customFormat="1" ht="91.5" customHeight="1" x14ac:dyDescent="0.35">
      <c r="A14" s="570" t="s">
        <v>564</v>
      </c>
      <c r="B14" s="571">
        <v>4</v>
      </c>
      <c r="C14" s="50" t="s">
        <v>565</v>
      </c>
      <c r="D14" s="55" t="s">
        <v>566</v>
      </c>
      <c r="E14" s="55"/>
      <c r="F14" s="55" t="s">
        <v>567</v>
      </c>
      <c r="G14" s="55"/>
      <c r="H14" s="55" t="s">
        <v>568</v>
      </c>
      <c r="I14" s="567"/>
      <c r="J14" s="567"/>
      <c r="K14" s="567"/>
      <c r="L14" s="567"/>
      <c r="M14" s="49"/>
      <c r="N14" s="16"/>
      <c r="O14" s="37"/>
      <c r="P14" s="37"/>
      <c r="Q14" s="14"/>
    </row>
    <row r="15" spans="1:17" s="3" customFormat="1" ht="36" customHeight="1" x14ac:dyDescent="0.35">
      <c r="A15" s="681" t="s">
        <v>564</v>
      </c>
      <c r="B15" s="683">
        <v>5</v>
      </c>
      <c r="C15" s="685"/>
      <c r="D15" s="54"/>
      <c r="E15" s="54"/>
      <c r="F15" s="54"/>
      <c r="G15" s="54"/>
      <c r="H15" s="54"/>
      <c r="I15" s="567"/>
      <c r="J15" s="567"/>
      <c r="K15" s="567"/>
      <c r="L15" s="567"/>
      <c r="M15" s="687"/>
      <c r="N15" s="16"/>
      <c r="O15" s="16"/>
      <c r="P15" s="16"/>
      <c r="Q15" s="16"/>
    </row>
    <row r="16" spans="1:17" s="3" customFormat="1" ht="36" customHeight="1" x14ac:dyDescent="0.35">
      <c r="A16" s="682"/>
      <c r="B16" s="684"/>
      <c r="C16" s="686"/>
      <c r="D16" s="54"/>
      <c r="E16" s="54"/>
      <c r="F16" s="54"/>
      <c r="G16" s="54"/>
      <c r="H16" s="54"/>
      <c r="I16" s="22"/>
      <c r="J16" s="23"/>
      <c r="K16" s="23"/>
      <c r="L16" s="25"/>
      <c r="M16" s="688"/>
      <c r="N16" s="16">
        <v>2</v>
      </c>
      <c r="O16" s="18">
        <f>IF(N16=1,0)+IF(N16=2,0.333)+IF(N16=3,0.666)+IF(N16=4,100%)</f>
        <v>0.33300000000000002</v>
      </c>
      <c r="P16" s="18">
        <f>O16*Q16/100</f>
        <v>0.33300000000000002</v>
      </c>
      <c r="Q16" s="14">
        <v>100</v>
      </c>
    </row>
    <row r="17" spans="1:17" s="2" customFormat="1" ht="42" customHeight="1" x14ac:dyDescent="0.35">
      <c r="A17" s="681" t="s">
        <v>564</v>
      </c>
      <c r="B17" s="704">
        <v>6</v>
      </c>
      <c r="C17" s="685"/>
      <c r="D17" s="54"/>
      <c r="E17" s="54"/>
      <c r="F17" s="54"/>
      <c r="G17" s="54"/>
      <c r="H17" s="54"/>
      <c r="I17" s="26"/>
      <c r="J17" s="26"/>
      <c r="K17" s="26"/>
      <c r="L17" s="26"/>
      <c r="M17" s="708"/>
      <c r="N17" s="14"/>
      <c r="O17" s="18"/>
      <c r="P17" s="18"/>
      <c r="Q17" s="14"/>
    </row>
    <row r="18" spans="1:17" s="2" customFormat="1" ht="36" customHeight="1" x14ac:dyDescent="0.35">
      <c r="A18" s="682"/>
      <c r="B18" s="705"/>
      <c r="C18" s="686"/>
      <c r="D18" s="54"/>
      <c r="E18" s="54"/>
      <c r="F18" s="54"/>
      <c r="G18" s="54"/>
      <c r="H18" s="54"/>
      <c r="I18" s="22"/>
      <c r="J18" s="23"/>
      <c r="K18" s="23"/>
      <c r="L18" s="25"/>
      <c r="M18" s="709"/>
      <c r="N18" s="14">
        <v>2</v>
      </c>
      <c r="O18" s="18">
        <f>IF(N18=1,0)+IF(N18=2,0.333)+IF(N18=3,0.666)+IF(N18=4,100%)</f>
        <v>0.33300000000000002</v>
      </c>
      <c r="P18" s="18">
        <f>O18*Q18/100</f>
        <v>0.33300000000000002</v>
      </c>
      <c r="Q18" s="14">
        <v>100</v>
      </c>
    </row>
    <row r="19" spans="1:17" s="2" customFormat="1" ht="25" customHeight="1" x14ac:dyDescent="0.35">
      <c r="A19" s="6" t="s">
        <v>569</v>
      </c>
      <c r="B19" s="9"/>
      <c r="C19" s="10"/>
      <c r="D19" s="9"/>
      <c r="E19" s="9"/>
      <c r="F19" s="9"/>
      <c r="G19" s="9"/>
      <c r="H19" s="9"/>
      <c r="I19" s="7"/>
      <c r="J19" s="7"/>
      <c r="K19" s="7"/>
      <c r="L19" s="8"/>
      <c r="M19" s="31" t="s">
        <v>554</v>
      </c>
      <c r="N19" s="20" t="s">
        <v>555</v>
      </c>
      <c r="O19" s="19" t="s">
        <v>556</v>
      </c>
      <c r="P19" s="19">
        <f>AVERAGE(P20:P78)</f>
        <v>0.33300000000000002</v>
      </c>
      <c r="Q19" s="20" t="s">
        <v>557</v>
      </c>
    </row>
    <row r="20" spans="1:17" s="2" customFormat="1" ht="48.75" customHeight="1" x14ac:dyDescent="0.35">
      <c r="A20" s="681" t="s">
        <v>570</v>
      </c>
      <c r="B20" s="704">
        <v>7</v>
      </c>
      <c r="C20" s="685" t="s">
        <v>378</v>
      </c>
      <c r="D20" s="54" t="s">
        <v>571</v>
      </c>
      <c r="E20" s="54"/>
      <c r="F20" s="57" t="s">
        <v>572</v>
      </c>
      <c r="G20" s="57"/>
      <c r="H20" s="57" t="s">
        <v>573</v>
      </c>
      <c r="I20" s="573"/>
      <c r="J20" s="26"/>
      <c r="K20" s="26"/>
      <c r="L20" s="26"/>
      <c r="M20" s="708"/>
      <c r="N20" s="14"/>
      <c r="O20" s="18"/>
      <c r="P20" s="18"/>
      <c r="Q20" s="14"/>
    </row>
    <row r="21" spans="1:17" s="2" customFormat="1" ht="48.75" customHeight="1" x14ac:dyDescent="0.35">
      <c r="A21" s="682"/>
      <c r="B21" s="711"/>
      <c r="C21" s="712"/>
      <c r="D21" s="54" t="s">
        <v>571</v>
      </c>
      <c r="E21" s="54"/>
      <c r="F21" s="58" t="s">
        <v>574</v>
      </c>
      <c r="G21" s="58"/>
      <c r="H21" s="58"/>
      <c r="I21" s="47"/>
      <c r="J21" s="47"/>
      <c r="K21" s="47"/>
      <c r="L21" s="574"/>
      <c r="M21" s="710"/>
      <c r="N21" s="14"/>
      <c r="O21" s="18"/>
      <c r="P21" s="18"/>
      <c r="Q21" s="14"/>
    </row>
    <row r="22" spans="1:17" s="2" customFormat="1" ht="48.75" customHeight="1" x14ac:dyDescent="0.35">
      <c r="A22" s="682"/>
      <c r="B22" s="711"/>
      <c r="C22" s="712"/>
      <c r="D22" s="54" t="s">
        <v>561</v>
      </c>
      <c r="E22" s="54"/>
      <c r="F22" s="57" t="s">
        <v>575</v>
      </c>
      <c r="G22" s="57"/>
      <c r="H22" s="57" t="s">
        <v>576</v>
      </c>
      <c r="I22" s="47"/>
      <c r="J22" s="47"/>
      <c r="K22" s="47"/>
      <c r="L22" s="574"/>
      <c r="M22" s="710"/>
      <c r="N22" s="14"/>
      <c r="O22" s="18"/>
      <c r="P22" s="18"/>
      <c r="Q22" s="14"/>
    </row>
    <row r="23" spans="1:17" s="2" customFormat="1" ht="64.5" customHeight="1" x14ac:dyDescent="0.35">
      <c r="A23" s="682"/>
      <c r="B23" s="711"/>
      <c r="C23" s="712"/>
      <c r="D23" s="54" t="s">
        <v>571</v>
      </c>
      <c r="E23" s="54"/>
      <c r="F23" s="58" t="s">
        <v>577</v>
      </c>
      <c r="G23" s="58"/>
      <c r="H23" s="58"/>
      <c r="I23" s="47"/>
      <c r="J23" s="47"/>
      <c r="K23" s="47"/>
      <c r="L23" s="574"/>
      <c r="M23" s="710"/>
      <c r="N23" s="14"/>
      <c r="O23" s="18"/>
      <c r="P23" s="18"/>
      <c r="Q23" s="14"/>
    </row>
    <row r="24" spans="1:17" s="2" customFormat="1" ht="37.5" customHeight="1" x14ac:dyDescent="0.35">
      <c r="A24" s="681" t="s">
        <v>570</v>
      </c>
      <c r="B24" s="704">
        <v>8</v>
      </c>
      <c r="C24" s="685" t="s">
        <v>578</v>
      </c>
      <c r="D24" s="54" t="s">
        <v>571</v>
      </c>
      <c r="E24" s="54"/>
      <c r="F24" s="57" t="s">
        <v>579</v>
      </c>
      <c r="G24" s="57"/>
      <c r="H24" s="57" t="s">
        <v>580</v>
      </c>
      <c r="I24" s="573"/>
      <c r="J24" s="26"/>
      <c r="K24" s="26"/>
      <c r="L24" s="26"/>
      <c r="M24" s="708"/>
      <c r="N24" s="14"/>
      <c r="O24" s="18"/>
      <c r="P24" s="18"/>
      <c r="Q24" s="14"/>
    </row>
    <row r="25" spans="1:17" s="2" customFormat="1" ht="85.5" customHeight="1" x14ac:dyDescent="0.35">
      <c r="A25" s="682"/>
      <c r="B25" s="711"/>
      <c r="C25" s="712"/>
      <c r="D25" s="54" t="s">
        <v>571</v>
      </c>
      <c r="E25" s="54"/>
      <c r="F25" s="57" t="s">
        <v>581</v>
      </c>
      <c r="G25" s="57"/>
      <c r="H25" s="57" t="s">
        <v>582</v>
      </c>
      <c r="I25" s="47"/>
      <c r="J25" s="47"/>
      <c r="K25" s="47"/>
      <c r="L25" s="574"/>
      <c r="M25" s="710"/>
      <c r="N25" s="14"/>
      <c r="O25" s="18"/>
      <c r="P25" s="18"/>
      <c r="Q25" s="14"/>
    </row>
    <row r="26" spans="1:17" s="2" customFormat="1" ht="37.5" customHeight="1" x14ac:dyDescent="0.35">
      <c r="A26" s="682"/>
      <c r="B26" s="711"/>
      <c r="C26" s="712"/>
      <c r="D26" s="54" t="s">
        <v>571</v>
      </c>
      <c r="E26" s="54"/>
      <c r="F26" s="57" t="s">
        <v>583</v>
      </c>
      <c r="G26" s="57"/>
      <c r="H26" s="57" t="s">
        <v>584</v>
      </c>
      <c r="I26" s="47"/>
      <c r="J26" s="47"/>
      <c r="K26" s="47"/>
      <c r="L26" s="574"/>
      <c r="M26" s="710"/>
      <c r="N26" s="14"/>
      <c r="O26" s="18"/>
      <c r="P26" s="18"/>
      <c r="Q26" s="14"/>
    </row>
    <row r="27" spans="1:17" s="2" customFormat="1" ht="37.5" customHeight="1" x14ac:dyDescent="0.35">
      <c r="A27" s="682"/>
      <c r="B27" s="711"/>
      <c r="C27" s="712"/>
      <c r="D27" s="54" t="s">
        <v>571</v>
      </c>
      <c r="E27" s="54"/>
      <c r="F27" s="57" t="s">
        <v>585</v>
      </c>
      <c r="G27" s="57"/>
      <c r="H27" s="57" t="s">
        <v>586</v>
      </c>
      <c r="I27" s="47"/>
      <c r="J27" s="47"/>
      <c r="K27" s="47"/>
      <c r="L27" s="574"/>
      <c r="M27" s="710"/>
      <c r="N27" s="14"/>
      <c r="O27" s="18"/>
      <c r="P27" s="18"/>
      <c r="Q27" s="14"/>
    </row>
    <row r="28" spans="1:17" s="2" customFormat="1" ht="37.5" customHeight="1" x14ac:dyDescent="0.35">
      <c r="A28" s="682"/>
      <c r="B28" s="711"/>
      <c r="C28" s="712"/>
      <c r="D28" s="54" t="s">
        <v>571</v>
      </c>
      <c r="E28" s="54"/>
      <c r="F28" s="57" t="s">
        <v>587</v>
      </c>
      <c r="G28" s="57"/>
      <c r="H28" s="57" t="s">
        <v>586</v>
      </c>
      <c r="I28" s="47"/>
      <c r="J28" s="47"/>
      <c r="K28" s="47"/>
      <c r="L28" s="574"/>
      <c r="M28" s="710"/>
      <c r="N28" s="14"/>
      <c r="O28" s="18"/>
      <c r="P28" s="18"/>
      <c r="Q28" s="14"/>
    </row>
    <row r="29" spans="1:17" s="2" customFormat="1" ht="37.5" customHeight="1" x14ac:dyDescent="0.35">
      <c r="A29" s="682"/>
      <c r="B29" s="711"/>
      <c r="C29" s="712"/>
      <c r="D29" s="54" t="s">
        <v>571</v>
      </c>
      <c r="E29" s="54"/>
      <c r="F29" s="57" t="s">
        <v>588</v>
      </c>
      <c r="G29" s="57"/>
      <c r="H29" s="57" t="s">
        <v>589</v>
      </c>
      <c r="I29" s="47"/>
      <c r="J29" s="47"/>
      <c r="K29" s="47"/>
      <c r="L29" s="574"/>
      <c r="M29" s="710"/>
      <c r="N29" s="14"/>
      <c r="O29" s="18"/>
      <c r="P29" s="18"/>
      <c r="Q29" s="14"/>
    </row>
    <row r="30" spans="1:17" s="2" customFormat="1" ht="37.5" customHeight="1" x14ac:dyDescent="0.35">
      <c r="A30" s="682"/>
      <c r="B30" s="711"/>
      <c r="C30" s="712"/>
      <c r="D30" s="54" t="s">
        <v>571</v>
      </c>
      <c r="E30" s="54"/>
      <c r="F30" s="57" t="s">
        <v>590</v>
      </c>
      <c r="G30" s="57"/>
      <c r="H30" s="57" t="s">
        <v>591</v>
      </c>
      <c r="I30" s="47"/>
      <c r="J30" s="47"/>
      <c r="K30" s="47"/>
      <c r="L30" s="574"/>
      <c r="M30" s="710"/>
      <c r="N30" s="14"/>
      <c r="O30" s="18"/>
      <c r="P30" s="18"/>
      <c r="Q30" s="14"/>
    </row>
    <row r="31" spans="1:17" s="2" customFormat="1" ht="37.5" customHeight="1" x14ac:dyDescent="0.35">
      <c r="A31" s="682"/>
      <c r="B31" s="711"/>
      <c r="C31" s="712"/>
      <c r="D31" s="54" t="s">
        <v>571</v>
      </c>
      <c r="E31" s="54"/>
      <c r="F31" s="57" t="s">
        <v>592</v>
      </c>
      <c r="G31" s="57"/>
      <c r="H31" s="57" t="s">
        <v>593</v>
      </c>
      <c r="I31" s="47"/>
      <c r="J31" s="47"/>
      <c r="K31" s="47"/>
      <c r="L31" s="574"/>
      <c r="M31" s="710"/>
      <c r="N31" s="14"/>
      <c r="O31" s="18"/>
      <c r="P31" s="18"/>
      <c r="Q31" s="14"/>
    </row>
    <row r="32" spans="1:17" ht="120.75" customHeight="1" x14ac:dyDescent="0.3">
      <c r="A32" s="703"/>
      <c r="B32" s="711"/>
      <c r="C32" s="712"/>
      <c r="D32" s="54" t="s">
        <v>571</v>
      </c>
      <c r="E32" s="54"/>
      <c r="F32" s="57" t="s">
        <v>594</v>
      </c>
      <c r="G32" s="57"/>
      <c r="H32" s="57" t="s">
        <v>595</v>
      </c>
      <c r="I32" s="23"/>
      <c r="J32" s="23"/>
      <c r="K32" s="23"/>
      <c r="L32" s="25"/>
      <c r="M32" s="709"/>
      <c r="N32" s="14">
        <v>2</v>
      </c>
      <c r="O32" s="18">
        <f>IF(N32=1,0)+IF(N32=2,0.333)+IF(N32=3,0.666)+IF(N32=4,100%)</f>
        <v>0.33300000000000002</v>
      </c>
      <c r="P32" s="18">
        <f>O32*Q32/100</f>
        <v>0.33300000000000002</v>
      </c>
      <c r="Q32" s="14">
        <v>100</v>
      </c>
    </row>
    <row r="33" spans="1:17" s="2" customFormat="1" ht="69" customHeight="1" x14ac:dyDescent="0.35">
      <c r="A33" s="681" t="s">
        <v>570</v>
      </c>
      <c r="B33" s="704">
        <v>9</v>
      </c>
      <c r="C33" s="685" t="s">
        <v>596</v>
      </c>
      <c r="D33" s="54"/>
      <c r="E33" s="54"/>
      <c r="F33" s="713" t="s">
        <v>597</v>
      </c>
      <c r="G33" s="575"/>
      <c r="H33" s="575" t="s">
        <v>598</v>
      </c>
      <c r="I33" s="573"/>
      <c r="J33" s="26"/>
      <c r="K33" s="26"/>
      <c r="L33" s="26"/>
      <c r="M33" s="708"/>
      <c r="N33" s="14"/>
      <c r="O33" s="18"/>
      <c r="P33" s="18"/>
      <c r="Q33" s="14"/>
    </row>
    <row r="34" spans="1:17" s="2" customFormat="1" ht="69" customHeight="1" x14ac:dyDescent="0.35">
      <c r="A34" s="682"/>
      <c r="B34" s="711"/>
      <c r="C34" s="712"/>
      <c r="D34" s="54"/>
      <c r="E34" s="54"/>
      <c r="F34" s="713"/>
      <c r="G34" s="575"/>
      <c r="H34" s="575" t="s">
        <v>599</v>
      </c>
      <c r="I34" s="47"/>
      <c r="J34" s="47"/>
      <c r="K34" s="47"/>
      <c r="L34" s="574"/>
      <c r="M34" s="710"/>
      <c r="N34" s="14"/>
      <c r="O34" s="18"/>
      <c r="P34" s="18"/>
      <c r="Q34" s="14"/>
    </row>
    <row r="35" spans="1:17" s="2" customFormat="1" ht="69" customHeight="1" x14ac:dyDescent="0.35">
      <c r="A35" s="682"/>
      <c r="B35" s="711"/>
      <c r="C35" s="712"/>
      <c r="D35" s="54"/>
      <c r="E35" s="54"/>
      <c r="F35" s="59" t="s">
        <v>600</v>
      </c>
      <c r="G35" s="59"/>
      <c r="H35" s="59" t="s">
        <v>601</v>
      </c>
      <c r="I35" s="47"/>
      <c r="J35" s="47"/>
      <c r="K35" s="47"/>
      <c r="L35" s="574"/>
      <c r="M35" s="710"/>
      <c r="N35" s="14"/>
      <c r="O35" s="18"/>
      <c r="P35" s="18"/>
      <c r="Q35" s="14"/>
    </row>
    <row r="36" spans="1:17" s="2" customFormat="1" ht="69" customHeight="1" x14ac:dyDescent="0.35">
      <c r="A36" s="682"/>
      <c r="B36" s="711"/>
      <c r="C36" s="712"/>
      <c r="D36" s="54"/>
      <c r="E36" s="54"/>
      <c r="F36" s="57" t="s">
        <v>602</v>
      </c>
      <c r="G36" s="57"/>
      <c r="H36" s="57" t="s">
        <v>603</v>
      </c>
      <c r="I36" s="47"/>
      <c r="J36" s="47"/>
      <c r="K36" s="47"/>
      <c r="L36" s="574"/>
      <c r="M36" s="710"/>
      <c r="N36" s="14"/>
      <c r="O36" s="18"/>
      <c r="P36" s="18"/>
      <c r="Q36" s="14"/>
    </row>
    <row r="37" spans="1:17" s="2" customFormat="1" ht="69" customHeight="1" x14ac:dyDescent="0.35">
      <c r="A37" s="682"/>
      <c r="B37" s="711"/>
      <c r="C37" s="712"/>
      <c r="D37" s="54"/>
      <c r="E37" s="54"/>
      <c r="F37" s="60" t="s">
        <v>604</v>
      </c>
      <c r="G37" s="60"/>
      <c r="H37" s="59" t="s">
        <v>605</v>
      </c>
      <c r="I37" s="47"/>
      <c r="J37" s="47"/>
      <c r="K37" s="47"/>
      <c r="L37" s="574"/>
      <c r="M37" s="710"/>
      <c r="N37" s="14"/>
      <c r="O37" s="18"/>
      <c r="P37" s="18"/>
      <c r="Q37" s="14"/>
    </row>
    <row r="38" spans="1:17" ht="46.5" customHeight="1" x14ac:dyDescent="0.3">
      <c r="A38" s="703"/>
      <c r="B38" s="705"/>
      <c r="C38" s="686"/>
      <c r="D38" s="54"/>
      <c r="E38" s="54"/>
      <c r="F38" s="57" t="s">
        <v>606</v>
      </c>
      <c r="G38" s="57"/>
      <c r="H38" s="57" t="s">
        <v>605</v>
      </c>
      <c r="I38" s="23"/>
      <c r="J38" s="23"/>
      <c r="K38" s="23"/>
      <c r="L38" s="25"/>
      <c r="M38" s="709"/>
      <c r="N38" s="14">
        <v>2</v>
      </c>
      <c r="O38" s="18">
        <f>IF(N38=1,0)+IF(N38=2,0.333)+IF(N38=3,0.666)+IF(N38=4,100%)</f>
        <v>0.33300000000000002</v>
      </c>
      <c r="P38" s="18">
        <f>O38*Q38/100</f>
        <v>0.33300000000000002</v>
      </c>
      <c r="Q38" s="14">
        <v>100</v>
      </c>
    </row>
    <row r="39" spans="1:17" s="2" customFormat="1" ht="57" customHeight="1" x14ac:dyDescent="0.35">
      <c r="A39" s="681" t="s">
        <v>570</v>
      </c>
      <c r="B39" s="704">
        <v>10</v>
      </c>
      <c r="C39" s="685" t="s">
        <v>607</v>
      </c>
      <c r="D39" s="54"/>
      <c r="E39" s="54"/>
      <c r="F39" s="59" t="s">
        <v>608</v>
      </c>
      <c r="G39" s="59"/>
      <c r="H39" s="59" t="s">
        <v>609</v>
      </c>
      <c r="I39" s="573"/>
      <c r="J39" s="26"/>
      <c r="K39" s="26"/>
      <c r="L39" s="26"/>
      <c r="M39" s="708"/>
      <c r="N39" s="14"/>
      <c r="O39" s="18"/>
      <c r="P39" s="18"/>
      <c r="Q39" s="14"/>
    </row>
    <row r="40" spans="1:17" s="2" customFormat="1" ht="57" customHeight="1" x14ac:dyDescent="0.35">
      <c r="A40" s="682"/>
      <c r="B40" s="711"/>
      <c r="C40" s="712"/>
      <c r="D40" s="54"/>
      <c r="E40" s="54"/>
      <c r="F40" s="57" t="s">
        <v>610</v>
      </c>
      <c r="G40" s="57"/>
      <c r="H40" s="57" t="s">
        <v>611</v>
      </c>
      <c r="I40" s="47"/>
      <c r="J40" s="47"/>
      <c r="K40" s="47"/>
      <c r="L40" s="574"/>
      <c r="M40" s="710"/>
      <c r="N40" s="14"/>
      <c r="O40" s="18"/>
      <c r="P40" s="18"/>
      <c r="Q40" s="14"/>
    </row>
    <row r="41" spans="1:17" s="2" customFormat="1" ht="57" customHeight="1" x14ac:dyDescent="0.35">
      <c r="A41" s="682"/>
      <c r="B41" s="711"/>
      <c r="C41" s="712"/>
      <c r="D41" s="54"/>
      <c r="E41" s="54"/>
      <c r="F41" s="59" t="s">
        <v>612</v>
      </c>
      <c r="G41" s="59"/>
      <c r="H41" s="59" t="s">
        <v>613</v>
      </c>
      <c r="I41" s="47"/>
      <c r="J41" s="47"/>
      <c r="K41" s="47"/>
      <c r="L41" s="574"/>
      <c r="M41" s="710"/>
      <c r="N41" s="14"/>
      <c r="O41" s="18"/>
      <c r="P41" s="18"/>
      <c r="Q41" s="14"/>
    </row>
    <row r="42" spans="1:17" s="2" customFormat="1" ht="57" customHeight="1" x14ac:dyDescent="0.35">
      <c r="A42" s="682"/>
      <c r="B42" s="711"/>
      <c r="C42" s="712"/>
      <c r="D42" s="54"/>
      <c r="E42" s="54"/>
      <c r="F42" s="57" t="s">
        <v>614</v>
      </c>
      <c r="G42" s="57"/>
      <c r="H42" s="57" t="s">
        <v>615</v>
      </c>
      <c r="I42" s="47"/>
      <c r="J42" s="47"/>
      <c r="K42" s="47"/>
      <c r="L42" s="574"/>
      <c r="M42" s="710"/>
      <c r="N42" s="14"/>
      <c r="O42" s="18"/>
      <c r="P42" s="18"/>
      <c r="Q42" s="14"/>
    </row>
    <row r="43" spans="1:17" ht="45.75" customHeight="1" x14ac:dyDescent="0.3">
      <c r="A43" s="703"/>
      <c r="B43" s="705"/>
      <c r="C43" s="686"/>
      <c r="D43" s="54"/>
      <c r="E43" s="54"/>
      <c r="F43" s="59" t="s">
        <v>616</v>
      </c>
      <c r="G43" s="59"/>
      <c r="H43" s="59" t="s">
        <v>617</v>
      </c>
      <c r="I43" s="23"/>
      <c r="J43" s="23"/>
      <c r="K43" s="23"/>
      <c r="L43" s="25"/>
      <c r="M43" s="709"/>
      <c r="N43" s="14">
        <v>2</v>
      </c>
      <c r="O43" s="18">
        <f>IF(N43=1,0)+IF(N43=2,0.333)+IF(N43=3,0.666)+IF(N43=4,100%)</f>
        <v>0.33300000000000002</v>
      </c>
      <c r="P43" s="18">
        <f>O43*Q43/100</f>
        <v>0.33300000000000002</v>
      </c>
      <c r="Q43" s="14">
        <v>100</v>
      </c>
    </row>
    <row r="44" spans="1:17" s="2" customFormat="1" ht="57.75" customHeight="1" x14ac:dyDescent="0.35">
      <c r="A44" s="681" t="s">
        <v>570</v>
      </c>
      <c r="B44" s="704">
        <v>11</v>
      </c>
      <c r="C44" s="714" t="s">
        <v>23</v>
      </c>
      <c r="D44" s="54"/>
      <c r="E44" s="54"/>
      <c r="F44" s="57" t="s">
        <v>618</v>
      </c>
      <c r="G44" s="57"/>
      <c r="H44" s="61" t="s">
        <v>619</v>
      </c>
      <c r="I44" s="573"/>
      <c r="J44" s="26"/>
      <c r="K44" s="26"/>
      <c r="L44" s="26"/>
      <c r="M44" s="708"/>
      <c r="N44" s="14"/>
      <c r="O44" s="18"/>
      <c r="P44" s="18"/>
      <c r="Q44" s="14"/>
    </row>
    <row r="45" spans="1:17" s="2" customFormat="1" ht="46.5" customHeight="1" x14ac:dyDescent="0.35">
      <c r="A45" s="682"/>
      <c r="B45" s="711"/>
      <c r="C45" s="715"/>
      <c r="D45" s="54"/>
      <c r="E45" s="54"/>
      <c r="F45" s="60" t="s">
        <v>620</v>
      </c>
      <c r="G45" s="60"/>
      <c r="H45" s="60" t="s">
        <v>621</v>
      </c>
      <c r="I45" s="23"/>
      <c r="J45" s="23"/>
      <c r="K45" s="23"/>
      <c r="L45" s="25"/>
      <c r="M45" s="710"/>
      <c r="N45" s="14">
        <v>2</v>
      </c>
      <c r="O45" s="18">
        <f>IF(N45=1,0)+IF(N45=2,0.333)+IF(N45=3,0.666)+IF(N45=4,100%)</f>
        <v>0.33300000000000002</v>
      </c>
      <c r="P45" s="18">
        <f>O45*Q45/100</f>
        <v>0.33300000000000002</v>
      </c>
      <c r="Q45" s="14">
        <v>100</v>
      </c>
    </row>
    <row r="46" spans="1:17" s="2" customFormat="1" ht="46.5" customHeight="1" x14ac:dyDescent="0.35">
      <c r="A46" s="682" t="s">
        <v>622</v>
      </c>
      <c r="B46" s="711">
        <v>12</v>
      </c>
      <c r="C46" s="715" t="s">
        <v>477</v>
      </c>
      <c r="D46" s="717" t="s">
        <v>561</v>
      </c>
      <c r="E46" s="54"/>
      <c r="F46" s="719" t="s">
        <v>623</v>
      </c>
      <c r="G46" s="60" t="s">
        <v>39</v>
      </c>
      <c r="H46" s="60" t="s">
        <v>624</v>
      </c>
      <c r="I46" s="23"/>
      <c r="J46" s="23"/>
      <c r="K46" s="23"/>
      <c r="L46" s="25"/>
      <c r="M46" s="710"/>
      <c r="N46" s="14"/>
      <c r="O46" s="18"/>
      <c r="P46" s="18"/>
      <c r="Q46" s="14"/>
    </row>
    <row r="47" spans="1:17" s="2" customFormat="1" ht="46.5" customHeight="1" x14ac:dyDescent="0.35">
      <c r="A47" s="682"/>
      <c r="B47" s="711"/>
      <c r="C47" s="715"/>
      <c r="D47" s="718"/>
      <c r="E47" s="54"/>
      <c r="F47" s="720"/>
      <c r="G47" s="60" t="s">
        <v>61</v>
      </c>
      <c r="H47" s="60" t="s">
        <v>625</v>
      </c>
      <c r="I47" s="23"/>
      <c r="J47" s="23"/>
      <c r="K47" s="23"/>
      <c r="L47" s="25"/>
      <c r="M47" s="710"/>
      <c r="N47" s="14"/>
      <c r="O47" s="18"/>
      <c r="P47" s="18"/>
      <c r="Q47" s="14"/>
    </row>
    <row r="48" spans="1:17" s="2" customFormat="1" ht="46.5" customHeight="1" x14ac:dyDescent="0.35">
      <c r="A48" s="682"/>
      <c r="B48" s="711"/>
      <c r="C48" s="715"/>
      <c r="D48" s="717" t="s">
        <v>561</v>
      </c>
      <c r="E48" s="54"/>
      <c r="F48" s="62" t="s">
        <v>626</v>
      </c>
      <c r="G48" s="60"/>
      <c r="H48" s="69" t="s">
        <v>627</v>
      </c>
      <c r="I48" s="23"/>
      <c r="J48" s="23"/>
      <c r="K48" s="23"/>
      <c r="L48" s="25"/>
      <c r="M48" s="710"/>
      <c r="N48" s="14"/>
      <c r="O48" s="18"/>
      <c r="P48" s="18"/>
      <c r="Q48" s="14"/>
    </row>
    <row r="49" spans="1:17" s="2" customFormat="1" ht="74.25" customHeight="1" x14ac:dyDescent="0.35">
      <c r="A49" s="682"/>
      <c r="B49" s="711"/>
      <c r="C49" s="715"/>
      <c r="D49" s="718"/>
      <c r="E49" s="54"/>
      <c r="F49" s="62" t="s">
        <v>628</v>
      </c>
      <c r="G49" s="60"/>
      <c r="H49" s="62" t="s">
        <v>629</v>
      </c>
      <c r="I49" s="23"/>
      <c r="J49" s="23"/>
      <c r="K49" s="23"/>
      <c r="L49" s="25"/>
      <c r="M49" s="710"/>
      <c r="N49" s="14"/>
      <c r="O49" s="18"/>
      <c r="P49" s="18"/>
      <c r="Q49" s="14"/>
    </row>
    <row r="50" spans="1:17" s="2" customFormat="1" ht="46.5" customHeight="1" x14ac:dyDescent="0.35">
      <c r="A50" s="682"/>
      <c r="B50" s="711"/>
      <c r="C50" s="715"/>
      <c r="D50" s="54" t="s">
        <v>561</v>
      </c>
      <c r="E50" s="54"/>
      <c r="F50" s="62" t="s">
        <v>630</v>
      </c>
      <c r="G50" s="60"/>
      <c r="H50" s="62" t="s">
        <v>631</v>
      </c>
      <c r="I50" s="23"/>
      <c r="J50" s="23"/>
      <c r="K50" s="23"/>
      <c r="L50" s="25"/>
      <c r="M50" s="710"/>
      <c r="N50" s="14"/>
      <c r="O50" s="18"/>
      <c r="P50" s="18"/>
      <c r="Q50" s="14"/>
    </row>
    <row r="51" spans="1:17" s="2" customFormat="1" ht="46.5" customHeight="1" x14ac:dyDescent="0.35">
      <c r="A51" s="682"/>
      <c r="B51" s="711"/>
      <c r="C51" s="715"/>
      <c r="D51" s="54" t="s">
        <v>561</v>
      </c>
      <c r="E51" s="54"/>
      <c r="F51" s="62" t="s">
        <v>632</v>
      </c>
      <c r="G51" s="60"/>
      <c r="H51" s="62" t="s">
        <v>633</v>
      </c>
      <c r="I51" s="23"/>
      <c r="J51" s="23"/>
      <c r="K51" s="23"/>
      <c r="L51" s="25"/>
      <c r="M51" s="710"/>
      <c r="N51" s="14"/>
      <c r="O51" s="18"/>
      <c r="P51" s="18"/>
      <c r="Q51" s="14"/>
    </row>
    <row r="52" spans="1:17" s="2" customFormat="1" ht="46.5" customHeight="1" x14ac:dyDescent="0.35">
      <c r="A52" s="682"/>
      <c r="B52" s="711"/>
      <c r="C52" s="715"/>
      <c r="D52" s="54" t="s">
        <v>634</v>
      </c>
      <c r="E52" s="54"/>
      <c r="F52" s="62" t="s">
        <v>635</v>
      </c>
      <c r="G52" s="60"/>
      <c r="H52" s="62" t="s">
        <v>636</v>
      </c>
      <c r="I52" s="23"/>
      <c r="J52" s="23"/>
      <c r="K52" s="23"/>
      <c r="L52" s="25"/>
      <c r="M52" s="710"/>
      <c r="N52" s="14"/>
      <c r="O52" s="18"/>
      <c r="P52" s="18"/>
      <c r="Q52" s="14"/>
    </row>
    <row r="53" spans="1:17" s="2" customFormat="1" ht="46.5" customHeight="1" x14ac:dyDescent="0.35">
      <c r="A53" s="682"/>
      <c r="B53" s="711"/>
      <c r="C53" s="715"/>
      <c r="D53" s="54" t="s">
        <v>561</v>
      </c>
      <c r="E53" s="54"/>
      <c r="F53" s="62" t="s">
        <v>637</v>
      </c>
      <c r="G53" s="60"/>
      <c r="H53" s="62" t="s">
        <v>638</v>
      </c>
      <c r="I53" s="23"/>
      <c r="J53" s="23"/>
      <c r="K53" s="23"/>
      <c r="L53" s="25"/>
      <c r="M53" s="710"/>
      <c r="N53" s="14"/>
      <c r="O53" s="18"/>
      <c r="P53" s="18"/>
      <c r="Q53" s="14"/>
    </row>
    <row r="54" spans="1:17" s="2" customFormat="1" ht="46.5" customHeight="1" x14ac:dyDescent="0.35">
      <c r="A54" s="682"/>
      <c r="B54" s="711"/>
      <c r="C54" s="715"/>
      <c r="D54" s="54" t="s">
        <v>571</v>
      </c>
      <c r="E54" s="54"/>
      <c r="F54" s="62" t="s">
        <v>639</v>
      </c>
      <c r="G54" s="60"/>
      <c r="H54" s="62" t="s">
        <v>640</v>
      </c>
      <c r="I54" s="23"/>
      <c r="J54" s="23"/>
      <c r="K54" s="23"/>
      <c r="L54" s="25"/>
      <c r="M54" s="710"/>
      <c r="N54" s="14"/>
      <c r="O54" s="18"/>
      <c r="P54" s="18"/>
      <c r="Q54" s="14"/>
    </row>
    <row r="55" spans="1:17" s="2" customFormat="1" ht="46.5" customHeight="1" x14ac:dyDescent="0.35">
      <c r="A55" s="682"/>
      <c r="B55" s="711"/>
      <c r="C55" s="715"/>
      <c r="D55" s="54" t="s">
        <v>561</v>
      </c>
      <c r="E55" s="54"/>
      <c r="F55" s="62" t="s">
        <v>641</v>
      </c>
      <c r="G55" s="60"/>
      <c r="H55" s="62" t="s">
        <v>642</v>
      </c>
      <c r="I55" s="23"/>
      <c r="J55" s="23"/>
      <c r="K55" s="23"/>
      <c r="L55" s="25"/>
      <c r="M55" s="710"/>
      <c r="N55" s="14"/>
      <c r="O55" s="18"/>
      <c r="P55" s="18"/>
      <c r="Q55" s="14"/>
    </row>
    <row r="56" spans="1:17" s="2" customFormat="1" ht="46.5" customHeight="1" x14ac:dyDescent="0.35">
      <c r="A56" s="682"/>
      <c r="B56" s="711"/>
      <c r="C56" s="715"/>
      <c r="D56" s="54" t="s">
        <v>571</v>
      </c>
      <c r="E56" s="54"/>
      <c r="F56" s="62" t="s">
        <v>643</v>
      </c>
      <c r="G56" s="60"/>
      <c r="H56" s="62" t="s">
        <v>644</v>
      </c>
      <c r="I56" s="23"/>
      <c r="J56" s="23"/>
      <c r="K56" s="23"/>
      <c r="L56" s="25"/>
      <c r="M56" s="710"/>
      <c r="N56" s="14"/>
      <c r="O56" s="18"/>
      <c r="P56" s="18"/>
      <c r="Q56" s="14"/>
    </row>
    <row r="57" spans="1:17" s="2" customFormat="1" ht="62.25" customHeight="1" x14ac:dyDescent="0.35">
      <c r="A57" s="703"/>
      <c r="B57" s="705"/>
      <c r="C57" s="716"/>
      <c r="D57" s="54" t="s">
        <v>561</v>
      </c>
      <c r="E57" s="54"/>
      <c r="F57" s="62" t="s">
        <v>645</v>
      </c>
      <c r="G57" s="60"/>
      <c r="H57" s="62" t="s">
        <v>646</v>
      </c>
      <c r="I57" s="23"/>
      <c r="J57" s="23"/>
      <c r="K57" s="23"/>
      <c r="L57" s="25"/>
      <c r="M57" s="709"/>
      <c r="N57" s="14">
        <v>2</v>
      </c>
      <c r="O57" s="18">
        <f>IF(N57=1,0)+IF(N57=2,0.333)+IF(N57=3,0.666)+IF(N57=4,100%)</f>
        <v>0.33300000000000002</v>
      </c>
      <c r="P57" s="18">
        <f>O57*Q57/100</f>
        <v>0.33300000000000002</v>
      </c>
      <c r="Q57" s="14">
        <v>100</v>
      </c>
    </row>
    <row r="58" spans="1:17" s="2" customFormat="1" ht="25" customHeight="1" x14ac:dyDescent="0.35">
      <c r="A58" s="6" t="s">
        <v>487</v>
      </c>
      <c r="B58" s="9"/>
      <c r="C58" s="10"/>
      <c r="D58" s="56"/>
      <c r="E58" s="56"/>
      <c r="F58" s="56"/>
      <c r="G58" s="56"/>
      <c r="H58" s="56"/>
      <c r="I58" s="7"/>
      <c r="J58" s="7"/>
      <c r="K58" s="7"/>
      <c r="L58" s="8"/>
      <c r="M58" s="31" t="s">
        <v>554</v>
      </c>
      <c r="N58" s="20" t="s">
        <v>555</v>
      </c>
      <c r="O58" s="19" t="s">
        <v>556</v>
      </c>
      <c r="P58" s="19">
        <f>AVERAGE(P59:P89)</f>
        <v>0.33300000000000002</v>
      </c>
      <c r="Q58" s="20" t="s">
        <v>557</v>
      </c>
    </row>
    <row r="59" spans="1:17" s="3" customFormat="1" ht="51.75" customHeight="1" x14ac:dyDescent="0.35">
      <c r="A59" s="681" t="s">
        <v>647</v>
      </c>
      <c r="B59" s="683">
        <v>12</v>
      </c>
      <c r="C59" s="729" t="s">
        <v>648</v>
      </c>
      <c r="D59" s="62" t="s">
        <v>649</v>
      </c>
      <c r="E59" s="569"/>
      <c r="F59" s="63" t="s">
        <v>650</v>
      </c>
      <c r="G59" s="62"/>
      <c r="H59" s="62"/>
      <c r="I59" s="724"/>
      <c r="J59" s="724"/>
      <c r="K59" s="567"/>
      <c r="L59" s="567"/>
      <c r="M59" s="721"/>
      <c r="N59" s="16"/>
      <c r="O59" s="37"/>
      <c r="P59" s="37"/>
      <c r="Q59" s="14"/>
    </row>
    <row r="60" spans="1:17" s="3" customFormat="1" ht="40" customHeight="1" x14ac:dyDescent="0.35">
      <c r="A60" s="682"/>
      <c r="B60" s="728"/>
      <c r="C60" s="730"/>
      <c r="D60" s="62" t="s">
        <v>651</v>
      </c>
      <c r="E60" s="62"/>
      <c r="F60" s="62" t="s">
        <v>652</v>
      </c>
      <c r="G60" s="62"/>
      <c r="H60" s="62" t="s">
        <v>653</v>
      </c>
      <c r="I60" s="731"/>
      <c r="J60" s="731"/>
      <c r="K60" s="572"/>
      <c r="L60" s="572"/>
      <c r="M60" s="722"/>
      <c r="N60" s="16"/>
      <c r="O60" s="37"/>
      <c r="P60" s="37"/>
      <c r="Q60" s="14"/>
    </row>
    <row r="61" spans="1:17" s="3" customFormat="1" ht="36" customHeight="1" x14ac:dyDescent="0.35">
      <c r="A61" s="682"/>
      <c r="B61" s="728"/>
      <c r="C61" s="730"/>
      <c r="D61" s="62" t="s">
        <v>651</v>
      </c>
      <c r="E61" s="62"/>
      <c r="F61" s="62" t="s">
        <v>654</v>
      </c>
      <c r="G61" s="62"/>
      <c r="H61" s="62" t="s">
        <v>655</v>
      </c>
      <c r="I61" s="22"/>
      <c r="J61" s="23"/>
      <c r="K61" s="23"/>
      <c r="L61" s="25"/>
      <c r="M61" s="723"/>
      <c r="N61" s="14">
        <v>2</v>
      </c>
      <c r="O61" s="18">
        <f>IF(N61=1,0)+IF(N61=2,0.333)+IF(N61=3,0.666)+IF(N61=4,100%)</f>
        <v>0.33300000000000002</v>
      </c>
      <c r="P61" s="18">
        <f>O61*Q61/100</f>
        <v>0.33300000000000002</v>
      </c>
      <c r="Q61" s="14">
        <v>100</v>
      </c>
    </row>
    <row r="62" spans="1:17" s="3" customFormat="1" ht="30" customHeight="1" x14ac:dyDescent="0.35">
      <c r="A62" s="682"/>
      <c r="B62" s="728"/>
      <c r="C62" s="730"/>
      <c r="D62" s="62" t="s">
        <v>651</v>
      </c>
      <c r="E62" s="55"/>
      <c r="F62" s="62" t="s">
        <v>656</v>
      </c>
      <c r="G62" s="62"/>
      <c r="H62" s="62" t="s">
        <v>657</v>
      </c>
      <c r="I62" s="724"/>
      <c r="J62" s="726"/>
      <c r="K62" s="567"/>
      <c r="L62" s="567"/>
      <c r="M62" s="721"/>
      <c r="N62" s="14"/>
      <c r="O62" s="18"/>
      <c r="P62" s="18"/>
      <c r="Q62" s="14"/>
    </row>
    <row r="63" spans="1:17" s="3" customFormat="1" ht="39.75" customHeight="1" x14ac:dyDescent="0.35">
      <c r="A63" s="682"/>
      <c r="B63" s="728"/>
      <c r="C63" s="730"/>
      <c r="D63" s="62" t="s">
        <v>651</v>
      </c>
      <c r="E63" s="55"/>
      <c r="F63" s="55" t="s">
        <v>658</v>
      </c>
      <c r="G63" s="55"/>
      <c r="H63" s="55" t="s">
        <v>659</v>
      </c>
      <c r="I63" s="725"/>
      <c r="J63" s="727"/>
      <c r="K63" s="568"/>
      <c r="L63" s="568"/>
      <c r="M63" s="722"/>
      <c r="N63" s="16"/>
      <c r="O63" s="37"/>
      <c r="P63" s="37"/>
      <c r="Q63" s="14"/>
    </row>
    <row r="64" spans="1:17" s="3" customFormat="1" ht="36" customHeight="1" x14ac:dyDescent="0.35">
      <c r="A64" s="66"/>
      <c r="B64" s="64"/>
      <c r="C64" s="51"/>
      <c r="D64" s="55"/>
      <c r="E64" s="55"/>
      <c r="F64" s="55"/>
      <c r="G64" s="55"/>
      <c r="H64" s="55"/>
      <c r="I64" s="22"/>
      <c r="J64" s="23"/>
      <c r="K64" s="23"/>
      <c r="L64" s="25"/>
      <c r="M64" s="723"/>
      <c r="N64" s="14">
        <v>2</v>
      </c>
      <c r="O64" s="18">
        <f>IF(N64=1,0)+IF(N64=2,0.333)+IF(N64=3,0.666)+IF(N64=4,100%)</f>
        <v>0.33300000000000002</v>
      </c>
      <c r="P64" s="18">
        <f>O64*Q64/100</f>
        <v>0.33300000000000002</v>
      </c>
      <c r="Q64" s="14">
        <v>100</v>
      </c>
    </row>
  </sheetData>
  <customSheetViews>
    <customSheetView guid="{59B363CD-3DDC-B04B-9DA2-AD720BF8C467}" hiddenRows="1" state="hidden" topLeftCell="A33">
      <pageMargins left="0" right="0" top="0" bottom="0" header="0" footer="0"/>
    </customSheetView>
    <customSheetView guid="{C2C56F38-527D-46F3-8E7F-3C5092082195}" hiddenRows="1" state="hidden" topLeftCell="A33">
      <pageMargins left="0" right="0" top="0" bottom="0" header="0" footer="0"/>
    </customSheetView>
  </customSheetViews>
  <mergeCells count="56">
    <mergeCell ref="M59:M61"/>
    <mergeCell ref="I62:I63"/>
    <mergeCell ref="J62:J63"/>
    <mergeCell ref="M62:M64"/>
    <mergeCell ref="A59:A63"/>
    <mergeCell ref="B59:B63"/>
    <mergeCell ref="C59:C63"/>
    <mergeCell ref="I59:I60"/>
    <mergeCell ref="J59:J60"/>
    <mergeCell ref="A39:A43"/>
    <mergeCell ref="B39:B43"/>
    <mergeCell ref="C39:C43"/>
    <mergeCell ref="M39:M43"/>
    <mergeCell ref="A44:A45"/>
    <mergeCell ref="B44:B45"/>
    <mergeCell ref="C44:C45"/>
    <mergeCell ref="M44:M57"/>
    <mergeCell ref="A46:A57"/>
    <mergeCell ref="B46:B57"/>
    <mergeCell ref="C46:C57"/>
    <mergeCell ref="D46:D47"/>
    <mergeCell ref="F46:F47"/>
    <mergeCell ref="D48:D49"/>
    <mergeCell ref="A24:A32"/>
    <mergeCell ref="B24:B32"/>
    <mergeCell ref="C24:C32"/>
    <mergeCell ref="M24:M32"/>
    <mergeCell ref="A33:A38"/>
    <mergeCell ref="B33:B38"/>
    <mergeCell ref="C33:C38"/>
    <mergeCell ref="F33:F34"/>
    <mergeCell ref="M33:M38"/>
    <mergeCell ref="A17:A18"/>
    <mergeCell ref="B17:B18"/>
    <mergeCell ref="C17:C18"/>
    <mergeCell ref="M17:M18"/>
    <mergeCell ref="A20:A23"/>
    <mergeCell ref="B20:B23"/>
    <mergeCell ref="C20:C23"/>
    <mergeCell ref="M20:M23"/>
    <mergeCell ref="A15:A16"/>
    <mergeCell ref="B15:B16"/>
    <mergeCell ref="C15:C16"/>
    <mergeCell ref="M15:M16"/>
    <mergeCell ref="A2:L4"/>
    <mergeCell ref="B5:C5"/>
    <mergeCell ref="B6:C6"/>
    <mergeCell ref="I6:I7"/>
    <mergeCell ref="J6:J7"/>
    <mergeCell ref="K6:K7"/>
    <mergeCell ref="L6:L7"/>
    <mergeCell ref="A9:A10"/>
    <mergeCell ref="B9:B10"/>
    <mergeCell ref="C9:C10"/>
    <mergeCell ref="M9:M10"/>
    <mergeCell ref="M11:M12"/>
  </mergeCells>
  <pageMargins left="0.75" right="0.75" top="1" bottom="1" header="0.5" footer="0.5"/>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selection activeCell="N24" sqref="N24"/>
    </sheetView>
  </sheetViews>
  <sheetFormatPr defaultColWidth="8.81640625" defaultRowHeight="14.5" x14ac:dyDescent="0.35"/>
  <sheetData>
    <row r="1" spans="1:2" x14ac:dyDescent="0.35">
      <c r="A1" t="s">
        <v>660</v>
      </c>
    </row>
    <row r="2" spans="1:2" x14ac:dyDescent="0.35">
      <c r="A2" t="s">
        <v>661</v>
      </c>
    </row>
    <row r="3" spans="1:2" x14ac:dyDescent="0.35">
      <c r="A3" t="s">
        <v>662</v>
      </c>
    </row>
    <row r="4" spans="1:2" x14ac:dyDescent="0.35">
      <c r="A4" t="s">
        <v>663</v>
      </c>
    </row>
    <row r="5" spans="1:2" x14ac:dyDescent="0.35">
      <c r="A5" t="s">
        <v>664</v>
      </c>
    </row>
    <row r="6" spans="1:2" x14ac:dyDescent="0.35">
      <c r="A6" t="s">
        <v>665</v>
      </c>
    </row>
    <row r="7" spans="1:2" x14ac:dyDescent="0.35">
      <c r="A7" t="s">
        <v>666</v>
      </c>
    </row>
    <row r="8" spans="1:2" x14ac:dyDescent="0.35">
      <c r="A8" t="s">
        <v>667</v>
      </c>
    </row>
    <row r="10" spans="1:2" x14ac:dyDescent="0.35">
      <c r="A10" s="11" t="s">
        <v>668</v>
      </c>
      <c r="B10" t="s">
        <v>669</v>
      </c>
    </row>
    <row r="11" spans="1:2" x14ac:dyDescent="0.35">
      <c r="A11" s="12" t="s">
        <v>670</v>
      </c>
      <c r="B11" t="s">
        <v>671</v>
      </c>
    </row>
    <row r="12" spans="1:2" x14ac:dyDescent="0.35">
      <c r="A12" t="s">
        <v>672</v>
      </c>
      <c r="B12" t="s">
        <v>673</v>
      </c>
    </row>
    <row r="13" spans="1:2" x14ac:dyDescent="0.35">
      <c r="A13" s="13" t="s">
        <v>674</v>
      </c>
      <c r="B13" t="s">
        <v>675</v>
      </c>
    </row>
  </sheetData>
  <customSheetViews>
    <customSheetView guid="{59B363CD-3DDC-B04B-9DA2-AD720BF8C467}" state="hidden">
      <selection activeCell="N24" sqref="N24"/>
      <pageMargins left="0" right="0" top="0" bottom="0" header="0" footer="0"/>
      <pageSetup orientation="portrait"/>
    </customSheetView>
    <customSheetView guid="{C2C56F38-527D-46F3-8E7F-3C5092082195}" state="hidden">
      <selection activeCell="N24" sqref="N24"/>
      <pageMargins left="0" right="0" top="0" bottom="0" header="0" footer="0"/>
      <pageSetup orientation="portrait"/>
    </customSheetView>
  </customSheetViews>
  <pageMargins left="0.75" right="0.75" top="1" bottom="1" header="0.5" footer="0.5"/>
  <pageSetup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J137"/>
  <sheetViews>
    <sheetView zoomScale="80" zoomScaleNormal="80" zoomScalePageLayoutView="80" workbookViewId="0">
      <pane xSplit="1" ySplit="1" topLeftCell="C6" activePane="bottomRight" state="frozenSplit"/>
      <selection pane="topRight" activeCell="B1" sqref="B1"/>
      <selection pane="bottomLeft" activeCell="A2" sqref="A2"/>
      <selection pane="bottomRight" activeCell="I14" sqref="I14:I15"/>
    </sheetView>
  </sheetViews>
  <sheetFormatPr defaultColWidth="9.1796875" defaultRowHeight="13" x14ac:dyDescent="0.3"/>
  <cols>
    <col min="1" max="1" width="9.81640625" style="94" customWidth="1"/>
    <col min="2" max="3" width="18.453125" style="102" customWidth="1"/>
    <col min="4" max="4" width="23.1796875" style="102" customWidth="1"/>
    <col min="5" max="5" width="15.453125" style="102" customWidth="1"/>
    <col min="6" max="6" width="58.81640625" style="94" customWidth="1"/>
    <col min="7" max="7" width="11.453125" style="94" customWidth="1"/>
    <col min="8" max="8" width="15.81640625" style="94" customWidth="1"/>
    <col min="9" max="9" width="91.453125" style="94" customWidth="1"/>
    <col min="10" max="10" width="27" style="94" customWidth="1"/>
    <col min="11" max="16384" width="9.1796875" style="94"/>
  </cols>
  <sheetData>
    <row r="1" spans="1:10" ht="46.5" x14ac:dyDescent="0.3">
      <c r="A1" s="95" t="s">
        <v>5</v>
      </c>
      <c r="B1" s="101" t="s">
        <v>342</v>
      </c>
      <c r="C1" s="99" t="s">
        <v>676</v>
      </c>
      <c r="D1" s="99" t="s">
        <v>677</v>
      </c>
      <c r="E1" s="101" t="s">
        <v>9</v>
      </c>
      <c r="F1" s="96" t="s">
        <v>10</v>
      </c>
      <c r="G1" s="95" t="s">
        <v>11</v>
      </c>
      <c r="H1" s="95" t="s">
        <v>12</v>
      </c>
      <c r="I1" s="96" t="s">
        <v>13</v>
      </c>
      <c r="J1" s="82" t="s">
        <v>14</v>
      </c>
    </row>
    <row r="2" spans="1:10" s="76" customFormat="1" ht="73.5" customHeight="1" x14ac:dyDescent="0.35">
      <c r="A2" s="177"/>
      <c r="B2" s="178" t="s">
        <v>15</v>
      </c>
      <c r="C2" s="178"/>
      <c r="D2" s="178"/>
      <c r="E2" s="179"/>
      <c r="F2" s="177"/>
      <c r="G2" s="177"/>
      <c r="H2" s="177"/>
      <c r="I2" s="177"/>
      <c r="J2" s="80"/>
    </row>
    <row r="3" spans="1:10" s="76" customFormat="1" ht="24" customHeight="1" x14ac:dyDescent="0.35">
      <c r="A3" s="678">
        <v>1</v>
      </c>
      <c r="B3" s="732" t="s">
        <v>559</v>
      </c>
      <c r="C3" s="580" t="s">
        <v>16</v>
      </c>
      <c r="D3" s="580" t="s">
        <v>678</v>
      </c>
      <c r="E3" s="734" t="s">
        <v>679</v>
      </c>
      <c r="F3" s="732" t="s">
        <v>680</v>
      </c>
      <c r="G3" s="579"/>
      <c r="H3" s="180" t="s">
        <v>20</v>
      </c>
      <c r="I3" s="580">
        <v>1</v>
      </c>
      <c r="J3" s="580"/>
    </row>
    <row r="4" spans="1:10" s="76" customFormat="1" ht="25.5" customHeight="1" x14ac:dyDescent="0.35">
      <c r="A4" s="678"/>
      <c r="B4" s="732"/>
      <c r="C4" s="580" t="s">
        <v>16</v>
      </c>
      <c r="D4" s="580" t="s">
        <v>678</v>
      </c>
      <c r="E4" s="734"/>
      <c r="F4" s="732"/>
      <c r="G4" s="579"/>
      <c r="H4" s="180" t="s">
        <v>20</v>
      </c>
      <c r="I4" s="580">
        <v>2</v>
      </c>
      <c r="J4" s="580"/>
    </row>
    <row r="5" spans="1:10" s="76" customFormat="1" ht="22.5" customHeight="1" x14ac:dyDescent="0.35">
      <c r="A5" s="678"/>
      <c r="B5" s="732"/>
      <c r="C5" s="580" t="s">
        <v>16</v>
      </c>
      <c r="D5" s="580" t="s">
        <v>678</v>
      </c>
      <c r="E5" s="734"/>
      <c r="F5" s="732"/>
      <c r="G5" s="579"/>
      <c r="H5" s="180" t="s">
        <v>20</v>
      </c>
      <c r="I5" s="580">
        <v>3</v>
      </c>
      <c r="J5" s="580"/>
    </row>
    <row r="6" spans="1:10" s="76" customFormat="1" ht="22.5" customHeight="1" x14ac:dyDescent="0.35">
      <c r="A6" s="678"/>
      <c r="B6" s="732"/>
      <c r="C6" s="580" t="s">
        <v>16</v>
      </c>
      <c r="D6" s="580" t="s">
        <v>678</v>
      </c>
      <c r="E6" s="734"/>
      <c r="F6" s="732"/>
      <c r="G6" s="579"/>
      <c r="H6" s="180" t="s">
        <v>20</v>
      </c>
      <c r="I6" s="580">
        <v>4</v>
      </c>
      <c r="J6" s="580"/>
    </row>
    <row r="7" spans="1:10" s="76" customFormat="1" ht="21" customHeight="1" x14ac:dyDescent="0.35">
      <c r="A7" s="678"/>
      <c r="B7" s="732"/>
      <c r="C7" s="580" t="s">
        <v>16</v>
      </c>
      <c r="D7" s="580" t="s">
        <v>678</v>
      </c>
      <c r="E7" s="734"/>
      <c r="F7" s="732"/>
      <c r="G7" s="579"/>
      <c r="H7" s="180" t="s">
        <v>20</v>
      </c>
      <c r="I7" s="580">
        <v>5</v>
      </c>
      <c r="J7" s="580"/>
    </row>
    <row r="8" spans="1:10" s="76" customFormat="1" ht="21" customHeight="1" x14ac:dyDescent="0.35">
      <c r="A8" s="678"/>
      <c r="B8" s="732"/>
      <c r="C8" s="580" t="s">
        <v>16</v>
      </c>
      <c r="D8" s="580" t="s">
        <v>678</v>
      </c>
      <c r="E8" s="734"/>
      <c r="F8" s="732"/>
      <c r="G8" s="579"/>
      <c r="H8" s="180" t="s">
        <v>20</v>
      </c>
      <c r="I8" s="580">
        <v>6</v>
      </c>
      <c r="J8" s="580"/>
    </row>
    <row r="9" spans="1:10" s="76" customFormat="1" ht="21.75" customHeight="1" x14ac:dyDescent="0.35">
      <c r="A9" s="678"/>
      <c r="B9" s="732"/>
      <c r="C9" s="580" t="s">
        <v>16</v>
      </c>
      <c r="D9" s="580" t="s">
        <v>678</v>
      </c>
      <c r="E9" s="734"/>
      <c r="F9" s="732"/>
      <c r="G9" s="579"/>
      <c r="H9" s="180" t="s">
        <v>20</v>
      </c>
      <c r="I9" s="580">
        <v>7</v>
      </c>
      <c r="J9" s="580"/>
    </row>
    <row r="10" spans="1:10" s="73" customFormat="1" ht="51.75" customHeight="1" x14ac:dyDescent="0.35">
      <c r="A10" s="678">
        <v>1</v>
      </c>
      <c r="B10" s="619" t="s">
        <v>346</v>
      </c>
      <c r="C10" s="580" t="s">
        <v>16</v>
      </c>
      <c r="D10" s="580" t="s">
        <v>678</v>
      </c>
      <c r="E10" s="580" t="s">
        <v>31</v>
      </c>
      <c r="F10" s="580" t="s">
        <v>681</v>
      </c>
      <c r="G10" s="580" t="s">
        <v>33</v>
      </c>
      <c r="H10" s="183" t="s">
        <v>20</v>
      </c>
      <c r="I10" s="181" t="s">
        <v>682</v>
      </c>
      <c r="J10" s="580"/>
    </row>
    <row r="11" spans="1:10" s="76" customFormat="1" ht="25.5" customHeight="1" x14ac:dyDescent="0.35">
      <c r="A11" s="678"/>
      <c r="B11" s="617"/>
      <c r="C11" s="580" t="s">
        <v>16</v>
      </c>
      <c r="D11" s="580" t="s">
        <v>678</v>
      </c>
      <c r="E11" s="580" t="s">
        <v>31</v>
      </c>
      <c r="F11" s="580" t="s">
        <v>681</v>
      </c>
      <c r="G11" s="580" t="s">
        <v>19</v>
      </c>
      <c r="H11" s="180" t="s">
        <v>20</v>
      </c>
      <c r="I11" s="181" t="s">
        <v>47</v>
      </c>
      <c r="J11" s="580"/>
    </row>
    <row r="12" spans="1:10" s="76" customFormat="1" ht="24.75" customHeight="1" x14ac:dyDescent="0.35">
      <c r="A12" s="678">
        <v>1</v>
      </c>
      <c r="B12" s="617"/>
      <c r="C12" s="580" t="s">
        <v>16</v>
      </c>
      <c r="D12" s="580" t="s">
        <v>678</v>
      </c>
      <c r="E12" s="580" t="s">
        <v>41</v>
      </c>
      <c r="F12" s="181" t="s">
        <v>42</v>
      </c>
      <c r="G12" s="580" t="s">
        <v>33</v>
      </c>
      <c r="H12" s="180" t="s">
        <v>20</v>
      </c>
      <c r="I12" s="181" t="s">
        <v>683</v>
      </c>
      <c r="J12" s="580"/>
    </row>
    <row r="13" spans="1:10" s="76" customFormat="1" ht="25.5" customHeight="1" x14ac:dyDescent="0.35">
      <c r="A13" s="678"/>
      <c r="B13" s="617"/>
      <c r="C13" s="580" t="s">
        <v>16</v>
      </c>
      <c r="D13" s="580" t="s">
        <v>678</v>
      </c>
      <c r="E13" s="580" t="s">
        <v>41</v>
      </c>
      <c r="F13" s="181" t="s">
        <v>684</v>
      </c>
      <c r="G13" s="580" t="s">
        <v>19</v>
      </c>
      <c r="H13" s="180" t="s">
        <v>20</v>
      </c>
      <c r="I13" s="181" t="s">
        <v>47</v>
      </c>
      <c r="J13" s="580"/>
    </row>
    <row r="14" spans="1:10" s="76" customFormat="1" ht="42" customHeight="1" x14ac:dyDescent="0.35">
      <c r="A14" s="678">
        <v>1</v>
      </c>
      <c r="B14" s="617"/>
      <c r="C14" s="580" t="s">
        <v>685</v>
      </c>
      <c r="D14" s="580" t="s">
        <v>20</v>
      </c>
      <c r="E14" s="580" t="s">
        <v>45</v>
      </c>
      <c r="F14" s="580" t="s">
        <v>46</v>
      </c>
      <c r="G14" s="580" t="s">
        <v>33</v>
      </c>
      <c r="H14" s="180" t="s">
        <v>20</v>
      </c>
      <c r="I14" s="580" t="s">
        <v>47</v>
      </c>
      <c r="J14" s="580"/>
    </row>
    <row r="15" spans="1:10" s="76" customFormat="1" ht="42" customHeight="1" x14ac:dyDescent="0.35">
      <c r="A15" s="678"/>
      <c r="B15" s="617"/>
      <c r="C15" s="580" t="s">
        <v>685</v>
      </c>
      <c r="D15" s="580" t="s">
        <v>20</v>
      </c>
      <c r="E15" s="580" t="s">
        <v>45</v>
      </c>
      <c r="F15" s="580" t="s">
        <v>46</v>
      </c>
      <c r="G15" s="580" t="s">
        <v>19</v>
      </c>
      <c r="H15" s="180" t="s">
        <v>20</v>
      </c>
      <c r="I15" s="580" t="s">
        <v>686</v>
      </c>
      <c r="J15" s="580"/>
    </row>
    <row r="16" spans="1:10" s="76" customFormat="1" ht="42" customHeight="1" x14ac:dyDescent="0.35">
      <c r="A16" s="678">
        <v>1</v>
      </c>
      <c r="B16" s="617"/>
      <c r="C16" s="580" t="s">
        <v>16</v>
      </c>
      <c r="D16" s="580" t="s">
        <v>678</v>
      </c>
      <c r="E16" s="580" t="s">
        <v>687</v>
      </c>
      <c r="F16" s="580" t="s">
        <v>688</v>
      </c>
      <c r="G16" s="580" t="s">
        <v>33</v>
      </c>
      <c r="H16" s="180" t="s">
        <v>23</v>
      </c>
      <c r="I16" s="580" t="s">
        <v>689</v>
      </c>
      <c r="J16" s="580"/>
    </row>
    <row r="17" spans="1:10" s="76" customFormat="1" ht="42" customHeight="1" x14ac:dyDescent="0.35">
      <c r="A17" s="678"/>
      <c r="B17" s="617"/>
      <c r="C17" s="580" t="s">
        <v>16</v>
      </c>
      <c r="D17" s="580" t="s">
        <v>678</v>
      </c>
      <c r="E17" s="580" t="s">
        <v>687</v>
      </c>
      <c r="F17" s="580" t="s">
        <v>688</v>
      </c>
      <c r="G17" s="580" t="s">
        <v>19</v>
      </c>
      <c r="H17" s="180" t="s">
        <v>23</v>
      </c>
      <c r="I17" s="580" t="s">
        <v>47</v>
      </c>
      <c r="J17" s="580"/>
    </row>
    <row r="18" spans="1:10" s="76" customFormat="1" ht="42" customHeight="1" x14ac:dyDescent="0.35">
      <c r="A18" s="678">
        <v>1</v>
      </c>
      <c r="B18" s="617"/>
      <c r="C18" s="580" t="s">
        <v>16</v>
      </c>
      <c r="D18" s="580" t="s">
        <v>678</v>
      </c>
      <c r="E18" s="580" t="s">
        <v>41</v>
      </c>
      <c r="F18" s="580" t="s">
        <v>49</v>
      </c>
      <c r="G18" s="580" t="s">
        <v>33</v>
      </c>
      <c r="H18" s="180" t="s">
        <v>23</v>
      </c>
      <c r="I18" s="580" t="s">
        <v>690</v>
      </c>
      <c r="J18" s="580"/>
    </row>
    <row r="19" spans="1:10" s="76" customFormat="1" ht="42" customHeight="1" x14ac:dyDescent="0.35">
      <c r="A19" s="678"/>
      <c r="B19" s="617"/>
      <c r="C19" s="580" t="s">
        <v>16</v>
      </c>
      <c r="D19" s="580" t="s">
        <v>678</v>
      </c>
      <c r="E19" s="580" t="s">
        <v>41</v>
      </c>
      <c r="F19" s="580" t="s">
        <v>49</v>
      </c>
      <c r="G19" s="580" t="s">
        <v>19</v>
      </c>
      <c r="H19" s="180" t="s">
        <v>23</v>
      </c>
      <c r="I19" s="580" t="s">
        <v>47</v>
      </c>
      <c r="J19" s="580"/>
    </row>
    <row r="20" spans="1:10" s="76" customFormat="1" ht="42" customHeight="1" x14ac:dyDescent="0.35">
      <c r="A20" s="678">
        <v>1</v>
      </c>
      <c r="B20" s="617"/>
      <c r="C20" s="580" t="s">
        <v>16</v>
      </c>
      <c r="D20" s="580" t="s">
        <v>678</v>
      </c>
      <c r="E20" s="580" t="s">
        <v>45</v>
      </c>
      <c r="F20" s="580" t="s">
        <v>53</v>
      </c>
      <c r="G20" s="580" t="s">
        <v>33</v>
      </c>
      <c r="H20" s="180" t="s">
        <v>54</v>
      </c>
      <c r="I20" s="580" t="s">
        <v>691</v>
      </c>
      <c r="J20" s="580"/>
    </row>
    <row r="21" spans="1:10" s="76" customFormat="1" ht="42" customHeight="1" x14ac:dyDescent="0.35">
      <c r="A21" s="678"/>
      <c r="B21" s="617"/>
      <c r="C21" s="580" t="s">
        <v>16</v>
      </c>
      <c r="D21" s="580" t="s">
        <v>678</v>
      </c>
      <c r="E21" s="580" t="s">
        <v>45</v>
      </c>
      <c r="F21" s="580" t="s">
        <v>53</v>
      </c>
      <c r="G21" s="580" t="s">
        <v>19</v>
      </c>
      <c r="H21" s="180" t="s">
        <v>23</v>
      </c>
      <c r="I21" s="580" t="s">
        <v>47</v>
      </c>
      <c r="J21" s="580"/>
    </row>
    <row r="22" spans="1:10" s="76" customFormat="1" ht="42" customHeight="1" x14ac:dyDescent="0.35">
      <c r="A22" s="610">
        <v>1</v>
      </c>
      <c r="B22" s="617"/>
      <c r="C22" s="580" t="s">
        <v>685</v>
      </c>
      <c r="D22" s="580" t="s">
        <v>20</v>
      </c>
      <c r="E22" s="580" t="s">
        <v>45</v>
      </c>
      <c r="F22" s="580" t="s">
        <v>692</v>
      </c>
      <c r="G22" s="580" t="s">
        <v>33</v>
      </c>
      <c r="H22" s="180" t="s">
        <v>23</v>
      </c>
      <c r="I22" s="580" t="s">
        <v>693</v>
      </c>
      <c r="J22" s="580"/>
    </row>
    <row r="23" spans="1:10" s="76" customFormat="1" ht="42" customHeight="1" x14ac:dyDescent="0.35">
      <c r="A23" s="611"/>
      <c r="B23" s="618"/>
      <c r="C23" s="580" t="s">
        <v>685</v>
      </c>
      <c r="D23" s="580" t="s">
        <v>20</v>
      </c>
      <c r="E23" s="580" t="s">
        <v>45</v>
      </c>
      <c r="F23" s="580" t="s">
        <v>692</v>
      </c>
      <c r="G23" s="580" t="s">
        <v>19</v>
      </c>
      <c r="H23" s="180" t="s">
        <v>23</v>
      </c>
      <c r="I23" s="580" t="s">
        <v>47</v>
      </c>
      <c r="J23" s="580"/>
    </row>
    <row r="24" spans="1:10" s="76" customFormat="1" ht="25" customHeight="1" x14ac:dyDescent="0.35">
      <c r="A24" s="177"/>
      <c r="B24" s="178" t="s">
        <v>73</v>
      </c>
      <c r="C24" s="178"/>
      <c r="D24" s="178"/>
      <c r="E24" s="178"/>
      <c r="F24" s="177"/>
      <c r="G24" s="177"/>
      <c r="H24" s="177"/>
      <c r="I24" s="177"/>
      <c r="J24" s="80"/>
    </row>
    <row r="25" spans="1:10" s="75" customFormat="1" ht="91.5" customHeight="1" x14ac:dyDescent="0.35">
      <c r="A25" s="678">
        <v>1</v>
      </c>
      <c r="B25" s="591" t="s">
        <v>565</v>
      </c>
      <c r="C25" s="557"/>
      <c r="D25" s="580" t="s">
        <v>678</v>
      </c>
      <c r="E25" s="195" t="s">
        <v>694</v>
      </c>
      <c r="F25" s="182" t="s">
        <v>695</v>
      </c>
      <c r="G25" s="580" t="s">
        <v>61</v>
      </c>
      <c r="H25" s="180" t="s">
        <v>20</v>
      </c>
      <c r="I25" s="86" t="s">
        <v>696</v>
      </c>
      <c r="J25" s="73"/>
    </row>
    <row r="26" spans="1:10" s="75" customFormat="1" ht="91.5" customHeight="1" x14ac:dyDescent="0.35">
      <c r="A26" s="678"/>
      <c r="B26" s="592"/>
      <c r="C26" s="558"/>
      <c r="D26" s="580" t="s">
        <v>678</v>
      </c>
      <c r="E26" s="195" t="s">
        <v>694</v>
      </c>
      <c r="F26" s="182" t="s">
        <v>697</v>
      </c>
      <c r="G26" s="580" t="s">
        <v>39</v>
      </c>
      <c r="H26" s="180" t="s">
        <v>20</v>
      </c>
      <c r="I26" s="86" t="s">
        <v>698</v>
      </c>
      <c r="J26" s="73"/>
    </row>
    <row r="27" spans="1:10" s="75" customFormat="1" ht="102.75" customHeight="1" x14ac:dyDescent="0.35">
      <c r="A27" s="610">
        <v>2</v>
      </c>
      <c r="B27" s="592"/>
      <c r="C27" s="558"/>
      <c r="D27" s="580" t="s">
        <v>678</v>
      </c>
      <c r="E27" s="195" t="s">
        <v>694</v>
      </c>
      <c r="F27" s="182" t="s">
        <v>699</v>
      </c>
      <c r="G27" s="580" t="s">
        <v>61</v>
      </c>
      <c r="H27" s="180" t="s">
        <v>20</v>
      </c>
      <c r="I27" s="86" t="s">
        <v>700</v>
      </c>
      <c r="J27" s="73"/>
    </row>
    <row r="28" spans="1:10" s="75" customFormat="1" ht="91.5" customHeight="1" x14ac:dyDescent="0.35">
      <c r="A28" s="611"/>
      <c r="B28" s="592"/>
      <c r="C28" s="558"/>
      <c r="D28" s="580" t="s">
        <v>678</v>
      </c>
      <c r="E28" s="195" t="s">
        <v>694</v>
      </c>
      <c r="F28" s="182" t="s">
        <v>699</v>
      </c>
      <c r="G28" s="580" t="s">
        <v>39</v>
      </c>
      <c r="H28" s="180" t="s">
        <v>20</v>
      </c>
      <c r="I28" s="86" t="s">
        <v>698</v>
      </c>
      <c r="J28" s="73"/>
    </row>
    <row r="29" spans="1:10" s="75" customFormat="1" ht="45" customHeight="1" x14ac:dyDescent="0.35">
      <c r="A29" s="678">
        <v>3</v>
      </c>
      <c r="B29" s="592"/>
      <c r="C29" s="558"/>
      <c r="D29" s="580" t="s">
        <v>678</v>
      </c>
      <c r="E29" s="195" t="s">
        <v>86</v>
      </c>
      <c r="F29" s="183" t="s">
        <v>701</v>
      </c>
      <c r="G29" s="580" t="s">
        <v>61</v>
      </c>
      <c r="H29" s="180" t="s">
        <v>20</v>
      </c>
      <c r="I29" s="86" t="s">
        <v>702</v>
      </c>
      <c r="J29" s="183"/>
    </row>
    <row r="30" spans="1:10" s="75" customFormat="1" ht="70.5" customHeight="1" x14ac:dyDescent="0.35">
      <c r="A30" s="678"/>
      <c r="B30" s="592"/>
      <c r="C30" s="558"/>
      <c r="D30" s="580" t="s">
        <v>678</v>
      </c>
      <c r="E30" s="195" t="s">
        <v>86</v>
      </c>
      <c r="F30" s="183" t="s">
        <v>701</v>
      </c>
      <c r="G30" s="580" t="s">
        <v>39</v>
      </c>
      <c r="H30" s="180" t="s">
        <v>20</v>
      </c>
      <c r="I30" s="184" t="s">
        <v>703</v>
      </c>
      <c r="J30" s="183"/>
    </row>
    <row r="31" spans="1:10" s="75" customFormat="1" ht="54" customHeight="1" x14ac:dyDescent="0.35">
      <c r="A31" s="610">
        <v>4</v>
      </c>
      <c r="B31" s="592"/>
      <c r="C31" s="558"/>
      <c r="D31" s="580" t="s">
        <v>678</v>
      </c>
      <c r="E31" s="195" t="s">
        <v>704</v>
      </c>
      <c r="F31" s="183" t="s">
        <v>705</v>
      </c>
      <c r="G31" s="580" t="s">
        <v>61</v>
      </c>
      <c r="H31" s="180" t="s">
        <v>20</v>
      </c>
      <c r="I31" s="184" t="s">
        <v>706</v>
      </c>
      <c r="J31" s="183"/>
    </row>
    <row r="32" spans="1:10" s="75" customFormat="1" ht="54" customHeight="1" x14ac:dyDescent="0.35">
      <c r="A32" s="611"/>
      <c r="B32" s="592"/>
      <c r="C32" s="558"/>
      <c r="D32" s="580" t="s">
        <v>678</v>
      </c>
      <c r="E32" s="195" t="s">
        <v>704</v>
      </c>
      <c r="F32" s="183" t="s">
        <v>705</v>
      </c>
      <c r="G32" s="580" t="s">
        <v>95</v>
      </c>
      <c r="H32" s="180" t="s">
        <v>20</v>
      </c>
      <c r="I32" s="184" t="s">
        <v>707</v>
      </c>
      <c r="J32" s="183"/>
    </row>
    <row r="33" spans="1:10" s="75" customFormat="1" ht="42.75" customHeight="1" x14ac:dyDescent="0.35">
      <c r="A33" s="610">
        <v>5</v>
      </c>
      <c r="B33" s="592"/>
      <c r="C33" s="558"/>
      <c r="D33" s="580" t="s">
        <v>678</v>
      </c>
      <c r="E33" s="195" t="s">
        <v>89</v>
      </c>
      <c r="F33" s="183" t="s">
        <v>708</v>
      </c>
      <c r="G33" s="580" t="s">
        <v>61</v>
      </c>
      <c r="H33" s="180" t="s">
        <v>20</v>
      </c>
      <c r="I33" s="86" t="s">
        <v>698</v>
      </c>
      <c r="J33" s="183"/>
    </row>
    <row r="34" spans="1:10" s="75" customFormat="1" ht="81.75" customHeight="1" x14ac:dyDescent="0.35">
      <c r="A34" s="611"/>
      <c r="B34" s="593"/>
      <c r="C34" s="559"/>
      <c r="D34" s="580" t="s">
        <v>678</v>
      </c>
      <c r="E34" s="195" t="s">
        <v>89</v>
      </c>
      <c r="F34" s="183" t="s">
        <v>708</v>
      </c>
      <c r="G34" s="580" t="s">
        <v>95</v>
      </c>
      <c r="H34" s="180" t="s">
        <v>20</v>
      </c>
      <c r="I34" s="86" t="s">
        <v>709</v>
      </c>
      <c r="J34" s="183"/>
    </row>
    <row r="35" spans="1:10" s="76" customFormat="1" ht="60" customHeight="1" x14ac:dyDescent="0.35">
      <c r="A35" s="736">
        <v>1</v>
      </c>
      <c r="B35" s="576" t="s">
        <v>710</v>
      </c>
      <c r="C35" s="576"/>
      <c r="D35" s="76" t="s">
        <v>20</v>
      </c>
      <c r="E35" s="76" t="s">
        <v>98</v>
      </c>
      <c r="F35" s="76" t="s">
        <v>99</v>
      </c>
      <c r="G35" s="76" t="s">
        <v>61</v>
      </c>
      <c r="H35" s="76" t="s">
        <v>23</v>
      </c>
      <c r="I35" s="185" t="s">
        <v>100</v>
      </c>
    </row>
    <row r="36" spans="1:10" s="76" customFormat="1" ht="60" customHeight="1" x14ac:dyDescent="0.35">
      <c r="A36" s="736"/>
      <c r="B36" s="576" t="s">
        <v>710</v>
      </c>
      <c r="C36" s="576"/>
      <c r="D36" s="76" t="s">
        <v>23</v>
      </c>
      <c r="E36" s="76" t="s">
        <v>98</v>
      </c>
      <c r="F36" s="76" t="s">
        <v>99</v>
      </c>
      <c r="G36" s="76" t="s">
        <v>39</v>
      </c>
      <c r="H36" s="76" t="s">
        <v>23</v>
      </c>
      <c r="I36" s="185" t="s">
        <v>101</v>
      </c>
    </row>
    <row r="37" spans="1:10" s="76" customFormat="1" ht="60" customHeight="1" x14ac:dyDescent="0.35">
      <c r="A37" s="591">
        <v>1</v>
      </c>
      <c r="B37" s="76" t="s">
        <v>711</v>
      </c>
      <c r="D37" s="76" t="s">
        <v>23</v>
      </c>
      <c r="E37" s="576" t="s">
        <v>102</v>
      </c>
      <c r="F37" s="76" t="s">
        <v>103</v>
      </c>
      <c r="G37" s="76" t="s">
        <v>61</v>
      </c>
      <c r="H37" s="76" t="s">
        <v>23</v>
      </c>
      <c r="I37" s="185" t="s">
        <v>104</v>
      </c>
    </row>
    <row r="38" spans="1:10" s="76" customFormat="1" ht="60" customHeight="1" x14ac:dyDescent="0.35">
      <c r="A38" s="593"/>
      <c r="B38" s="76" t="s">
        <v>711</v>
      </c>
      <c r="D38" s="76" t="s">
        <v>23</v>
      </c>
      <c r="E38" s="576" t="s">
        <v>102</v>
      </c>
      <c r="F38" s="76" t="s">
        <v>103</v>
      </c>
      <c r="G38" s="76" t="s">
        <v>39</v>
      </c>
      <c r="H38" s="76" t="s">
        <v>23</v>
      </c>
      <c r="I38" s="185" t="s">
        <v>362</v>
      </c>
    </row>
    <row r="39" spans="1:10" s="76" customFormat="1" ht="60" customHeight="1" x14ac:dyDescent="0.35">
      <c r="A39" s="591">
        <v>2</v>
      </c>
      <c r="B39" s="76" t="s">
        <v>711</v>
      </c>
      <c r="D39" s="76" t="s">
        <v>23</v>
      </c>
      <c r="E39" s="576" t="s">
        <v>102</v>
      </c>
      <c r="F39" s="76" t="s">
        <v>105</v>
      </c>
      <c r="G39" s="76" t="s">
        <v>61</v>
      </c>
      <c r="H39" s="76" t="s">
        <v>23</v>
      </c>
      <c r="I39" s="185" t="s">
        <v>106</v>
      </c>
    </row>
    <row r="40" spans="1:10" s="76" customFormat="1" ht="60" customHeight="1" x14ac:dyDescent="0.35">
      <c r="A40" s="593"/>
      <c r="B40" s="76" t="s">
        <v>711</v>
      </c>
      <c r="D40" s="76" t="s">
        <v>23</v>
      </c>
      <c r="E40" s="576" t="s">
        <v>102</v>
      </c>
      <c r="F40" s="76" t="s">
        <v>105</v>
      </c>
      <c r="G40" s="76" t="s">
        <v>39</v>
      </c>
      <c r="H40" s="76" t="s">
        <v>23</v>
      </c>
      <c r="I40" s="185" t="s">
        <v>362</v>
      </c>
    </row>
    <row r="41" spans="1:10" s="76" customFormat="1" ht="67.5" customHeight="1" x14ac:dyDescent="0.35">
      <c r="A41" s="591">
        <v>3</v>
      </c>
      <c r="B41" s="76" t="s">
        <v>711</v>
      </c>
      <c r="D41" s="76" t="s">
        <v>23</v>
      </c>
      <c r="E41" s="576" t="s">
        <v>107</v>
      </c>
      <c r="F41" s="76" t="s">
        <v>108</v>
      </c>
      <c r="G41" s="76" t="s">
        <v>61</v>
      </c>
      <c r="H41" s="76" t="s">
        <v>23</v>
      </c>
      <c r="I41" s="185" t="s">
        <v>109</v>
      </c>
    </row>
    <row r="42" spans="1:10" s="76" customFormat="1" ht="60" customHeight="1" x14ac:dyDescent="0.35">
      <c r="A42" s="593"/>
      <c r="B42" s="76" t="s">
        <v>711</v>
      </c>
      <c r="D42" s="76" t="s">
        <v>23</v>
      </c>
      <c r="E42" s="576" t="s">
        <v>107</v>
      </c>
      <c r="F42" s="76" t="s">
        <v>108</v>
      </c>
      <c r="G42" s="76" t="s">
        <v>39</v>
      </c>
      <c r="H42" s="76" t="s">
        <v>23</v>
      </c>
      <c r="I42" s="185" t="s">
        <v>111</v>
      </c>
    </row>
    <row r="43" spans="1:10" s="76" customFormat="1" ht="60" customHeight="1" x14ac:dyDescent="0.35">
      <c r="A43" s="591">
        <v>1</v>
      </c>
      <c r="B43" s="76" t="s">
        <v>712</v>
      </c>
      <c r="D43" s="76" t="s">
        <v>23</v>
      </c>
      <c r="E43" s="576" t="s">
        <v>713</v>
      </c>
      <c r="F43" s="76" t="s">
        <v>714</v>
      </c>
      <c r="G43" s="76" t="s">
        <v>61</v>
      </c>
      <c r="H43" s="76" t="s">
        <v>23</v>
      </c>
      <c r="I43" s="185" t="s">
        <v>715</v>
      </c>
    </row>
    <row r="44" spans="1:10" s="76" customFormat="1" ht="60" customHeight="1" x14ac:dyDescent="0.35">
      <c r="A44" s="593"/>
      <c r="B44" s="76" t="s">
        <v>712</v>
      </c>
      <c r="D44" s="76" t="s">
        <v>23</v>
      </c>
      <c r="E44" s="576" t="s">
        <v>713</v>
      </c>
      <c r="F44" s="76" t="s">
        <v>714</v>
      </c>
      <c r="G44" s="76" t="s">
        <v>39</v>
      </c>
      <c r="H44" s="76" t="s">
        <v>23</v>
      </c>
      <c r="I44" s="185" t="s">
        <v>716</v>
      </c>
    </row>
    <row r="45" spans="1:10" s="76" customFormat="1" ht="25" customHeight="1" x14ac:dyDescent="0.35">
      <c r="A45" s="177"/>
      <c r="B45" s="178" t="s">
        <v>112</v>
      </c>
      <c r="C45" s="178"/>
      <c r="D45" s="178"/>
      <c r="E45" s="178"/>
      <c r="F45" s="177"/>
      <c r="G45" s="177"/>
      <c r="H45" s="177"/>
      <c r="I45" s="177"/>
      <c r="J45" s="80"/>
    </row>
    <row r="46" spans="1:10" s="198" customFormat="1" ht="53.25" customHeight="1" x14ac:dyDescent="0.35">
      <c r="A46" s="735"/>
      <c r="B46" s="196" t="s">
        <v>364</v>
      </c>
      <c r="C46" s="196"/>
      <c r="D46" s="197"/>
      <c r="E46" s="197" t="s">
        <v>114</v>
      </c>
      <c r="F46" s="197" t="s">
        <v>115</v>
      </c>
      <c r="G46" s="197" t="s">
        <v>61</v>
      </c>
      <c r="H46" s="197" t="s">
        <v>23</v>
      </c>
      <c r="I46" s="197" t="s">
        <v>116</v>
      </c>
      <c r="J46" s="198" t="s">
        <v>717</v>
      </c>
    </row>
    <row r="47" spans="1:10" s="198" customFormat="1" ht="56.25" customHeight="1" x14ac:dyDescent="0.35">
      <c r="A47" s="735"/>
      <c r="B47" s="196" t="s">
        <v>364</v>
      </c>
      <c r="C47" s="196"/>
      <c r="D47" s="197"/>
      <c r="E47" s="197" t="s">
        <v>117</v>
      </c>
      <c r="F47" s="197" t="s">
        <v>115</v>
      </c>
      <c r="G47" s="197" t="s">
        <v>39</v>
      </c>
      <c r="H47" s="197" t="s">
        <v>23</v>
      </c>
      <c r="I47" s="197" t="s">
        <v>118</v>
      </c>
    </row>
    <row r="48" spans="1:10" s="180" customFormat="1" ht="133.5" customHeight="1" x14ac:dyDescent="0.35">
      <c r="A48" s="735">
        <v>1</v>
      </c>
      <c r="B48" s="581" t="s">
        <v>383</v>
      </c>
      <c r="C48" s="581"/>
      <c r="D48" s="581" t="s">
        <v>347</v>
      </c>
      <c r="E48" s="581" t="s">
        <v>120</v>
      </c>
      <c r="F48" s="180" t="s">
        <v>718</v>
      </c>
      <c r="G48" s="180" t="s">
        <v>33</v>
      </c>
      <c r="H48" s="180" t="s">
        <v>23</v>
      </c>
      <c r="I48" s="180" t="s">
        <v>719</v>
      </c>
      <c r="J48" s="180" t="s">
        <v>720</v>
      </c>
    </row>
    <row r="49" spans="1:10" s="180" customFormat="1" ht="133.5" customHeight="1" x14ac:dyDescent="0.35">
      <c r="A49" s="735"/>
      <c r="B49" s="581" t="s">
        <v>383</v>
      </c>
      <c r="C49" s="581"/>
      <c r="D49" s="581" t="s">
        <v>347</v>
      </c>
      <c r="E49" s="581" t="s">
        <v>120</v>
      </c>
      <c r="F49" s="180" t="s">
        <v>718</v>
      </c>
      <c r="G49" s="180" t="s">
        <v>19</v>
      </c>
      <c r="H49" s="180" t="s">
        <v>23</v>
      </c>
      <c r="I49" s="180" t="s">
        <v>362</v>
      </c>
    </row>
    <row r="50" spans="1:10" s="180" customFormat="1" ht="134.25" customHeight="1" x14ac:dyDescent="0.35">
      <c r="A50" s="735"/>
      <c r="B50" s="581" t="s">
        <v>383</v>
      </c>
      <c r="C50" s="581"/>
      <c r="D50" s="581" t="s">
        <v>347</v>
      </c>
      <c r="E50" s="581" t="s">
        <v>120</v>
      </c>
      <c r="F50" s="180" t="s">
        <v>721</v>
      </c>
      <c r="G50" s="180" t="s">
        <v>95</v>
      </c>
      <c r="H50" s="180" t="s">
        <v>722</v>
      </c>
      <c r="I50" s="186" t="s">
        <v>723</v>
      </c>
      <c r="J50" s="578"/>
    </row>
    <row r="51" spans="1:10" s="180" customFormat="1" ht="100.5" customHeight="1" x14ac:dyDescent="0.35">
      <c r="A51" s="735">
        <v>1</v>
      </c>
      <c r="B51" s="581" t="s">
        <v>127</v>
      </c>
      <c r="C51" s="581"/>
      <c r="D51" s="581" t="s">
        <v>347</v>
      </c>
      <c r="E51" s="581" t="s">
        <v>125</v>
      </c>
      <c r="F51" s="180" t="s">
        <v>724</v>
      </c>
      <c r="G51" s="180" t="s">
        <v>61</v>
      </c>
      <c r="H51" s="180" t="s">
        <v>23</v>
      </c>
      <c r="I51" s="180" t="s">
        <v>368</v>
      </c>
      <c r="J51" s="180" t="s">
        <v>725</v>
      </c>
    </row>
    <row r="52" spans="1:10" s="180" customFormat="1" ht="100.5" customHeight="1" x14ac:dyDescent="0.35">
      <c r="A52" s="735"/>
      <c r="B52" s="581" t="s">
        <v>127</v>
      </c>
      <c r="C52" s="581"/>
      <c r="D52" s="581" t="s">
        <v>347</v>
      </c>
      <c r="E52" s="581" t="s">
        <v>125</v>
      </c>
      <c r="F52" s="180" t="s">
        <v>724</v>
      </c>
      <c r="G52" s="180" t="s">
        <v>19</v>
      </c>
      <c r="H52" s="180" t="s">
        <v>137</v>
      </c>
      <c r="I52" s="180" t="s">
        <v>362</v>
      </c>
    </row>
    <row r="53" spans="1:10" s="180" customFormat="1" ht="88.5" customHeight="1" x14ac:dyDescent="0.35">
      <c r="A53" s="735"/>
      <c r="B53" s="581" t="s">
        <v>127</v>
      </c>
      <c r="C53" s="581"/>
      <c r="D53" s="581" t="s">
        <v>347</v>
      </c>
      <c r="E53" s="581" t="s">
        <v>127</v>
      </c>
      <c r="F53" s="180" t="s">
        <v>724</v>
      </c>
      <c r="G53" s="180" t="s">
        <v>95</v>
      </c>
      <c r="H53" s="180" t="s">
        <v>726</v>
      </c>
      <c r="I53" s="186" t="s">
        <v>727</v>
      </c>
    </row>
    <row r="54" spans="1:10" s="180" customFormat="1" ht="78" x14ac:dyDescent="0.35">
      <c r="A54" s="735">
        <v>1</v>
      </c>
      <c r="B54" s="581" t="s">
        <v>393</v>
      </c>
      <c r="C54" s="581"/>
      <c r="D54" s="581" t="s">
        <v>347</v>
      </c>
      <c r="E54" s="581" t="s">
        <v>129</v>
      </c>
      <c r="F54" s="180" t="s">
        <v>728</v>
      </c>
      <c r="G54" s="180" t="s">
        <v>61</v>
      </c>
      <c r="H54" s="180" t="s">
        <v>54</v>
      </c>
      <c r="I54" s="180" t="s">
        <v>729</v>
      </c>
      <c r="J54" s="180" t="s">
        <v>730</v>
      </c>
    </row>
    <row r="55" spans="1:10" s="180" customFormat="1" ht="46.5" customHeight="1" x14ac:dyDescent="0.35">
      <c r="A55" s="735"/>
      <c r="B55" s="581" t="s">
        <v>393</v>
      </c>
      <c r="C55" s="581"/>
      <c r="D55" s="581" t="s">
        <v>347</v>
      </c>
      <c r="E55" s="581" t="s">
        <v>129</v>
      </c>
      <c r="F55" s="180" t="s">
        <v>728</v>
      </c>
      <c r="G55" s="180" t="s">
        <v>61</v>
      </c>
      <c r="H55" s="180" t="s">
        <v>396</v>
      </c>
      <c r="I55" s="180" t="s">
        <v>368</v>
      </c>
    </row>
    <row r="56" spans="1:10" s="180" customFormat="1" ht="57" customHeight="1" x14ac:dyDescent="0.35">
      <c r="A56" s="735"/>
      <c r="B56" s="581" t="s">
        <v>393</v>
      </c>
      <c r="C56" s="581"/>
      <c r="D56" s="581" t="s">
        <v>347</v>
      </c>
      <c r="E56" s="581" t="s">
        <v>129</v>
      </c>
      <c r="F56" s="180" t="s">
        <v>728</v>
      </c>
      <c r="G56" s="180" t="s">
        <v>95</v>
      </c>
      <c r="H56" s="180" t="s">
        <v>394</v>
      </c>
      <c r="I56" s="180" t="s">
        <v>731</v>
      </c>
    </row>
    <row r="57" spans="1:10" s="180" customFormat="1" ht="65" x14ac:dyDescent="0.35">
      <c r="A57" s="735"/>
      <c r="B57" s="581" t="s">
        <v>393</v>
      </c>
      <c r="C57" s="581"/>
      <c r="D57" s="581" t="s">
        <v>347</v>
      </c>
      <c r="E57" s="581" t="s">
        <v>129</v>
      </c>
      <c r="F57" s="180" t="s">
        <v>728</v>
      </c>
      <c r="G57" s="180" t="s">
        <v>39</v>
      </c>
      <c r="H57" s="180" t="s">
        <v>23</v>
      </c>
      <c r="I57" s="180" t="s">
        <v>732</v>
      </c>
    </row>
    <row r="58" spans="1:10" s="180" customFormat="1" ht="57" customHeight="1" x14ac:dyDescent="0.35">
      <c r="A58" s="735">
        <v>1</v>
      </c>
      <c r="B58" s="581" t="s">
        <v>393</v>
      </c>
      <c r="C58" s="581"/>
      <c r="D58" s="581" t="s">
        <v>347</v>
      </c>
      <c r="E58" s="581" t="s">
        <v>140</v>
      </c>
      <c r="F58" s="162" t="s">
        <v>399</v>
      </c>
      <c r="G58" s="180" t="s">
        <v>400</v>
      </c>
      <c r="H58" s="180" t="s">
        <v>401</v>
      </c>
      <c r="I58" s="180" t="s">
        <v>733</v>
      </c>
    </row>
    <row r="59" spans="1:10" s="180" customFormat="1" ht="57" customHeight="1" x14ac:dyDescent="0.35">
      <c r="A59" s="735"/>
      <c r="B59" s="581" t="s">
        <v>393</v>
      </c>
      <c r="C59" s="581"/>
      <c r="D59" s="581" t="s">
        <v>347</v>
      </c>
      <c r="E59" s="581" t="s">
        <v>140</v>
      </c>
      <c r="F59" s="162" t="s">
        <v>399</v>
      </c>
      <c r="G59" s="180" t="s">
        <v>400</v>
      </c>
      <c r="H59" s="180" t="s">
        <v>403</v>
      </c>
      <c r="I59" s="162" t="s">
        <v>734</v>
      </c>
    </row>
    <row r="60" spans="1:10" s="180" customFormat="1" ht="130" x14ac:dyDescent="0.35">
      <c r="A60" s="735"/>
      <c r="B60" s="581" t="s">
        <v>393</v>
      </c>
      <c r="C60" s="581"/>
      <c r="D60" s="581" t="s">
        <v>347</v>
      </c>
      <c r="E60" s="581" t="s">
        <v>140</v>
      </c>
      <c r="F60" s="162" t="s">
        <v>399</v>
      </c>
      <c r="G60" s="180" t="s">
        <v>95</v>
      </c>
      <c r="H60" s="180" t="s">
        <v>23</v>
      </c>
      <c r="I60" s="180" t="s">
        <v>735</v>
      </c>
    </row>
    <row r="61" spans="1:10" s="180" customFormat="1" ht="57.75" customHeight="1" x14ac:dyDescent="0.35">
      <c r="A61" s="735"/>
      <c r="B61" s="581" t="s">
        <v>393</v>
      </c>
      <c r="C61" s="581"/>
      <c r="D61" s="581" t="s">
        <v>347</v>
      </c>
      <c r="E61" s="581" t="s">
        <v>140</v>
      </c>
      <c r="F61" s="162" t="s">
        <v>399</v>
      </c>
      <c r="G61" s="180" t="s">
        <v>95</v>
      </c>
      <c r="H61" s="180" t="s">
        <v>405</v>
      </c>
      <c r="I61" s="180" t="s">
        <v>736</v>
      </c>
    </row>
    <row r="62" spans="1:10" s="180" customFormat="1" ht="57.75" customHeight="1" x14ac:dyDescent="0.35">
      <c r="A62" s="735"/>
      <c r="B62" s="581" t="s">
        <v>393</v>
      </c>
      <c r="C62" s="581"/>
      <c r="D62" s="581" t="s">
        <v>347</v>
      </c>
      <c r="E62" s="581" t="s">
        <v>140</v>
      </c>
      <c r="F62" s="162" t="s">
        <v>737</v>
      </c>
      <c r="G62" s="180" t="s">
        <v>33</v>
      </c>
      <c r="H62" s="180" t="s">
        <v>405</v>
      </c>
      <c r="I62" s="180" t="s">
        <v>738</v>
      </c>
    </row>
    <row r="63" spans="1:10" s="180" customFormat="1" ht="57.75" customHeight="1" x14ac:dyDescent="0.35">
      <c r="A63" s="735"/>
      <c r="B63" s="581" t="s">
        <v>393</v>
      </c>
      <c r="C63" s="581"/>
      <c r="D63" s="581" t="s">
        <v>347</v>
      </c>
      <c r="E63" s="581" t="s">
        <v>140</v>
      </c>
      <c r="F63" s="162" t="s">
        <v>737</v>
      </c>
      <c r="G63" s="180" t="s">
        <v>33</v>
      </c>
      <c r="H63" s="180" t="s">
        <v>411</v>
      </c>
      <c r="I63" s="180" t="s">
        <v>412</v>
      </c>
    </row>
    <row r="64" spans="1:10" s="180" customFormat="1" ht="57.75" customHeight="1" x14ac:dyDescent="0.35">
      <c r="A64" s="735"/>
      <c r="B64" s="581" t="s">
        <v>393</v>
      </c>
      <c r="C64" s="581"/>
      <c r="D64" s="581" t="s">
        <v>347</v>
      </c>
      <c r="E64" s="581" t="s">
        <v>140</v>
      </c>
      <c r="F64" s="162" t="s">
        <v>737</v>
      </c>
      <c r="G64" s="180" t="s">
        <v>19</v>
      </c>
      <c r="H64" s="180" t="s">
        <v>405</v>
      </c>
      <c r="I64" s="180" t="s">
        <v>739</v>
      </c>
    </row>
    <row r="65" spans="1:10" s="180" customFormat="1" ht="57.75" customHeight="1" x14ac:dyDescent="0.35">
      <c r="A65" s="735"/>
      <c r="B65" s="581" t="s">
        <v>393</v>
      </c>
      <c r="C65" s="581"/>
      <c r="D65" s="581" t="s">
        <v>347</v>
      </c>
      <c r="E65" s="581" t="s">
        <v>140</v>
      </c>
      <c r="F65" s="162" t="s">
        <v>737</v>
      </c>
      <c r="G65" s="180" t="s">
        <v>19</v>
      </c>
      <c r="H65" s="180" t="s">
        <v>411</v>
      </c>
      <c r="I65" s="180" t="s">
        <v>740</v>
      </c>
    </row>
    <row r="66" spans="1:10" s="180" customFormat="1" ht="91" x14ac:dyDescent="0.35">
      <c r="A66" s="735">
        <v>1</v>
      </c>
      <c r="B66" s="581" t="s">
        <v>393</v>
      </c>
      <c r="C66" s="581"/>
      <c r="D66" s="581" t="s">
        <v>347</v>
      </c>
      <c r="E66" s="581" t="s">
        <v>153</v>
      </c>
      <c r="F66" s="162" t="s">
        <v>741</v>
      </c>
      <c r="G66" s="180" t="s">
        <v>95</v>
      </c>
      <c r="H66" s="180" t="s">
        <v>405</v>
      </c>
      <c r="I66" s="162" t="s">
        <v>742</v>
      </c>
      <c r="J66" s="180" t="s">
        <v>743</v>
      </c>
    </row>
    <row r="67" spans="1:10" s="180" customFormat="1" ht="91" x14ac:dyDescent="0.35">
      <c r="A67" s="735"/>
      <c r="B67" s="581" t="s">
        <v>393</v>
      </c>
      <c r="C67" s="581"/>
      <c r="D67" s="581" t="s">
        <v>347</v>
      </c>
      <c r="E67" s="581" t="s">
        <v>153</v>
      </c>
      <c r="F67" s="162" t="s">
        <v>741</v>
      </c>
      <c r="G67" s="180" t="s">
        <v>95</v>
      </c>
      <c r="H67" s="180" t="s">
        <v>426</v>
      </c>
      <c r="I67" s="162" t="s">
        <v>742</v>
      </c>
      <c r="J67" s="180" t="s">
        <v>744</v>
      </c>
    </row>
    <row r="68" spans="1:10" s="180" customFormat="1" ht="46.5" customHeight="1" x14ac:dyDescent="0.35">
      <c r="A68" s="735"/>
      <c r="B68" s="581" t="s">
        <v>393</v>
      </c>
      <c r="C68" s="581"/>
      <c r="D68" s="581" t="s">
        <v>347</v>
      </c>
      <c r="E68" s="581" t="s">
        <v>153</v>
      </c>
      <c r="F68" s="162" t="s">
        <v>741</v>
      </c>
      <c r="G68" s="180" t="s">
        <v>61</v>
      </c>
      <c r="H68" s="180" t="s">
        <v>426</v>
      </c>
      <c r="I68" s="180" t="s">
        <v>362</v>
      </c>
    </row>
    <row r="69" spans="1:10" s="180" customFormat="1" ht="46.5" customHeight="1" x14ac:dyDescent="0.35">
      <c r="A69" s="735"/>
      <c r="B69" s="581" t="s">
        <v>393</v>
      </c>
      <c r="C69" s="581"/>
      <c r="D69" s="581" t="s">
        <v>347</v>
      </c>
      <c r="E69" s="581" t="s">
        <v>157</v>
      </c>
      <c r="F69" s="162" t="s">
        <v>741</v>
      </c>
      <c r="G69" s="180" t="s">
        <v>61</v>
      </c>
      <c r="H69" s="180" t="s">
        <v>403</v>
      </c>
      <c r="I69" s="187" t="s">
        <v>745</v>
      </c>
    </row>
    <row r="70" spans="1:10" s="180" customFormat="1" ht="91" x14ac:dyDescent="0.35">
      <c r="A70" s="735">
        <v>1</v>
      </c>
      <c r="B70" s="581" t="s">
        <v>393</v>
      </c>
      <c r="C70" s="581"/>
      <c r="D70" s="581" t="s">
        <v>347</v>
      </c>
      <c r="E70" s="581" t="s">
        <v>165</v>
      </c>
      <c r="F70" s="180" t="s">
        <v>746</v>
      </c>
      <c r="G70" s="180" t="s">
        <v>61</v>
      </c>
      <c r="H70" s="180" t="s">
        <v>722</v>
      </c>
      <c r="I70" s="180" t="s">
        <v>747</v>
      </c>
    </row>
    <row r="71" spans="1:10" s="180" customFormat="1" ht="74.25" customHeight="1" x14ac:dyDescent="0.35">
      <c r="A71" s="735"/>
      <c r="B71" s="581" t="s">
        <v>393</v>
      </c>
      <c r="C71" s="581"/>
      <c r="D71" s="581" t="s">
        <v>347</v>
      </c>
      <c r="E71" s="581" t="s">
        <v>165</v>
      </c>
      <c r="F71" s="180" t="s">
        <v>746</v>
      </c>
      <c r="G71" s="180" t="s">
        <v>61</v>
      </c>
      <c r="H71" s="180" t="s">
        <v>20</v>
      </c>
      <c r="I71" s="162" t="s">
        <v>748</v>
      </c>
    </row>
    <row r="72" spans="1:10" s="180" customFormat="1" ht="46.5" customHeight="1" x14ac:dyDescent="0.35">
      <c r="A72" s="735"/>
      <c r="B72" s="581"/>
      <c r="C72" s="581"/>
      <c r="D72" s="581" t="s">
        <v>347</v>
      </c>
      <c r="E72" s="581" t="s">
        <v>165</v>
      </c>
      <c r="F72" s="180" t="s">
        <v>746</v>
      </c>
      <c r="G72" s="180" t="s">
        <v>61</v>
      </c>
      <c r="H72" s="180" t="s">
        <v>20</v>
      </c>
      <c r="I72" s="180" t="s">
        <v>749</v>
      </c>
    </row>
    <row r="73" spans="1:10" s="180" customFormat="1" ht="46.5" customHeight="1" x14ac:dyDescent="0.35">
      <c r="A73" s="735"/>
      <c r="B73" s="581" t="s">
        <v>393</v>
      </c>
      <c r="C73" s="581"/>
      <c r="D73" s="581" t="s">
        <v>347</v>
      </c>
      <c r="E73" s="581" t="s">
        <v>165</v>
      </c>
      <c r="F73" s="180" t="s">
        <v>746</v>
      </c>
      <c r="G73" s="180" t="s">
        <v>95</v>
      </c>
      <c r="H73" s="180" t="s">
        <v>405</v>
      </c>
      <c r="I73" s="180" t="s">
        <v>173</v>
      </c>
    </row>
    <row r="74" spans="1:10" s="180" customFormat="1" ht="46.5" customHeight="1" x14ac:dyDescent="0.35">
      <c r="A74" s="735"/>
      <c r="B74" s="581" t="s">
        <v>393</v>
      </c>
      <c r="C74" s="581"/>
      <c r="D74" s="581" t="s">
        <v>347</v>
      </c>
      <c r="E74" s="581" t="s">
        <v>165</v>
      </c>
      <c r="F74" s="180" t="s">
        <v>746</v>
      </c>
      <c r="G74" s="180" t="s">
        <v>95</v>
      </c>
      <c r="H74" s="180" t="s">
        <v>426</v>
      </c>
      <c r="I74" s="180" t="s">
        <v>362</v>
      </c>
    </row>
    <row r="75" spans="1:10" s="183" customFormat="1" ht="46.5" customHeight="1" x14ac:dyDescent="0.35">
      <c r="A75" s="737">
        <v>1</v>
      </c>
      <c r="B75" s="576" t="s">
        <v>427</v>
      </c>
      <c r="C75" s="576"/>
      <c r="D75" s="76" t="s">
        <v>428</v>
      </c>
      <c r="E75" s="76" t="s">
        <v>174</v>
      </c>
      <c r="F75" s="76" t="s">
        <v>750</v>
      </c>
      <c r="G75" s="76" t="s">
        <v>39</v>
      </c>
      <c r="H75" s="76" t="s">
        <v>23</v>
      </c>
      <c r="I75" s="76" t="s">
        <v>368</v>
      </c>
    </row>
    <row r="76" spans="1:10" s="183" customFormat="1" ht="46.5" customHeight="1" x14ac:dyDescent="0.35">
      <c r="A76" s="737"/>
      <c r="B76" s="576" t="s">
        <v>427</v>
      </c>
      <c r="C76" s="576"/>
      <c r="D76" s="76" t="s">
        <v>428</v>
      </c>
      <c r="E76" s="76" t="s">
        <v>174</v>
      </c>
      <c r="F76" s="76" t="s">
        <v>750</v>
      </c>
      <c r="G76" s="76" t="s">
        <v>61</v>
      </c>
      <c r="H76" s="76" t="s">
        <v>20</v>
      </c>
      <c r="I76" s="76" t="s">
        <v>751</v>
      </c>
    </row>
    <row r="77" spans="1:10" s="183" customFormat="1" ht="46.5" customHeight="1" x14ac:dyDescent="0.35">
      <c r="A77" s="737"/>
      <c r="B77" s="576" t="s">
        <v>427</v>
      </c>
      <c r="C77" s="576"/>
      <c r="D77" s="76" t="s">
        <v>428</v>
      </c>
      <c r="E77" s="76" t="s">
        <v>174</v>
      </c>
      <c r="F77" s="76" t="s">
        <v>750</v>
      </c>
      <c r="G77" s="76" t="s">
        <v>61</v>
      </c>
      <c r="H77" s="76" t="s">
        <v>405</v>
      </c>
      <c r="I77" s="76" t="s">
        <v>752</v>
      </c>
    </row>
    <row r="78" spans="1:10" s="183" customFormat="1" ht="46.5" customHeight="1" x14ac:dyDescent="0.35">
      <c r="A78" s="737"/>
      <c r="B78" s="576"/>
      <c r="C78" s="576"/>
      <c r="D78" s="76" t="s">
        <v>428</v>
      </c>
      <c r="E78" s="76" t="s">
        <v>183</v>
      </c>
      <c r="F78" s="76" t="s">
        <v>186</v>
      </c>
      <c r="G78" s="76" t="s">
        <v>39</v>
      </c>
      <c r="H78" s="76" t="s">
        <v>23</v>
      </c>
      <c r="I78" s="76" t="s">
        <v>433</v>
      </c>
    </row>
    <row r="79" spans="1:10" s="183" customFormat="1" ht="46.5" customHeight="1" x14ac:dyDescent="0.35">
      <c r="A79" s="737">
        <v>1</v>
      </c>
      <c r="B79" s="576" t="s">
        <v>427</v>
      </c>
      <c r="C79" s="576"/>
      <c r="D79" s="76" t="s">
        <v>428</v>
      </c>
      <c r="E79" s="76" t="s">
        <v>183</v>
      </c>
      <c r="F79" s="76" t="s">
        <v>186</v>
      </c>
      <c r="G79" s="76" t="s">
        <v>61</v>
      </c>
      <c r="H79" s="76" t="s">
        <v>23</v>
      </c>
      <c r="I79" s="76" t="s">
        <v>753</v>
      </c>
    </row>
    <row r="80" spans="1:10" s="183" customFormat="1" ht="46.5" customHeight="1" x14ac:dyDescent="0.35">
      <c r="A80" s="737"/>
      <c r="B80" s="576"/>
      <c r="C80" s="576"/>
      <c r="D80" s="76" t="s">
        <v>428</v>
      </c>
      <c r="E80" s="76" t="s">
        <v>183</v>
      </c>
      <c r="F80" s="76" t="s">
        <v>186</v>
      </c>
      <c r="G80" s="76" t="s">
        <v>61</v>
      </c>
      <c r="H80" s="76" t="s">
        <v>405</v>
      </c>
      <c r="I80" s="76" t="s">
        <v>754</v>
      </c>
    </row>
    <row r="81" spans="1:10" s="183" customFormat="1" ht="46.5" customHeight="1" x14ac:dyDescent="0.35">
      <c r="A81" s="737"/>
      <c r="B81" s="576" t="s">
        <v>427</v>
      </c>
      <c r="C81" s="576"/>
      <c r="D81" s="76" t="s">
        <v>428</v>
      </c>
      <c r="E81" s="76" t="s">
        <v>188</v>
      </c>
      <c r="F81" s="76" t="s">
        <v>436</v>
      </c>
      <c r="G81" s="76" t="s">
        <v>95</v>
      </c>
      <c r="H81" s="76" t="s">
        <v>23</v>
      </c>
      <c r="I81" s="76" t="s">
        <v>362</v>
      </c>
    </row>
    <row r="82" spans="1:10" s="183" customFormat="1" ht="46.5" customHeight="1" x14ac:dyDescent="0.35">
      <c r="A82" s="737"/>
      <c r="B82" s="576" t="s">
        <v>427</v>
      </c>
      <c r="C82" s="576"/>
      <c r="D82" s="76" t="s">
        <v>428</v>
      </c>
      <c r="E82" s="76" t="s">
        <v>188</v>
      </c>
      <c r="F82" s="76" t="s">
        <v>436</v>
      </c>
      <c r="G82" s="76" t="s">
        <v>61</v>
      </c>
      <c r="H82" s="76" t="s">
        <v>23</v>
      </c>
      <c r="I82" s="76" t="s">
        <v>755</v>
      </c>
    </row>
    <row r="83" spans="1:10" s="183" customFormat="1" ht="46.5" customHeight="1" x14ac:dyDescent="0.35">
      <c r="A83" s="737"/>
      <c r="B83" s="576" t="s">
        <v>427</v>
      </c>
      <c r="C83" s="576"/>
      <c r="D83" s="76" t="s">
        <v>428</v>
      </c>
      <c r="E83" s="76" t="s">
        <v>188</v>
      </c>
      <c r="F83" s="76" t="s">
        <v>436</v>
      </c>
      <c r="G83" s="76" t="s">
        <v>61</v>
      </c>
      <c r="H83" s="76" t="s">
        <v>405</v>
      </c>
      <c r="I83" s="76" t="s">
        <v>438</v>
      </c>
    </row>
    <row r="84" spans="1:10" s="183" customFormat="1" ht="46.5" customHeight="1" x14ac:dyDescent="0.35">
      <c r="A84" s="737"/>
      <c r="B84" s="576" t="s">
        <v>427</v>
      </c>
      <c r="C84" s="576"/>
      <c r="D84" s="76" t="s">
        <v>756</v>
      </c>
      <c r="E84" s="76" t="s">
        <v>192</v>
      </c>
      <c r="F84" s="76" t="s">
        <v>193</v>
      </c>
      <c r="G84" s="76" t="s">
        <v>39</v>
      </c>
      <c r="H84" s="76" t="s">
        <v>23</v>
      </c>
      <c r="I84" s="76" t="s">
        <v>441</v>
      </c>
    </row>
    <row r="85" spans="1:10" s="183" customFormat="1" ht="46.5" customHeight="1" x14ac:dyDescent="0.35">
      <c r="A85" s="737">
        <v>1</v>
      </c>
      <c r="B85" s="576" t="s">
        <v>427</v>
      </c>
      <c r="C85" s="576"/>
      <c r="D85" s="76" t="s">
        <v>439</v>
      </c>
      <c r="E85" s="76" t="s">
        <v>192</v>
      </c>
      <c r="F85" s="76" t="s">
        <v>193</v>
      </c>
      <c r="G85" s="76" t="s">
        <v>61</v>
      </c>
      <c r="H85" s="76" t="s">
        <v>23</v>
      </c>
      <c r="I85" s="76" t="s">
        <v>442</v>
      </c>
    </row>
    <row r="86" spans="1:10" s="183" customFormat="1" ht="46.5" customHeight="1" x14ac:dyDescent="0.35">
      <c r="A86" s="737"/>
      <c r="B86" s="576" t="s">
        <v>427</v>
      </c>
      <c r="C86" s="576"/>
      <c r="D86" s="76" t="s">
        <v>439</v>
      </c>
      <c r="E86" s="76" t="s">
        <v>192</v>
      </c>
      <c r="F86" s="76" t="s">
        <v>193</v>
      </c>
      <c r="G86" s="76" t="s">
        <v>61</v>
      </c>
      <c r="H86" s="76" t="s">
        <v>405</v>
      </c>
      <c r="I86" s="76" t="s">
        <v>443</v>
      </c>
    </row>
    <row r="87" spans="1:10" s="183" customFormat="1" ht="46.5" customHeight="1" x14ac:dyDescent="0.35">
      <c r="A87" s="737">
        <v>1</v>
      </c>
      <c r="B87" s="576" t="s">
        <v>427</v>
      </c>
      <c r="C87" s="576"/>
      <c r="D87" s="76" t="s">
        <v>439</v>
      </c>
      <c r="E87" s="76" t="s">
        <v>195</v>
      </c>
      <c r="F87" s="76" t="s">
        <v>196</v>
      </c>
      <c r="G87" s="76" t="s">
        <v>39</v>
      </c>
      <c r="H87" s="76" t="s">
        <v>23</v>
      </c>
      <c r="I87" s="76" t="s">
        <v>433</v>
      </c>
    </row>
    <row r="88" spans="1:10" s="183" customFormat="1" ht="46.5" customHeight="1" x14ac:dyDescent="0.35">
      <c r="A88" s="737"/>
      <c r="B88" s="576" t="s">
        <v>427</v>
      </c>
      <c r="C88" s="576"/>
      <c r="D88" s="76" t="s">
        <v>439</v>
      </c>
      <c r="E88" s="76" t="s">
        <v>195</v>
      </c>
      <c r="F88" s="76" t="s">
        <v>196</v>
      </c>
      <c r="G88" s="76" t="s">
        <v>61</v>
      </c>
      <c r="H88" s="76" t="s">
        <v>23</v>
      </c>
      <c r="I88" s="76" t="s">
        <v>757</v>
      </c>
    </row>
    <row r="89" spans="1:10" s="183" customFormat="1" ht="46.5" customHeight="1" x14ac:dyDescent="0.35">
      <c r="A89" s="737"/>
      <c r="B89" s="576" t="s">
        <v>427</v>
      </c>
      <c r="C89" s="576"/>
      <c r="D89" s="76" t="s">
        <v>439</v>
      </c>
      <c r="E89" s="76" t="s">
        <v>195</v>
      </c>
      <c r="F89" s="76" t="s">
        <v>196</v>
      </c>
      <c r="G89" s="76" t="s">
        <v>61</v>
      </c>
      <c r="H89" s="76" t="s">
        <v>405</v>
      </c>
      <c r="I89" s="76" t="s">
        <v>758</v>
      </c>
    </row>
    <row r="90" spans="1:10" s="180" customFormat="1" ht="46.5" customHeight="1" x14ac:dyDescent="0.35">
      <c r="A90" s="735">
        <v>1</v>
      </c>
      <c r="B90" s="581" t="s">
        <v>477</v>
      </c>
      <c r="C90" s="581"/>
      <c r="D90" s="581" t="s">
        <v>23</v>
      </c>
      <c r="E90" s="581" t="s">
        <v>199</v>
      </c>
      <c r="F90" s="180" t="s">
        <v>481</v>
      </c>
      <c r="G90" s="180" t="s">
        <v>180</v>
      </c>
      <c r="H90" s="180" t="s">
        <v>23</v>
      </c>
      <c r="I90" s="180" t="s">
        <v>368</v>
      </c>
      <c r="J90" s="180" t="s">
        <v>759</v>
      </c>
    </row>
    <row r="91" spans="1:10" s="180" customFormat="1" ht="135" customHeight="1" x14ac:dyDescent="0.35">
      <c r="A91" s="735"/>
      <c r="B91" s="581" t="s">
        <v>477</v>
      </c>
      <c r="C91" s="581"/>
      <c r="D91" s="581" t="s">
        <v>23</v>
      </c>
      <c r="E91" s="581" t="s">
        <v>199</v>
      </c>
      <c r="F91" s="180" t="s">
        <v>481</v>
      </c>
      <c r="G91" s="180" t="s">
        <v>39</v>
      </c>
      <c r="H91" s="180" t="s">
        <v>23</v>
      </c>
      <c r="I91" s="180" t="s">
        <v>760</v>
      </c>
    </row>
    <row r="92" spans="1:10" s="180" customFormat="1" ht="135" customHeight="1" x14ac:dyDescent="0.35">
      <c r="A92" s="578"/>
      <c r="B92" s="581" t="s">
        <v>477</v>
      </c>
      <c r="C92" s="581"/>
      <c r="D92" s="581" t="s">
        <v>23</v>
      </c>
      <c r="E92" s="581" t="s">
        <v>203</v>
      </c>
      <c r="F92" s="180" t="s">
        <v>761</v>
      </c>
      <c r="G92" s="180" t="s">
        <v>33</v>
      </c>
      <c r="H92" s="180" t="s">
        <v>23</v>
      </c>
      <c r="I92" s="180" t="s">
        <v>762</v>
      </c>
    </row>
    <row r="93" spans="1:10" s="180" customFormat="1" ht="87.75" customHeight="1" x14ac:dyDescent="0.35">
      <c r="A93" s="578"/>
      <c r="B93" s="581" t="s">
        <v>477</v>
      </c>
      <c r="C93" s="581"/>
      <c r="D93" s="581" t="s">
        <v>23</v>
      </c>
      <c r="E93" s="581" t="s">
        <v>203</v>
      </c>
      <c r="F93" s="180" t="s">
        <v>761</v>
      </c>
      <c r="G93" s="180" t="s">
        <v>39</v>
      </c>
      <c r="H93" s="180" t="s">
        <v>23</v>
      </c>
      <c r="I93" s="186" t="s">
        <v>763</v>
      </c>
    </row>
    <row r="94" spans="1:10" s="180" customFormat="1" ht="46.5" customHeight="1" x14ac:dyDescent="0.35">
      <c r="A94" s="735">
        <v>1</v>
      </c>
      <c r="B94" s="581" t="s">
        <v>477</v>
      </c>
      <c r="C94" s="581"/>
      <c r="D94" s="581" t="s">
        <v>23</v>
      </c>
      <c r="E94" s="581" t="s">
        <v>207</v>
      </c>
      <c r="F94" s="180" t="s">
        <v>764</v>
      </c>
      <c r="G94" s="180" t="s">
        <v>180</v>
      </c>
      <c r="H94" s="180" t="s">
        <v>23</v>
      </c>
      <c r="I94" s="180" t="s">
        <v>368</v>
      </c>
    </row>
    <row r="95" spans="1:10" s="180" customFormat="1" ht="112.5" customHeight="1" x14ac:dyDescent="0.35">
      <c r="A95" s="735"/>
      <c r="B95" s="581" t="s">
        <v>477</v>
      </c>
      <c r="C95" s="581"/>
      <c r="D95" s="581" t="s">
        <v>23</v>
      </c>
      <c r="E95" s="581" t="s">
        <v>207</v>
      </c>
      <c r="F95" s="180" t="s">
        <v>764</v>
      </c>
      <c r="G95" s="180" t="s">
        <v>39</v>
      </c>
      <c r="H95" s="180" t="s">
        <v>23</v>
      </c>
      <c r="I95" s="186" t="s">
        <v>765</v>
      </c>
    </row>
    <row r="96" spans="1:10" s="180" customFormat="1" ht="46.5" customHeight="1" x14ac:dyDescent="0.35">
      <c r="A96" s="735"/>
      <c r="B96" s="581" t="s">
        <v>477</v>
      </c>
      <c r="C96" s="581"/>
      <c r="D96" s="581" t="s">
        <v>23</v>
      </c>
      <c r="E96" s="581" t="s">
        <v>478</v>
      </c>
      <c r="F96" s="180" t="s">
        <v>766</v>
      </c>
      <c r="G96" s="180" t="s">
        <v>33</v>
      </c>
      <c r="H96" s="180" t="s">
        <v>54</v>
      </c>
      <c r="I96" s="180" t="s">
        <v>374</v>
      </c>
    </row>
    <row r="97" spans="1:10" s="180" customFormat="1" ht="112.5" customHeight="1" x14ac:dyDescent="0.35">
      <c r="A97" s="735"/>
      <c r="B97" s="581" t="s">
        <v>477</v>
      </c>
      <c r="C97" s="581"/>
      <c r="D97" s="581"/>
      <c r="E97" s="581" t="s">
        <v>478</v>
      </c>
      <c r="F97" s="180" t="s">
        <v>766</v>
      </c>
      <c r="G97" s="180" t="s">
        <v>39</v>
      </c>
      <c r="H97" s="180" t="s">
        <v>54</v>
      </c>
      <c r="I97" s="186" t="s">
        <v>767</v>
      </c>
    </row>
    <row r="98" spans="1:10" s="76" customFormat="1" ht="25" customHeight="1" x14ac:dyDescent="0.35">
      <c r="A98" s="177"/>
      <c r="B98" s="178" t="s">
        <v>225</v>
      </c>
      <c r="C98" s="178"/>
      <c r="D98" s="178"/>
      <c r="E98" s="178"/>
      <c r="F98" s="177"/>
      <c r="G98" s="177"/>
      <c r="H98" s="177"/>
      <c r="I98" s="177"/>
      <c r="J98" s="80"/>
    </row>
    <row r="99" spans="1:10" s="75" customFormat="1" ht="87" customHeight="1" x14ac:dyDescent="0.35">
      <c r="A99" s="678"/>
      <c r="B99" s="733" t="s">
        <v>768</v>
      </c>
      <c r="C99" s="576"/>
      <c r="D99" s="581" t="s">
        <v>23</v>
      </c>
      <c r="E99" s="576" t="s">
        <v>769</v>
      </c>
      <c r="F99" s="84" t="s">
        <v>770</v>
      </c>
      <c r="G99" s="84" t="s">
        <v>771</v>
      </c>
      <c r="H99" s="84" t="s">
        <v>772</v>
      </c>
      <c r="I99" s="84" t="s">
        <v>773</v>
      </c>
      <c r="J99" s="73" t="s">
        <v>774</v>
      </c>
    </row>
    <row r="100" spans="1:10" s="75" customFormat="1" ht="60" customHeight="1" x14ac:dyDescent="0.35">
      <c r="A100" s="678"/>
      <c r="B100" s="733"/>
      <c r="C100" s="576"/>
      <c r="D100" s="581" t="s">
        <v>23</v>
      </c>
      <c r="E100" s="576"/>
      <c r="F100" s="84" t="s">
        <v>775</v>
      </c>
      <c r="G100" s="84" t="s">
        <v>771</v>
      </c>
      <c r="H100" s="84" t="s">
        <v>772</v>
      </c>
      <c r="I100" s="84" t="s">
        <v>776</v>
      </c>
      <c r="J100" s="73"/>
    </row>
    <row r="101" spans="1:10" s="75" customFormat="1" ht="48" customHeight="1" x14ac:dyDescent="0.35">
      <c r="A101" s="678"/>
      <c r="B101" s="733"/>
      <c r="C101" s="576"/>
      <c r="D101" s="581" t="s">
        <v>23</v>
      </c>
      <c r="E101" s="576" t="s">
        <v>777</v>
      </c>
      <c r="F101" s="76" t="s">
        <v>778</v>
      </c>
      <c r="G101" s="76" t="s">
        <v>771</v>
      </c>
      <c r="H101" s="76"/>
      <c r="I101" s="76" t="s">
        <v>779</v>
      </c>
      <c r="J101" s="76"/>
    </row>
    <row r="102" spans="1:10" s="75" customFormat="1" ht="48" customHeight="1" x14ac:dyDescent="0.35">
      <c r="A102" s="678">
        <v>1</v>
      </c>
      <c r="B102" s="576" t="s">
        <v>488</v>
      </c>
      <c r="C102" s="576"/>
      <c r="D102" s="576" t="s">
        <v>23</v>
      </c>
      <c r="E102" s="576" t="s">
        <v>17</v>
      </c>
      <c r="F102" s="77" t="s">
        <v>27</v>
      </c>
      <c r="G102" s="76" t="s">
        <v>19</v>
      </c>
      <c r="H102" s="582" t="s">
        <v>20</v>
      </c>
      <c r="I102" s="76" t="s">
        <v>368</v>
      </c>
      <c r="J102" s="76"/>
    </row>
    <row r="103" spans="1:10" ht="63.75" customHeight="1" x14ac:dyDescent="0.3">
      <c r="A103" s="678"/>
      <c r="B103" s="576" t="s">
        <v>488</v>
      </c>
      <c r="C103" s="576"/>
      <c r="D103" s="576" t="s">
        <v>23</v>
      </c>
      <c r="E103" s="576" t="s">
        <v>17</v>
      </c>
      <c r="F103" s="77" t="s">
        <v>27</v>
      </c>
      <c r="G103" s="77" t="s">
        <v>22</v>
      </c>
      <c r="H103" s="147" t="s">
        <v>23</v>
      </c>
      <c r="I103" s="77" t="s">
        <v>489</v>
      </c>
      <c r="J103" s="188"/>
    </row>
    <row r="104" spans="1:10" s="189" customFormat="1" ht="60" customHeight="1" x14ac:dyDescent="0.35">
      <c r="A104" s="738">
        <v>2</v>
      </c>
      <c r="B104" s="576" t="s">
        <v>488</v>
      </c>
      <c r="C104" s="576"/>
      <c r="D104" s="189" t="s">
        <v>510</v>
      </c>
      <c r="E104" s="189" t="s">
        <v>522</v>
      </c>
      <c r="F104" s="189" t="s">
        <v>523</v>
      </c>
      <c r="G104" s="189" t="s">
        <v>39</v>
      </c>
      <c r="H104" s="189" t="s">
        <v>23</v>
      </c>
      <c r="I104" s="190" t="s">
        <v>362</v>
      </c>
    </row>
    <row r="105" spans="1:10" s="189" customFormat="1" ht="60" customHeight="1" x14ac:dyDescent="0.35">
      <c r="A105" s="738"/>
      <c r="B105" s="576" t="s">
        <v>488</v>
      </c>
      <c r="C105" s="576"/>
      <c r="D105" s="189" t="s">
        <v>510</v>
      </c>
      <c r="E105" s="189" t="s">
        <v>522</v>
      </c>
      <c r="F105" s="189" t="s">
        <v>523</v>
      </c>
      <c r="G105" s="189" t="s">
        <v>61</v>
      </c>
      <c r="H105" s="189" t="s">
        <v>23</v>
      </c>
      <c r="I105" s="190" t="s">
        <v>524</v>
      </c>
    </row>
    <row r="106" spans="1:10" s="75" customFormat="1" ht="57.75" customHeight="1" x14ac:dyDescent="0.35">
      <c r="A106" s="678">
        <v>1</v>
      </c>
      <c r="B106" s="195" t="s">
        <v>780</v>
      </c>
      <c r="C106" s="195"/>
      <c r="D106" s="195" t="s">
        <v>781</v>
      </c>
      <c r="E106" s="195" t="s">
        <v>227</v>
      </c>
      <c r="F106" s="77" t="s">
        <v>782</v>
      </c>
      <c r="G106" s="77" t="s">
        <v>33</v>
      </c>
      <c r="H106" s="77"/>
      <c r="I106" s="77" t="s">
        <v>229</v>
      </c>
      <c r="J106" s="162" t="s">
        <v>497</v>
      </c>
    </row>
    <row r="107" spans="1:10" s="75" customFormat="1" ht="57.75" customHeight="1" x14ac:dyDescent="0.35">
      <c r="A107" s="678"/>
      <c r="B107" s="195" t="s">
        <v>780</v>
      </c>
      <c r="C107" s="195"/>
      <c r="D107" s="576" t="s">
        <v>781</v>
      </c>
      <c r="E107" s="195" t="s">
        <v>227</v>
      </c>
      <c r="F107" s="77" t="s">
        <v>782</v>
      </c>
      <c r="G107" s="77" t="s">
        <v>19</v>
      </c>
      <c r="H107" s="77"/>
      <c r="I107" s="77" t="s">
        <v>783</v>
      </c>
      <c r="J107" s="162"/>
    </row>
    <row r="108" spans="1:10" ht="81.75" customHeight="1" x14ac:dyDescent="0.3">
      <c r="A108" s="678">
        <v>2</v>
      </c>
      <c r="B108" s="195" t="s">
        <v>780</v>
      </c>
      <c r="C108" s="195"/>
      <c r="D108" s="576" t="s">
        <v>781</v>
      </c>
      <c r="E108" s="576" t="s">
        <v>227</v>
      </c>
      <c r="F108" s="77" t="s">
        <v>498</v>
      </c>
      <c r="G108" s="77" t="s">
        <v>33</v>
      </c>
      <c r="H108" s="77"/>
      <c r="I108" s="77" t="s">
        <v>784</v>
      </c>
      <c r="J108" s="162" t="s">
        <v>497</v>
      </c>
    </row>
    <row r="109" spans="1:10" ht="81.75" customHeight="1" x14ac:dyDescent="0.3">
      <c r="A109" s="678"/>
      <c r="B109" s="195" t="s">
        <v>780</v>
      </c>
      <c r="C109" s="195"/>
      <c r="D109" s="576" t="s">
        <v>781</v>
      </c>
      <c r="E109" s="576" t="s">
        <v>227</v>
      </c>
      <c r="F109" s="77" t="s">
        <v>498</v>
      </c>
      <c r="G109" s="77" t="s">
        <v>19</v>
      </c>
      <c r="H109" s="77"/>
      <c r="I109" s="77" t="s">
        <v>783</v>
      </c>
      <c r="J109" s="162"/>
    </row>
    <row r="110" spans="1:10" ht="81.75" customHeight="1" x14ac:dyDescent="0.3">
      <c r="A110" s="678">
        <v>3</v>
      </c>
      <c r="B110" s="195" t="s">
        <v>780</v>
      </c>
      <c r="C110" s="195"/>
      <c r="D110" s="576" t="s">
        <v>781</v>
      </c>
      <c r="E110" s="576" t="s">
        <v>227</v>
      </c>
      <c r="F110" s="73" t="s">
        <v>235</v>
      </c>
      <c r="G110" s="77" t="s">
        <v>39</v>
      </c>
      <c r="H110" s="77" t="s">
        <v>20</v>
      </c>
      <c r="I110" s="77" t="s">
        <v>368</v>
      </c>
      <c r="J110" s="162"/>
    </row>
    <row r="111" spans="1:10" ht="65" x14ac:dyDescent="0.3">
      <c r="A111" s="678"/>
      <c r="B111" s="195" t="s">
        <v>780</v>
      </c>
      <c r="C111" s="195"/>
      <c r="D111" s="576" t="s">
        <v>781</v>
      </c>
      <c r="E111" s="576" t="s">
        <v>227</v>
      </c>
      <c r="F111" s="73" t="s">
        <v>235</v>
      </c>
      <c r="G111" s="98" t="s">
        <v>33</v>
      </c>
      <c r="H111" s="293" t="s">
        <v>23</v>
      </c>
      <c r="I111" s="73" t="s">
        <v>236</v>
      </c>
      <c r="J111" s="294"/>
    </row>
    <row r="112" spans="1:10" ht="97.5" customHeight="1" x14ac:dyDescent="0.3">
      <c r="A112" s="678">
        <v>4</v>
      </c>
      <c r="B112" s="195" t="s">
        <v>780</v>
      </c>
      <c r="C112" s="195"/>
      <c r="D112" s="576" t="s">
        <v>781</v>
      </c>
      <c r="E112" s="576" t="s">
        <v>227</v>
      </c>
      <c r="F112" s="73" t="s">
        <v>237</v>
      </c>
      <c r="G112" s="98" t="s">
        <v>33</v>
      </c>
      <c r="H112" s="293" t="s">
        <v>23</v>
      </c>
      <c r="I112" s="73" t="s">
        <v>238</v>
      </c>
      <c r="J112" s="294"/>
    </row>
    <row r="113" spans="1:10" ht="97.5" customHeight="1" x14ac:dyDescent="0.3">
      <c r="A113" s="678"/>
      <c r="B113" s="195" t="s">
        <v>780</v>
      </c>
      <c r="C113" s="195"/>
      <c r="D113" s="576" t="s">
        <v>781</v>
      </c>
      <c r="E113" s="576" t="s">
        <v>227</v>
      </c>
      <c r="F113" s="73" t="s">
        <v>237</v>
      </c>
      <c r="G113" s="98" t="s">
        <v>19</v>
      </c>
      <c r="H113" s="293" t="s">
        <v>20</v>
      </c>
      <c r="I113" s="73" t="s">
        <v>785</v>
      </c>
      <c r="J113" s="294"/>
    </row>
    <row r="114" spans="1:10" ht="104" x14ac:dyDescent="0.3">
      <c r="A114" s="678">
        <v>5</v>
      </c>
      <c r="B114" s="195" t="s">
        <v>780</v>
      </c>
      <c r="C114" s="195"/>
      <c r="D114" s="576" t="s">
        <v>786</v>
      </c>
      <c r="E114" s="576" t="s">
        <v>227</v>
      </c>
      <c r="F114" s="98" t="s">
        <v>787</v>
      </c>
      <c r="G114" s="98" t="s">
        <v>33</v>
      </c>
      <c r="H114" s="293" t="s">
        <v>23</v>
      </c>
      <c r="I114" s="98" t="s">
        <v>503</v>
      </c>
      <c r="J114" s="188" t="s">
        <v>788</v>
      </c>
    </row>
    <row r="115" spans="1:10" ht="39" x14ac:dyDescent="0.3">
      <c r="A115" s="678"/>
      <c r="B115" s="195" t="s">
        <v>780</v>
      </c>
      <c r="C115" s="195"/>
      <c r="D115" s="576" t="s">
        <v>786</v>
      </c>
      <c r="E115" s="576" t="s">
        <v>227</v>
      </c>
      <c r="F115" s="98" t="s">
        <v>787</v>
      </c>
      <c r="G115" s="98" t="s">
        <v>19</v>
      </c>
      <c r="H115" s="293" t="s">
        <v>23</v>
      </c>
      <c r="I115" s="98" t="s">
        <v>368</v>
      </c>
      <c r="J115" s="188"/>
    </row>
    <row r="116" spans="1:10" s="192" customFormat="1" ht="60" customHeight="1" x14ac:dyDescent="0.35">
      <c r="A116" s="740">
        <v>1</v>
      </c>
      <c r="B116" s="191" t="s">
        <v>789</v>
      </c>
      <c r="C116" s="191"/>
      <c r="D116" s="192" t="s">
        <v>23</v>
      </c>
      <c r="E116" s="192" t="s">
        <v>505</v>
      </c>
      <c r="F116" s="192" t="s">
        <v>506</v>
      </c>
      <c r="G116" s="192" t="s">
        <v>61</v>
      </c>
      <c r="H116" s="192" t="s">
        <v>23</v>
      </c>
      <c r="I116" s="193" t="s">
        <v>507</v>
      </c>
    </row>
    <row r="117" spans="1:10" s="192" customFormat="1" ht="60" customHeight="1" x14ac:dyDescent="0.35">
      <c r="A117" s="740"/>
      <c r="B117" s="191" t="s">
        <v>789</v>
      </c>
      <c r="C117" s="191"/>
      <c r="D117" s="192" t="s">
        <v>23</v>
      </c>
      <c r="E117" s="192" t="s">
        <v>505</v>
      </c>
      <c r="F117" s="192" t="s">
        <v>506</v>
      </c>
      <c r="G117" s="192" t="s">
        <v>39</v>
      </c>
      <c r="H117" s="192" t="s">
        <v>23</v>
      </c>
      <c r="I117" s="193" t="s">
        <v>508</v>
      </c>
    </row>
    <row r="118" spans="1:10" s="189" customFormat="1" ht="60" customHeight="1" x14ac:dyDescent="0.35">
      <c r="A118" s="738">
        <v>1</v>
      </c>
      <c r="B118" s="194" t="s">
        <v>790</v>
      </c>
      <c r="C118" s="194"/>
      <c r="D118" s="189" t="s">
        <v>510</v>
      </c>
      <c r="E118" s="189" t="s">
        <v>264</v>
      </c>
      <c r="F118" s="189" t="s">
        <v>511</v>
      </c>
      <c r="G118" s="189" t="s">
        <v>61</v>
      </c>
      <c r="H118" s="189" t="s">
        <v>23</v>
      </c>
      <c r="I118" s="190" t="s">
        <v>362</v>
      </c>
    </row>
    <row r="119" spans="1:10" s="189" customFormat="1" ht="60" customHeight="1" x14ac:dyDescent="0.35">
      <c r="A119" s="738"/>
      <c r="B119" s="194" t="s">
        <v>790</v>
      </c>
      <c r="C119" s="194"/>
      <c r="D119" s="189" t="s">
        <v>510</v>
      </c>
      <c r="E119" s="189" t="s">
        <v>264</v>
      </c>
      <c r="F119" s="189" t="s">
        <v>511</v>
      </c>
      <c r="G119" s="189" t="s">
        <v>39</v>
      </c>
      <c r="H119" s="189" t="s">
        <v>23</v>
      </c>
      <c r="I119" s="190" t="s">
        <v>267</v>
      </c>
    </row>
    <row r="120" spans="1:10" s="189" customFormat="1" ht="60" customHeight="1" x14ac:dyDescent="0.35">
      <c r="A120" s="738">
        <v>2</v>
      </c>
      <c r="B120" s="194" t="s">
        <v>790</v>
      </c>
      <c r="C120" s="194"/>
      <c r="D120" s="189" t="s">
        <v>512</v>
      </c>
      <c r="E120" s="189" t="s">
        <v>270</v>
      </c>
      <c r="F120" s="189" t="s">
        <v>513</v>
      </c>
      <c r="G120" s="189" t="s">
        <v>61</v>
      </c>
      <c r="H120" s="189" t="s">
        <v>23</v>
      </c>
      <c r="I120" s="190" t="s">
        <v>272</v>
      </c>
    </row>
    <row r="121" spans="1:10" s="189" customFormat="1" ht="60" customHeight="1" x14ac:dyDescent="0.35">
      <c r="A121" s="738"/>
      <c r="B121" s="194" t="s">
        <v>790</v>
      </c>
      <c r="C121" s="194"/>
      <c r="D121" s="189" t="s">
        <v>512</v>
      </c>
      <c r="E121" s="189" t="s">
        <v>270</v>
      </c>
      <c r="F121" s="189" t="s">
        <v>513</v>
      </c>
      <c r="G121" s="189" t="s">
        <v>39</v>
      </c>
      <c r="H121" s="189" t="s">
        <v>23</v>
      </c>
      <c r="I121" s="190" t="s">
        <v>362</v>
      </c>
    </row>
    <row r="122" spans="1:10" s="189" customFormat="1" ht="60" customHeight="1" x14ac:dyDescent="0.35">
      <c r="A122" s="738">
        <v>3</v>
      </c>
      <c r="B122" s="194" t="s">
        <v>790</v>
      </c>
      <c r="C122" s="194"/>
      <c r="D122" s="189" t="s">
        <v>514</v>
      </c>
      <c r="E122" s="189" t="s">
        <v>276</v>
      </c>
      <c r="F122" s="189" t="s">
        <v>515</v>
      </c>
      <c r="G122" s="189" t="s">
        <v>61</v>
      </c>
      <c r="H122" s="189" t="s">
        <v>23</v>
      </c>
      <c r="I122" s="190" t="s">
        <v>278</v>
      </c>
    </row>
    <row r="123" spans="1:10" s="189" customFormat="1" ht="60" customHeight="1" x14ac:dyDescent="0.35">
      <c r="A123" s="738"/>
      <c r="B123" s="194" t="s">
        <v>790</v>
      </c>
      <c r="C123" s="194"/>
      <c r="D123" s="189" t="s">
        <v>514</v>
      </c>
      <c r="E123" s="189" t="s">
        <v>276</v>
      </c>
      <c r="F123" s="189" t="s">
        <v>515</v>
      </c>
      <c r="G123" s="189" t="s">
        <v>39</v>
      </c>
      <c r="H123" s="189" t="s">
        <v>23</v>
      </c>
      <c r="I123" s="190" t="s">
        <v>280</v>
      </c>
    </row>
    <row r="124" spans="1:10" s="189" customFormat="1" ht="60" customHeight="1" x14ac:dyDescent="0.35">
      <c r="A124" s="738">
        <v>4</v>
      </c>
      <c r="B124" s="194" t="s">
        <v>790</v>
      </c>
      <c r="C124" s="194"/>
      <c r="D124" s="189" t="s">
        <v>516</v>
      </c>
      <c r="E124" s="189" t="s">
        <v>282</v>
      </c>
      <c r="F124" s="189" t="s">
        <v>517</v>
      </c>
      <c r="G124" s="189" t="s">
        <v>61</v>
      </c>
      <c r="H124" s="189" t="s">
        <v>23</v>
      </c>
      <c r="I124" s="190" t="s">
        <v>362</v>
      </c>
    </row>
    <row r="125" spans="1:10" s="189" customFormat="1" ht="60" customHeight="1" x14ac:dyDescent="0.35">
      <c r="A125" s="738"/>
      <c r="B125" s="194" t="s">
        <v>790</v>
      </c>
      <c r="C125" s="194"/>
      <c r="D125" s="189" t="s">
        <v>516</v>
      </c>
      <c r="E125" s="189" t="s">
        <v>282</v>
      </c>
      <c r="F125" s="189" t="s">
        <v>517</v>
      </c>
      <c r="G125" s="189" t="s">
        <v>39</v>
      </c>
      <c r="H125" s="189" t="s">
        <v>23</v>
      </c>
      <c r="I125" s="190" t="s">
        <v>286</v>
      </c>
    </row>
    <row r="126" spans="1:10" s="192" customFormat="1" ht="60" customHeight="1" x14ac:dyDescent="0.35">
      <c r="A126" s="740">
        <v>5</v>
      </c>
      <c r="B126" s="194" t="s">
        <v>790</v>
      </c>
      <c r="C126" s="194"/>
      <c r="D126" s="192" t="s">
        <v>518</v>
      </c>
      <c r="E126" s="192" t="s">
        <v>246</v>
      </c>
      <c r="F126" s="192" t="s">
        <v>519</v>
      </c>
      <c r="G126" s="192" t="s">
        <v>61</v>
      </c>
      <c r="H126" s="192" t="s">
        <v>23</v>
      </c>
      <c r="I126" s="193" t="s">
        <v>362</v>
      </c>
    </row>
    <row r="127" spans="1:10" s="192" customFormat="1" ht="60" customHeight="1" x14ac:dyDescent="0.35">
      <c r="A127" s="740"/>
      <c r="B127" s="194" t="s">
        <v>790</v>
      </c>
      <c r="C127" s="194"/>
      <c r="D127" s="192" t="s">
        <v>518</v>
      </c>
      <c r="E127" s="192" t="s">
        <v>246</v>
      </c>
      <c r="F127" s="192" t="s">
        <v>519</v>
      </c>
      <c r="G127" s="192" t="s">
        <v>39</v>
      </c>
      <c r="H127" s="192" t="s">
        <v>23</v>
      </c>
      <c r="I127" s="193" t="s">
        <v>520</v>
      </c>
    </row>
    <row r="128" spans="1:10" ht="39" x14ac:dyDescent="0.3">
      <c r="A128" s="739">
        <v>1</v>
      </c>
      <c r="B128" s="733" t="s">
        <v>287</v>
      </c>
      <c r="C128" s="576"/>
      <c r="D128" s="100" t="s">
        <v>23</v>
      </c>
      <c r="F128" s="576" t="s">
        <v>791</v>
      </c>
      <c r="G128" s="576" t="s">
        <v>39</v>
      </c>
      <c r="H128" s="293" t="s">
        <v>23</v>
      </c>
      <c r="I128" s="576" t="s">
        <v>527</v>
      </c>
      <c r="J128" s="294"/>
    </row>
    <row r="129" spans="1:9" ht="39" x14ac:dyDescent="0.3">
      <c r="A129" s="739"/>
      <c r="B129" s="733"/>
      <c r="C129" s="576"/>
      <c r="D129" s="100" t="s">
        <v>23</v>
      </c>
      <c r="F129" s="576" t="s">
        <v>791</v>
      </c>
      <c r="G129" s="576" t="s">
        <v>22</v>
      </c>
      <c r="H129" s="293" t="s">
        <v>23</v>
      </c>
      <c r="I129" s="180" t="s">
        <v>368</v>
      </c>
    </row>
    <row r="130" spans="1:9" ht="39" x14ac:dyDescent="0.3">
      <c r="A130" s="739">
        <v>1</v>
      </c>
      <c r="B130" s="733"/>
      <c r="C130" s="576"/>
      <c r="D130" s="100" t="s">
        <v>23</v>
      </c>
      <c r="F130" s="576" t="s">
        <v>792</v>
      </c>
      <c r="G130" s="576" t="s">
        <v>39</v>
      </c>
      <c r="H130" s="293" t="s">
        <v>23</v>
      </c>
      <c r="I130" s="576" t="s">
        <v>793</v>
      </c>
    </row>
    <row r="131" spans="1:9" ht="39" x14ac:dyDescent="0.3">
      <c r="A131" s="739"/>
      <c r="B131" s="733"/>
      <c r="C131" s="576"/>
      <c r="D131" s="100" t="s">
        <v>23</v>
      </c>
      <c r="F131" s="576" t="s">
        <v>792</v>
      </c>
      <c r="G131" s="576" t="s">
        <v>22</v>
      </c>
      <c r="H131" s="293" t="s">
        <v>23</v>
      </c>
      <c r="I131" s="180" t="s">
        <v>368</v>
      </c>
    </row>
    <row r="132" spans="1:9" ht="65" x14ac:dyDescent="0.3">
      <c r="A132" s="739">
        <v>1</v>
      </c>
      <c r="B132" s="733"/>
      <c r="C132" s="576"/>
      <c r="D132" s="100" t="s">
        <v>23</v>
      </c>
      <c r="F132" s="576" t="s">
        <v>530</v>
      </c>
      <c r="G132" s="576" t="s">
        <v>39</v>
      </c>
      <c r="H132" s="293" t="s">
        <v>23</v>
      </c>
      <c r="I132" s="576" t="s">
        <v>531</v>
      </c>
    </row>
    <row r="133" spans="1:9" ht="26" x14ac:dyDescent="0.3">
      <c r="A133" s="739"/>
      <c r="B133" s="733"/>
      <c r="C133" s="576"/>
      <c r="D133" s="100" t="s">
        <v>23</v>
      </c>
      <c r="F133" s="576" t="s">
        <v>530</v>
      </c>
      <c r="G133" s="576" t="s">
        <v>22</v>
      </c>
      <c r="H133" s="293" t="s">
        <v>23</v>
      </c>
      <c r="I133" s="180" t="s">
        <v>368</v>
      </c>
    </row>
    <row r="134" spans="1:9" ht="39" x14ac:dyDescent="0.3">
      <c r="A134" s="739">
        <v>1</v>
      </c>
      <c r="B134" s="733"/>
      <c r="C134" s="576"/>
      <c r="D134" s="100" t="s">
        <v>23</v>
      </c>
      <c r="F134" s="576" t="s">
        <v>794</v>
      </c>
      <c r="G134" s="576" t="s">
        <v>39</v>
      </c>
      <c r="H134" s="293" t="s">
        <v>23</v>
      </c>
      <c r="I134" s="576" t="s">
        <v>296</v>
      </c>
    </row>
    <row r="135" spans="1:9" ht="39" x14ac:dyDescent="0.3">
      <c r="A135" s="739"/>
      <c r="B135" s="733"/>
      <c r="C135" s="576"/>
      <c r="D135" s="100" t="s">
        <v>23</v>
      </c>
      <c r="F135" s="576" t="s">
        <v>794</v>
      </c>
      <c r="G135" s="576" t="s">
        <v>22</v>
      </c>
      <c r="H135" s="293" t="s">
        <v>23</v>
      </c>
      <c r="I135" s="180" t="s">
        <v>368</v>
      </c>
    </row>
    <row r="136" spans="1:9" ht="26" x14ac:dyDescent="0.3">
      <c r="A136" s="739">
        <v>1</v>
      </c>
      <c r="B136" s="733"/>
      <c r="C136" s="576"/>
      <c r="D136" s="100" t="s">
        <v>23</v>
      </c>
      <c r="F136" s="576" t="s">
        <v>297</v>
      </c>
      <c r="G136" s="576" t="s">
        <v>39</v>
      </c>
      <c r="H136" s="293" t="s">
        <v>23</v>
      </c>
      <c r="I136" s="576" t="s">
        <v>298</v>
      </c>
    </row>
    <row r="137" spans="1:9" ht="26" x14ac:dyDescent="0.3">
      <c r="A137" s="739"/>
      <c r="B137" s="733"/>
      <c r="C137" s="576"/>
      <c r="D137" s="100" t="s">
        <v>23</v>
      </c>
      <c r="F137" s="576" t="s">
        <v>297</v>
      </c>
      <c r="G137" s="576" t="s">
        <v>22</v>
      </c>
      <c r="H137" s="293" t="s">
        <v>23</v>
      </c>
      <c r="I137" s="180" t="s">
        <v>368</v>
      </c>
    </row>
  </sheetData>
  <customSheetViews>
    <customSheetView guid="{59B363CD-3DDC-B04B-9DA2-AD720BF8C467}" scale="80" state="hidden">
      <pane xSplit="1" ySplit="1.0277777777777777" topLeftCell="C6" activePane="bottomRight" state="frozenSplit"/>
      <selection pane="bottomRight" activeCell="I14" sqref="I14:I15"/>
      <pageMargins left="0" right="0" top="0" bottom="0" header="0" footer="0"/>
      <pageSetup orientation="portrait"/>
    </customSheetView>
    <customSheetView guid="{C2C56F38-527D-46F3-8E7F-3C5092082195}" scale="80" state="hidden">
      <pane xSplit="1" ySplit="1" topLeftCell="C6" activePane="bottomRight" state="frozenSplit"/>
      <selection pane="bottomRight" activeCell="I14" sqref="I14:I15"/>
      <pageMargins left="0" right="0" top="0" bottom="0" header="0" footer="0"/>
      <pageSetup orientation="portrait"/>
    </customSheetView>
  </customSheetViews>
  <mergeCells count="58">
    <mergeCell ref="A16:A17"/>
    <mergeCell ref="A18:A19"/>
    <mergeCell ref="B25:B34"/>
    <mergeCell ref="A33:A34"/>
    <mergeCell ref="A31:A32"/>
    <mergeCell ref="A20:A21"/>
    <mergeCell ref="A22:A23"/>
    <mergeCell ref="B10:B23"/>
    <mergeCell ref="A134:A135"/>
    <mergeCell ref="A136:A137"/>
    <mergeCell ref="A128:A129"/>
    <mergeCell ref="B128:B137"/>
    <mergeCell ref="A114:A115"/>
    <mergeCell ref="A116:A117"/>
    <mergeCell ref="A118:A119"/>
    <mergeCell ref="A120:A121"/>
    <mergeCell ref="A122:A123"/>
    <mergeCell ref="A124:A125"/>
    <mergeCell ref="A126:A127"/>
    <mergeCell ref="A132:A133"/>
    <mergeCell ref="A130:A131"/>
    <mergeCell ref="A106:A107"/>
    <mergeCell ref="A108:A109"/>
    <mergeCell ref="A112:A113"/>
    <mergeCell ref="A58:A61"/>
    <mergeCell ref="A85:A86"/>
    <mergeCell ref="A87:A89"/>
    <mergeCell ref="A110:A111"/>
    <mergeCell ref="A79:A84"/>
    <mergeCell ref="A66:A69"/>
    <mergeCell ref="A70:A74"/>
    <mergeCell ref="A75:A78"/>
    <mergeCell ref="A99:A101"/>
    <mergeCell ref="A90:A91"/>
    <mergeCell ref="A94:A97"/>
    <mergeCell ref="A102:A103"/>
    <mergeCell ref="A104:A105"/>
    <mergeCell ref="A46:A47"/>
    <mergeCell ref="A37:A38"/>
    <mergeCell ref="A39:A40"/>
    <mergeCell ref="A43:A44"/>
    <mergeCell ref="A41:A42"/>
    <mergeCell ref="A3:A9"/>
    <mergeCell ref="B3:B9"/>
    <mergeCell ref="B99:B101"/>
    <mergeCell ref="F3:F9"/>
    <mergeCell ref="E3:E9"/>
    <mergeCell ref="A10:A11"/>
    <mergeCell ref="A48:A50"/>
    <mergeCell ref="A12:A13"/>
    <mergeCell ref="A14:A15"/>
    <mergeCell ref="A25:A26"/>
    <mergeCell ref="A27:A28"/>
    <mergeCell ref="A29:A30"/>
    <mergeCell ref="A51:A53"/>
    <mergeCell ref="A54:A57"/>
    <mergeCell ref="A35:A36"/>
    <mergeCell ref="A62:A65"/>
  </mergeCells>
  <pageMargins left="0.75" right="0.75" top="1" bottom="1" header="0.5" footer="0.5"/>
  <pageSetup orientation="portrait"/>
  <drawing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K105"/>
  <sheetViews>
    <sheetView showGridLines="0" showRowColHeaders="0" topLeftCell="B66" zoomScaleNormal="100" zoomScaleSheetLayoutView="80" workbookViewId="0">
      <selection activeCell="L69" sqref="L69:T71"/>
    </sheetView>
  </sheetViews>
  <sheetFormatPr defaultColWidth="8.81640625" defaultRowHeight="17.5" x14ac:dyDescent="0.25"/>
  <cols>
    <col min="1" max="10" width="8.81640625" style="443"/>
    <col min="11" max="11" width="8.81640625" style="462"/>
    <col min="12" max="19" width="8.81640625" style="458"/>
    <col min="20" max="16384" width="8.81640625" style="443"/>
  </cols>
  <sheetData>
    <row r="1" spans="2:37" ht="17.5" customHeight="1" x14ac:dyDescent="0.25">
      <c r="B1" s="752" t="s">
        <v>795</v>
      </c>
      <c r="C1" s="753"/>
      <c r="D1" s="753"/>
      <c r="E1" s="753"/>
      <c r="F1" s="753"/>
      <c r="G1" s="753"/>
      <c r="H1" s="753"/>
      <c r="I1" s="753"/>
      <c r="J1" s="754"/>
      <c r="K1" s="744"/>
      <c r="L1" s="769" t="s">
        <v>1027</v>
      </c>
      <c r="M1" s="769"/>
      <c r="N1" s="769"/>
      <c r="O1" s="769"/>
      <c r="P1" s="769"/>
      <c r="Q1" s="769"/>
      <c r="R1" s="769"/>
      <c r="S1" s="769"/>
      <c r="T1" s="769"/>
      <c r="U1" s="458"/>
      <c r="V1" s="782" t="s">
        <v>796</v>
      </c>
      <c r="W1" s="783"/>
      <c r="X1" s="783"/>
      <c r="Y1" s="783"/>
      <c r="Z1" s="783"/>
      <c r="AA1" s="783"/>
      <c r="AB1" s="783"/>
      <c r="AC1" s="783"/>
      <c r="AD1" s="784"/>
      <c r="AE1" s="459"/>
      <c r="AF1" s="459"/>
      <c r="AG1" s="459"/>
      <c r="AH1" s="459"/>
      <c r="AI1" s="459"/>
      <c r="AJ1" s="459"/>
      <c r="AK1" s="459"/>
    </row>
    <row r="2" spans="2:37" ht="15.75" customHeight="1" x14ac:dyDescent="0.25">
      <c r="B2" s="741"/>
      <c r="C2" s="742"/>
      <c r="D2" s="742"/>
      <c r="E2" s="742"/>
      <c r="F2" s="742"/>
      <c r="G2" s="742"/>
      <c r="H2" s="742"/>
      <c r="I2" s="742"/>
      <c r="J2" s="743"/>
      <c r="K2" s="744"/>
      <c r="L2" s="769"/>
      <c r="M2" s="769"/>
      <c r="N2" s="769"/>
      <c r="O2" s="769"/>
      <c r="P2" s="769"/>
      <c r="Q2" s="769"/>
      <c r="R2" s="769"/>
      <c r="S2" s="769"/>
      <c r="T2" s="769"/>
      <c r="U2" s="458"/>
      <c r="V2" s="785"/>
      <c r="W2" s="786"/>
      <c r="X2" s="786"/>
      <c r="Y2" s="786"/>
      <c r="Z2" s="786"/>
      <c r="AA2" s="786"/>
      <c r="AB2" s="786"/>
      <c r="AC2" s="786"/>
      <c r="AD2" s="787"/>
      <c r="AE2" s="459"/>
      <c r="AF2" s="459"/>
      <c r="AG2" s="459"/>
      <c r="AH2" s="459"/>
      <c r="AI2" s="459"/>
      <c r="AJ2" s="459"/>
      <c r="AK2" s="459"/>
    </row>
    <row r="3" spans="2:37" ht="13.5" customHeight="1" x14ac:dyDescent="0.3">
      <c r="B3" s="741"/>
      <c r="C3" s="742"/>
      <c r="D3" s="742"/>
      <c r="E3" s="742"/>
      <c r="F3" s="742"/>
      <c r="G3" s="742"/>
      <c r="H3" s="742"/>
      <c r="I3" s="742"/>
      <c r="J3" s="743"/>
      <c r="K3" s="744"/>
      <c r="L3" s="769"/>
      <c r="M3" s="769"/>
      <c r="N3" s="769"/>
      <c r="O3" s="769"/>
      <c r="P3" s="769"/>
      <c r="Q3" s="769"/>
      <c r="R3" s="769"/>
      <c r="S3" s="769"/>
      <c r="T3" s="769"/>
      <c r="U3" s="458"/>
      <c r="V3" s="795" t="s">
        <v>797</v>
      </c>
      <c r="W3" s="796"/>
      <c r="X3" s="796"/>
      <c r="Y3" s="796"/>
      <c r="Z3" s="796"/>
      <c r="AA3" s="796"/>
      <c r="AB3" s="796"/>
      <c r="AC3" s="796"/>
      <c r="AD3" s="797"/>
      <c r="AE3" s="466"/>
      <c r="AF3" s="466"/>
      <c r="AG3" s="466"/>
      <c r="AH3" s="466"/>
      <c r="AI3" s="466"/>
      <c r="AJ3" s="466"/>
      <c r="AK3" s="466"/>
    </row>
    <row r="4" spans="2:37" ht="15" customHeight="1" x14ac:dyDescent="0.25">
      <c r="B4" s="741"/>
      <c r="C4" s="742"/>
      <c r="D4" s="742"/>
      <c r="E4" s="742"/>
      <c r="F4" s="742"/>
      <c r="G4" s="742"/>
      <c r="H4" s="742"/>
      <c r="I4" s="742"/>
      <c r="J4" s="743"/>
      <c r="K4" s="744"/>
      <c r="L4" s="769"/>
      <c r="M4" s="769"/>
      <c r="N4" s="769"/>
      <c r="O4" s="769"/>
      <c r="P4" s="769"/>
      <c r="Q4" s="769"/>
      <c r="R4" s="769"/>
      <c r="S4" s="769"/>
      <c r="T4" s="769"/>
      <c r="U4" s="458"/>
      <c r="V4" s="795"/>
      <c r="W4" s="796"/>
      <c r="X4" s="796"/>
      <c r="Y4" s="796"/>
      <c r="Z4" s="796"/>
      <c r="AA4" s="796"/>
      <c r="AB4" s="796"/>
      <c r="AC4" s="796"/>
      <c r="AD4" s="797"/>
      <c r="AE4" s="460"/>
      <c r="AF4" s="460"/>
      <c r="AG4" s="460"/>
      <c r="AH4" s="460"/>
      <c r="AI4" s="460"/>
      <c r="AJ4" s="460"/>
      <c r="AK4" s="460"/>
    </row>
    <row r="5" spans="2:37" ht="15" customHeight="1" x14ac:dyDescent="0.25">
      <c r="B5" s="741"/>
      <c r="C5" s="742"/>
      <c r="D5" s="742"/>
      <c r="E5" s="742"/>
      <c r="F5" s="742"/>
      <c r="G5" s="742"/>
      <c r="H5" s="742"/>
      <c r="I5" s="742"/>
      <c r="J5" s="743"/>
      <c r="K5" s="744"/>
      <c r="L5" s="769"/>
      <c r="M5" s="769"/>
      <c r="N5" s="769"/>
      <c r="O5" s="769"/>
      <c r="P5" s="769"/>
      <c r="Q5" s="769"/>
      <c r="R5" s="769"/>
      <c r="S5" s="769"/>
      <c r="T5" s="769"/>
      <c r="U5" s="458"/>
      <c r="V5" s="798" t="s">
        <v>798</v>
      </c>
      <c r="W5" s="799"/>
      <c r="X5" s="799"/>
      <c r="Y5" s="799"/>
      <c r="Z5" s="799"/>
      <c r="AA5" s="799"/>
      <c r="AB5" s="799"/>
      <c r="AC5" s="799"/>
      <c r="AD5" s="800"/>
      <c r="AE5" s="460"/>
      <c r="AF5" s="460"/>
      <c r="AG5" s="460"/>
      <c r="AH5" s="460"/>
      <c r="AI5" s="460"/>
      <c r="AJ5" s="460"/>
      <c r="AK5" s="460"/>
    </row>
    <row r="6" spans="2:37" ht="15" customHeight="1" x14ac:dyDescent="0.25">
      <c r="B6" s="741"/>
      <c r="C6" s="742"/>
      <c r="D6" s="742"/>
      <c r="E6" s="742"/>
      <c r="F6" s="742"/>
      <c r="G6" s="742"/>
      <c r="H6" s="742"/>
      <c r="I6" s="742"/>
      <c r="J6" s="743"/>
      <c r="K6" s="744"/>
      <c r="L6" s="769"/>
      <c r="M6" s="769"/>
      <c r="N6" s="769"/>
      <c r="O6" s="769"/>
      <c r="P6" s="769"/>
      <c r="Q6" s="769"/>
      <c r="R6" s="769"/>
      <c r="S6" s="769"/>
      <c r="T6" s="769"/>
      <c r="U6" s="458"/>
      <c r="V6" s="798"/>
      <c r="W6" s="799"/>
      <c r="X6" s="799"/>
      <c r="Y6" s="799"/>
      <c r="Z6" s="799"/>
      <c r="AA6" s="799"/>
      <c r="AB6" s="799"/>
      <c r="AC6" s="799"/>
      <c r="AD6" s="800"/>
      <c r="AE6" s="460"/>
      <c r="AF6" s="460"/>
      <c r="AG6" s="460"/>
      <c r="AH6" s="460"/>
      <c r="AI6" s="460"/>
      <c r="AJ6" s="460"/>
      <c r="AK6" s="460"/>
    </row>
    <row r="7" spans="2:37" ht="15" customHeight="1" x14ac:dyDescent="0.25">
      <c r="B7" s="741"/>
      <c r="C7" s="742"/>
      <c r="D7" s="742"/>
      <c r="E7" s="742"/>
      <c r="F7" s="742"/>
      <c r="G7" s="742"/>
      <c r="H7" s="742"/>
      <c r="I7" s="742"/>
      <c r="J7" s="743"/>
      <c r="K7" s="744"/>
      <c r="L7" s="769"/>
      <c r="M7" s="769"/>
      <c r="N7" s="769"/>
      <c r="O7" s="769"/>
      <c r="P7" s="769"/>
      <c r="Q7" s="769"/>
      <c r="R7" s="769"/>
      <c r="S7" s="769"/>
      <c r="T7" s="769"/>
      <c r="U7" s="458"/>
      <c r="V7" s="798"/>
      <c r="W7" s="799"/>
      <c r="X7" s="799"/>
      <c r="Y7" s="799"/>
      <c r="Z7" s="799"/>
      <c r="AA7" s="799"/>
      <c r="AB7" s="799"/>
      <c r="AC7" s="799"/>
      <c r="AD7" s="800"/>
      <c r="AE7" s="460"/>
      <c r="AF7" s="460"/>
      <c r="AG7" s="460"/>
      <c r="AH7" s="460"/>
      <c r="AI7" s="460"/>
      <c r="AJ7" s="460"/>
      <c r="AK7" s="460"/>
    </row>
    <row r="8" spans="2:37" ht="15" customHeight="1" x14ac:dyDescent="0.25">
      <c r="B8" s="741"/>
      <c r="C8" s="742"/>
      <c r="D8" s="742"/>
      <c r="E8" s="742"/>
      <c r="F8" s="742"/>
      <c r="G8" s="742"/>
      <c r="H8" s="742"/>
      <c r="I8" s="742"/>
      <c r="J8" s="743"/>
      <c r="K8" s="744"/>
      <c r="L8" s="769"/>
      <c r="M8" s="769"/>
      <c r="N8" s="769"/>
      <c r="O8" s="769"/>
      <c r="P8" s="769"/>
      <c r="Q8" s="769"/>
      <c r="R8" s="769"/>
      <c r="S8" s="769"/>
      <c r="T8" s="769"/>
      <c r="U8" s="458"/>
      <c r="V8" s="741" t="s">
        <v>799</v>
      </c>
      <c r="W8" s="742"/>
      <c r="X8" s="742"/>
      <c r="Y8" s="742"/>
      <c r="Z8" s="742"/>
      <c r="AA8" s="742"/>
      <c r="AB8" s="742"/>
      <c r="AC8" s="742"/>
      <c r="AD8" s="743"/>
      <c r="AE8" s="456"/>
      <c r="AF8" s="456"/>
      <c r="AG8" s="460"/>
      <c r="AH8" s="460"/>
      <c r="AI8" s="460"/>
      <c r="AJ8" s="460"/>
      <c r="AK8" s="460"/>
    </row>
    <row r="9" spans="2:37" ht="15" customHeight="1" x14ac:dyDescent="0.25">
      <c r="B9" s="741"/>
      <c r="C9" s="742"/>
      <c r="D9" s="742"/>
      <c r="E9" s="742"/>
      <c r="F9" s="742"/>
      <c r="G9" s="742"/>
      <c r="H9" s="742"/>
      <c r="I9" s="742"/>
      <c r="J9" s="743"/>
      <c r="K9" s="744"/>
      <c r="L9" s="769"/>
      <c r="M9" s="769"/>
      <c r="N9" s="769"/>
      <c r="O9" s="769"/>
      <c r="P9" s="769"/>
      <c r="Q9" s="769"/>
      <c r="R9" s="769"/>
      <c r="S9" s="769"/>
      <c r="T9" s="769"/>
      <c r="U9" s="458"/>
      <c r="V9" s="741"/>
      <c r="W9" s="742"/>
      <c r="X9" s="742"/>
      <c r="Y9" s="742"/>
      <c r="Z9" s="742"/>
      <c r="AA9" s="742"/>
      <c r="AB9" s="742"/>
      <c r="AC9" s="742"/>
      <c r="AD9" s="743"/>
      <c r="AE9" s="456"/>
      <c r="AF9" s="456"/>
      <c r="AG9" s="460"/>
      <c r="AH9" s="460"/>
      <c r="AI9" s="460"/>
      <c r="AJ9" s="460"/>
      <c r="AK9" s="460"/>
    </row>
    <row r="10" spans="2:37" ht="15" customHeight="1" x14ac:dyDescent="0.25">
      <c r="B10" s="741"/>
      <c r="C10" s="742"/>
      <c r="D10" s="742"/>
      <c r="E10" s="742"/>
      <c r="F10" s="742"/>
      <c r="G10" s="742"/>
      <c r="H10" s="742"/>
      <c r="I10" s="742"/>
      <c r="J10" s="743"/>
      <c r="K10" s="744"/>
      <c r="L10" s="769"/>
      <c r="M10" s="769"/>
      <c r="N10" s="769"/>
      <c r="O10" s="769"/>
      <c r="P10" s="769"/>
      <c r="Q10" s="769"/>
      <c r="R10" s="769"/>
      <c r="S10" s="769"/>
      <c r="T10" s="769"/>
      <c r="U10" s="458"/>
      <c r="V10" s="741"/>
      <c r="W10" s="742"/>
      <c r="X10" s="742"/>
      <c r="Y10" s="742"/>
      <c r="Z10" s="742"/>
      <c r="AA10" s="742"/>
      <c r="AB10" s="742"/>
      <c r="AC10" s="742"/>
      <c r="AD10" s="743"/>
      <c r="AE10" s="456"/>
      <c r="AF10" s="456"/>
      <c r="AG10" s="460"/>
      <c r="AH10" s="460"/>
      <c r="AI10" s="460"/>
      <c r="AJ10" s="460"/>
      <c r="AK10" s="460"/>
    </row>
    <row r="11" spans="2:37" ht="15" customHeight="1" x14ac:dyDescent="0.25">
      <c r="B11" s="741"/>
      <c r="C11" s="742"/>
      <c r="D11" s="742"/>
      <c r="E11" s="742"/>
      <c r="F11" s="742"/>
      <c r="G11" s="742"/>
      <c r="H11" s="742"/>
      <c r="I11" s="742"/>
      <c r="J11" s="743"/>
      <c r="K11" s="744"/>
      <c r="L11" s="769"/>
      <c r="M11" s="769"/>
      <c r="N11" s="769"/>
      <c r="O11" s="769"/>
      <c r="P11" s="769"/>
      <c r="Q11" s="769"/>
      <c r="R11" s="769"/>
      <c r="S11" s="769"/>
      <c r="T11" s="769"/>
      <c r="U11" s="458"/>
      <c r="V11" s="741"/>
      <c r="W11" s="742"/>
      <c r="X11" s="742"/>
      <c r="Y11" s="742"/>
      <c r="Z11" s="742"/>
      <c r="AA11" s="742"/>
      <c r="AB11" s="742"/>
      <c r="AC11" s="742"/>
      <c r="AD11" s="743"/>
      <c r="AE11" s="456"/>
      <c r="AF11" s="456"/>
      <c r="AG11" s="460"/>
      <c r="AH11" s="460"/>
      <c r="AI11" s="460"/>
      <c r="AJ11" s="460"/>
      <c r="AK11" s="460"/>
    </row>
    <row r="12" spans="2:37" ht="15" customHeight="1" x14ac:dyDescent="0.25">
      <c r="B12" s="741"/>
      <c r="C12" s="742"/>
      <c r="D12" s="742"/>
      <c r="E12" s="742"/>
      <c r="F12" s="742"/>
      <c r="G12" s="742"/>
      <c r="H12" s="742"/>
      <c r="I12" s="742"/>
      <c r="J12" s="743"/>
      <c r="K12" s="744"/>
      <c r="L12" s="769"/>
      <c r="M12" s="769"/>
      <c r="N12" s="769"/>
      <c r="O12" s="769"/>
      <c r="P12" s="769"/>
      <c r="Q12" s="769"/>
      <c r="R12" s="769"/>
      <c r="S12" s="769"/>
      <c r="T12" s="769"/>
      <c r="U12" s="458"/>
      <c r="V12" s="741"/>
      <c r="W12" s="742"/>
      <c r="X12" s="742"/>
      <c r="Y12" s="742"/>
      <c r="Z12" s="742"/>
      <c r="AA12" s="742"/>
      <c r="AB12" s="742"/>
      <c r="AC12" s="742"/>
      <c r="AD12" s="743"/>
      <c r="AE12" s="456"/>
      <c r="AF12" s="456"/>
      <c r="AG12" s="460"/>
      <c r="AH12" s="460"/>
      <c r="AI12" s="460"/>
      <c r="AJ12" s="460"/>
      <c r="AK12" s="460"/>
    </row>
    <row r="13" spans="2:37" ht="15" customHeight="1" x14ac:dyDescent="0.25">
      <c r="B13" s="741"/>
      <c r="C13" s="742"/>
      <c r="D13" s="742"/>
      <c r="E13" s="742"/>
      <c r="F13" s="742"/>
      <c r="G13" s="742"/>
      <c r="H13" s="742"/>
      <c r="I13" s="742"/>
      <c r="J13" s="743"/>
      <c r="K13" s="744"/>
      <c r="L13" s="758" t="s">
        <v>800</v>
      </c>
      <c r="M13" s="759"/>
      <c r="N13" s="759"/>
      <c r="O13" s="759"/>
      <c r="P13" s="759"/>
      <c r="Q13" s="759"/>
      <c r="R13" s="759"/>
      <c r="S13" s="759"/>
      <c r="T13" s="760"/>
      <c r="U13" s="458"/>
      <c r="V13" s="741"/>
      <c r="W13" s="742"/>
      <c r="X13" s="742"/>
      <c r="Y13" s="742"/>
      <c r="Z13" s="742"/>
      <c r="AA13" s="742"/>
      <c r="AB13" s="742"/>
      <c r="AC13" s="742"/>
      <c r="AD13" s="743"/>
      <c r="AE13" s="456"/>
      <c r="AF13" s="456"/>
      <c r="AG13" s="460"/>
      <c r="AH13" s="460"/>
      <c r="AI13" s="460"/>
      <c r="AJ13" s="460"/>
      <c r="AK13" s="460"/>
    </row>
    <row r="14" spans="2:37" ht="15" customHeight="1" x14ac:dyDescent="0.25">
      <c r="B14" s="741"/>
      <c r="C14" s="742"/>
      <c r="D14" s="742"/>
      <c r="E14" s="742"/>
      <c r="F14" s="742"/>
      <c r="G14" s="742"/>
      <c r="H14" s="742"/>
      <c r="I14" s="742"/>
      <c r="J14" s="743"/>
      <c r="K14" s="744"/>
      <c r="L14" s="761"/>
      <c r="M14" s="762"/>
      <c r="N14" s="762"/>
      <c r="O14" s="762"/>
      <c r="P14" s="762"/>
      <c r="Q14" s="762"/>
      <c r="R14" s="762"/>
      <c r="S14" s="762"/>
      <c r="T14" s="763"/>
      <c r="U14" s="458"/>
      <c r="V14" s="779"/>
      <c r="W14" s="780"/>
      <c r="X14" s="780"/>
      <c r="Y14" s="780"/>
      <c r="Z14" s="780"/>
      <c r="AA14" s="780"/>
      <c r="AB14" s="780"/>
      <c r="AC14" s="780"/>
      <c r="AD14" s="781"/>
      <c r="AE14" s="456"/>
      <c r="AF14" s="456"/>
      <c r="AG14" s="460"/>
      <c r="AH14" s="460"/>
      <c r="AI14" s="460"/>
      <c r="AJ14" s="460"/>
      <c r="AK14" s="460"/>
    </row>
    <row r="15" spans="2:37" ht="15" customHeight="1" x14ac:dyDescent="0.25">
      <c r="B15" s="741"/>
      <c r="C15" s="742"/>
      <c r="D15" s="742"/>
      <c r="E15" s="742"/>
      <c r="F15" s="742"/>
      <c r="G15" s="742"/>
      <c r="H15" s="742"/>
      <c r="I15" s="742"/>
      <c r="J15" s="743"/>
      <c r="K15" s="744"/>
      <c r="L15" s="745" t="s">
        <v>801</v>
      </c>
      <c r="M15" s="746"/>
      <c r="N15" s="746"/>
      <c r="O15" s="746"/>
      <c r="P15" s="746"/>
      <c r="Q15" s="746"/>
      <c r="R15" s="746"/>
      <c r="S15" s="746"/>
      <c r="T15" s="747"/>
      <c r="U15" s="458"/>
      <c r="V15" s="788" t="s">
        <v>802</v>
      </c>
      <c r="W15" s="789"/>
      <c r="X15" s="789"/>
      <c r="Y15" s="789"/>
      <c r="Z15" s="789"/>
      <c r="AA15" s="789"/>
      <c r="AB15" s="789"/>
      <c r="AC15" s="789"/>
      <c r="AD15" s="790"/>
      <c r="AE15" s="456"/>
      <c r="AF15" s="456"/>
      <c r="AG15" s="460"/>
      <c r="AH15" s="460"/>
      <c r="AI15" s="460"/>
      <c r="AJ15" s="460"/>
      <c r="AK15" s="460"/>
    </row>
    <row r="16" spans="2:37" ht="15" customHeight="1" x14ac:dyDescent="0.25">
      <c r="B16" s="741"/>
      <c r="C16" s="742"/>
      <c r="D16" s="742"/>
      <c r="E16" s="742"/>
      <c r="F16" s="742"/>
      <c r="G16" s="742"/>
      <c r="H16" s="742"/>
      <c r="I16" s="742"/>
      <c r="J16" s="743"/>
      <c r="K16" s="744"/>
      <c r="L16" s="745"/>
      <c r="M16" s="746"/>
      <c r="N16" s="746"/>
      <c r="O16" s="746"/>
      <c r="P16" s="746"/>
      <c r="Q16" s="746"/>
      <c r="R16" s="746"/>
      <c r="S16" s="746"/>
      <c r="T16" s="747"/>
      <c r="U16" s="458"/>
      <c r="V16" s="791"/>
      <c r="W16" s="792"/>
      <c r="X16" s="792"/>
      <c r="Y16" s="792"/>
      <c r="Z16" s="792"/>
      <c r="AA16" s="792"/>
      <c r="AB16" s="792"/>
      <c r="AC16" s="792"/>
      <c r="AD16" s="793"/>
      <c r="AE16" s="456"/>
      <c r="AF16" s="456"/>
      <c r="AG16" s="460"/>
      <c r="AH16" s="460"/>
      <c r="AI16" s="460"/>
      <c r="AJ16" s="460"/>
      <c r="AK16" s="460"/>
    </row>
    <row r="17" spans="2:37" ht="15" customHeight="1" x14ac:dyDescent="0.25">
      <c r="B17" s="741"/>
      <c r="C17" s="742"/>
      <c r="D17" s="742"/>
      <c r="E17" s="742"/>
      <c r="F17" s="742"/>
      <c r="G17" s="742"/>
      <c r="H17" s="742"/>
      <c r="I17" s="742"/>
      <c r="J17" s="743"/>
      <c r="K17" s="744"/>
      <c r="L17" s="764" t="s">
        <v>797</v>
      </c>
      <c r="M17" s="765"/>
      <c r="N17" s="765"/>
      <c r="O17" s="765"/>
      <c r="P17" s="765"/>
      <c r="Q17" s="765"/>
      <c r="R17" s="765"/>
      <c r="S17" s="765"/>
      <c r="T17" s="766"/>
      <c r="U17" s="458"/>
      <c r="V17" s="469" t="s">
        <v>803</v>
      </c>
      <c r="W17" s="584"/>
      <c r="X17" s="584"/>
      <c r="Y17" s="584"/>
      <c r="Z17" s="584"/>
      <c r="AA17" s="584"/>
      <c r="AB17" s="584"/>
      <c r="AC17" s="584"/>
      <c r="AD17" s="585"/>
      <c r="AE17" s="456"/>
      <c r="AF17" s="456"/>
      <c r="AG17" s="460"/>
      <c r="AH17" s="460"/>
      <c r="AI17" s="460"/>
      <c r="AJ17" s="460"/>
      <c r="AK17" s="460"/>
    </row>
    <row r="18" spans="2:37" ht="15" customHeight="1" x14ac:dyDescent="0.25">
      <c r="B18" s="741"/>
      <c r="C18" s="742"/>
      <c r="D18" s="742"/>
      <c r="E18" s="742"/>
      <c r="F18" s="742"/>
      <c r="G18" s="742"/>
      <c r="H18" s="742"/>
      <c r="I18" s="742"/>
      <c r="J18" s="743"/>
      <c r="K18" s="744"/>
      <c r="L18" s="751" t="s">
        <v>804</v>
      </c>
      <c r="M18" s="767"/>
      <c r="N18" s="767"/>
      <c r="O18" s="767"/>
      <c r="P18" s="767"/>
      <c r="Q18" s="767"/>
      <c r="R18" s="767"/>
      <c r="S18" s="767"/>
      <c r="T18" s="768"/>
      <c r="U18" s="458"/>
      <c r="V18" s="741" t="s">
        <v>805</v>
      </c>
      <c r="W18" s="742"/>
      <c r="X18" s="742"/>
      <c r="Y18" s="742"/>
      <c r="Z18" s="742"/>
      <c r="AA18" s="742"/>
      <c r="AB18" s="742"/>
      <c r="AC18" s="742"/>
      <c r="AD18" s="743"/>
      <c r="AE18" s="460"/>
      <c r="AF18" s="460"/>
      <c r="AG18" s="460"/>
      <c r="AH18" s="460"/>
      <c r="AI18" s="460"/>
      <c r="AJ18" s="460"/>
      <c r="AK18" s="460"/>
    </row>
    <row r="19" spans="2:37" ht="15" customHeight="1" x14ac:dyDescent="0.25">
      <c r="B19" s="741"/>
      <c r="C19" s="742"/>
      <c r="D19" s="742"/>
      <c r="E19" s="742"/>
      <c r="F19" s="742"/>
      <c r="G19" s="742"/>
      <c r="H19" s="742"/>
      <c r="I19" s="742"/>
      <c r="J19" s="743"/>
      <c r="K19" s="744"/>
      <c r="L19" s="751"/>
      <c r="M19" s="767"/>
      <c r="N19" s="767"/>
      <c r="O19" s="767"/>
      <c r="P19" s="767"/>
      <c r="Q19" s="767"/>
      <c r="R19" s="767"/>
      <c r="S19" s="767"/>
      <c r="T19" s="768"/>
      <c r="U19" s="458"/>
      <c r="V19" s="741"/>
      <c r="W19" s="742"/>
      <c r="X19" s="742"/>
      <c r="Y19" s="742"/>
      <c r="Z19" s="742"/>
      <c r="AA19" s="742"/>
      <c r="AB19" s="742"/>
      <c r="AC19" s="742"/>
      <c r="AD19" s="743"/>
      <c r="AE19" s="460"/>
      <c r="AF19" s="460"/>
      <c r="AG19" s="460"/>
      <c r="AH19" s="460"/>
      <c r="AI19" s="460"/>
      <c r="AJ19" s="460"/>
      <c r="AK19" s="460"/>
    </row>
    <row r="20" spans="2:37" ht="15" customHeight="1" x14ac:dyDescent="0.25">
      <c r="B20" s="741"/>
      <c r="C20" s="742"/>
      <c r="D20" s="742"/>
      <c r="E20" s="742"/>
      <c r="F20" s="742"/>
      <c r="G20" s="742"/>
      <c r="H20" s="742"/>
      <c r="I20" s="742"/>
      <c r="J20" s="743"/>
      <c r="K20" s="744"/>
      <c r="L20" s="751"/>
      <c r="M20" s="767"/>
      <c r="N20" s="767"/>
      <c r="O20" s="767"/>
      <c r="P20" s="767"/>
      <c r="Q20" s="767"/>
      <c r="R20" s="767"/>
      <c r="S20" s="767"/>
      <c r="T20" s="768"/>
      <c r="U20" s="458"/>
      <c r="V20" s="741"/>
      <c r="W20" s="742"/>
      <c r="X20" s="742"/>
      <c r="Y20" s="742"/>
      <c r="Z20" s="742"/>
      <c r="AA20" s="742"/>
      <c r="AB20" s="742"/>
      <c r="AC20" s="742"/>
      <c r="AD20" s="743"/>
      <c r="AE20" s="460"/>
      <c r="AF20" s="460"/>
      <c r="AG20" s="460"/>
      <c r="AH20" s="460"/>
      <c r="AI20" s="460"/>
      <c r="AJ20" s="460"/>
      <c r="AK20" s="460"/>
    </row>
    <row r="21" spans="2:37" ht="15" customHeight="1" x14ac:dyDescent="0.25">
      <c r="B21" s="741"/>
      <c r="C21" s="742"/>
      <c r="D21" s="742"/>
      <c r="E21" s="742"/>
      <c r="F21" s="742"/>
      <c r="G21" s="742"/>
      <c r="H21" s="742"/>
      <c r="I21" s="742"/>
      <c r="J21" s="743"/>
      <c r="K21" s="744"/>
      <c r="L21" s="751"/>
      <c r="M21" s="767"/>
      <c r="N21" s="767"/>
      <c r="O21" s="767"/>
      <c r="P21" s="767"/>
      <c r="Q21" s="767"/>
      <c r="R21" s="767"/>
      <c r="S21" s="767"/>
      <c r="T21" s="768"/>
      <c r="U21" s="458"/>
      <c r="V21" s="741"/>
      <c r="W21" s="742"/>
      <c r="X21" s="742"/>
      <c r="Y21" s="742"/>
      <c r="Z21" s="742"/>
      <c r="AA21" s="742"/>
      <c r="AB21" s="742"/>
      <c r="AC21" s="742"/>
      <c r="AD21" s="743"/>
      <c r="AE21" s="460"/>
      <c r="AF21" s="460"/>
      <c r="AG21" s="460"/>
      <c r="AH21" s="460"/>
      <c r="AI21" s="460"/>
      <c r="AJ21" s="460"/>
      <c r="AK21" s="460"/>
    </row>
    <row r="22" spans="2:37" ht="15" customHeight="1" x14ac:dyDescent="0.25">
      <c r="B22" s="741"/>
      <c r="C22" s="742"/>
      <c r="D22" s="742"/>
      <c r="E22" s="742"/>
      <c r="F22" s="742"/>
      <c r="G22" s="742"/>
      <c r="H22" s="742"/>
      <c r="I22" s="742"/>
      <c r="J22" s="743"/>
      <c r="K22" s="744"/>
      <c r="L22" s="751"/>
      <c r="M22" s="767"/>
      <c r="N22" s="767"/>
      <c r="O22" s="767"/>
      <c r="P22" s="767"/>
      <c r="Q22" s="767"/>
      <c r="R22" s="767"/>
      <c r="S22" s="767"/>
      <c r="T22" s="768"/>
      <c r="U22" s="458"/>
      <c r="V22" s="741"/>
      <c r="W22" s="742"/>
      <c r="X22" s="742"/>
      <c r="Y22" s="742"/>
      <c r="Z22" s="742"/>
      <c r="AA22" s="742"/>
      <c r="AB22" s="742"/>
      <c r="AC22" s="742"/>
      <c r="AD22" s="743"/>
      <c r="AE22" s="460"/>
      <c r="AF22" s="460"/>
      <c r="AG22" s="460"/>
      <c r="AH22" s="460"/>
      <c r="AI22" s="460"/>
      <c r="AJ22" s="460"/>
      <c r="AK22" s="460"/>
    </row>
    <row r="23" spans="2:37" ht="15" customHeight="1" x14ac:dyDescent="0.25">
      <c r="B23" s="741"/>
      <c r="C23" s="742"/>
      <c r="D23" s="742"/>
      <c r="E23" s="742"/>
      <c r="F23" s="742"/>
      <c r="G23" s="742"/>
      <c r="H23" s="742"/>
      <c r="I23" s="742"/>
      <c r="J23" s="743"/>
      <c r="K23" s="744"/>
      <c r="L23" s="751" t="s">
        <v>806</v>
      </c>
      <c r="M23" s="749"/>
      <c r="N23" s="749"/>
      <c r="O23" s="749"/>
      <c r="P23" s="749"/>
      <c r="Q23" s="749"/>
      <c r="R23" s="749"/>
      <c r="S23" s="749"/>
      <c r="T23" s="750"/>
      <c r="U23" s="458"/>
      <c r="V23" s="465"/>
      <c r="W23" s="460"/>
      <c r="X23" s="460"/>
      <c r="Y23" s="460"/>
      <c r="Z23" s="460"/>
      <c r="AA23" s="460"/>
      <c r="AB23" s="460"/>
      <c r="AC23" s="460"/>
      <c r="AD23" s="461"/>
      <c r="AE23" s="452"/>
      <c r="AF23" s="452"/>
      <c r="AG23" s="460"/>
      <c r="AH23" s="460"/>
      <c r="AI23" s="460"/>
      <c r="AJ23" s="460"/>
      <c r="AK23" s="460"/>
    </row>
    <row r="24" spans="2:37" ht="17.5" customHeight="1" x14ac:dyDescent="0.25">
      <c r="B24" s="741"/>
      <c r="C24" s="742"/>
      <c r="D24" s="742"/>
      <c r="E24" s="742"/>
      <c r="F24" s="742"/>
      <c r="G24" s="742"/>
      <c r="H24" s="742"/>
      <c r="I24" s="742"/>
      <c r="J24" s="743"/>
      <c r="K24" s="744"/>
      <c r="L24" s="748"/>
      <c r="M24" s="749"/>
      <c r="N24" s="749"/>
      <c r="O24" s="749"/>
      <c r="P24" s="749"/>
      <c r="Q24" s="749"/>
      <c r="R24" s="749"/>
      <c r="S24" s="749"/>
      <c r="T24" s="750"/>
      <c r="U24" s="458"/>
      <c r="V24" s="794" t="s">
        <v>807</v>
      </c>
      <c r="W24" s="742"/>
      <c r="X24" s="742"/>
      <c r="Y24" s="742"/>
      <c r="Z24" s="742"/>
      <c r="AA24" s="742"/>
      <c r="AB24" s="742"/>
      <c r="AC24" s="742"/>
      <c r="AD24" s="743"/>
      <c r="AE24" s="456"/>
      <c r="AF24" s="456"/>
      <c r="AG24" s="460"/>
      <c r="AH24" s="460"/>
      <c r="AI24" s="460"/>
      <c r="AJ24" s="460"/>
      <c r="AK24" s="460"/>
    </row>
    <row r="25" spans="2:37" ht="15" customHeight="1" x14ac:dyDescent="0.25">
      <c r="B25" s="741"/>
      <c r="C25" s="742"/>
      <c r="D25" s="742"/>
      <c r="E25" s="742"/>
      <c r="F25" s="742"/>
      <c r="G25" s="742"/>
      <c r="H25" s="742"/>
      <c r="I25" s="742"/>
      <c r="J25" s="743"/>
      <c r="K25" s="744"/>
      <c r="L25" s="748"/>
      <c r="M25" s="749"/>
      <c r="N25" s="749"/>
      <c r="O25" s="749"/>
      <c r="P25" s="749"/>
      <c r="Q25" s="749"/>
      <c r="R25" s="749"/>
      <c r="S25" s="749"/>
      <c r="T25" s="750"/>
      <c r="U25" s="458"/>
      <c r="V25" s="741" t="s">
        <v>808</v>
      </c>
      <c r="W25" s="742"/>
      <c r="X25" s="742"/>
      <c r="Y25" s="742"/>
      <c r="Z25" s="742"/>
      <c r="AA25" s="742"/>
      <c r="AB25" s="742"/>
      <c r="AC25" s="742"/>
      <c r="AD25" s="743"/>
      <c r="AE25" s="456"/>
      <c r="AF25" s="456"/>
      <c r="AG25" s="460"/>
      <c r="AH25" s="460"/>
      <c r="AI25" s="460"/>
      <c r="AJ25" s="460"/>
      <c r="AK25" s="460"/>
    </row>
    <row r="26" spans="2:37" ht="15" customHeight="1" x14ac:dyDescent="0.25">
      <c r="B26" s="741"/>
      <c r="C26" s="742"/>
      <c r="D26" s="742"/>
      <c r="E26" s="742"/>
      <c r="F26" s="742"/>
      <c r="G26" s="742"/>
      <c r="H26" s="742"/>
      <c r="I26" s="742"/>
      <c r="J26" s="743"/>
      <c r="K26" s="744"/>
      <c r="L26" s="748"/>
      <c r="M26" s="749"/>
      <c r="N26" s="749"/>
      <c r="O26" s="749"/>
      <c r="P26" s="749"/>
      <c r="Q26" s="749"/>
      <c r="R26" s="749"/>
      <c r="S26" s="749"/>
      <c r="T26" s="750"/>
      <c r="U26" s="458"/>
      <c r="V26" s="741"/>
      <c r="W26" s="742"/>
      <c r="X26" s="742"/>
      <c r="Y26" s="742"/>
      <c r="Z26" s="742"/>
      <c r="AA26" s="742"/>
      <c r="AB26" s="742"/>
      <c r="AC26" s="742"/>
      <c r="AD26" s="743"/>
      <c r="AE26" s="456"/>
      <c r="AF26" s="456"/>
      <c r="AG26" s="460"/>
      <c r="AH26" s="460"/>
      <c r="AI26" s="460"/>
      <c r="AJ26" s="460"/>
      <c r="AK26" s="460"/>
    </row>
    <row r="27" spans="2:37" ht="15" customHeight="1" x14ac:dyDescent="0.25">
      <c r="B27" s="741"/>
      <c r="C27" s="742"/>
      <c r="D27" s="742"/>
      <c r="E27" s="742"/>
      <c r="F27" s="742"/>
      <c r="G27" s="742"/>
      <c r="H27" s="742"/>
      <c r="I27" s="742"/>
      <c r="J27" s="743"/>
      <c r="K27" s="744"/>
      <c r="L27" s="751" t="s">
        <v>809</v>
      </c>
      <c r="M27" s="749"/>
      <c r="N27" s="749"/>
      <c r="O27" s="749"/>
      <c r="P27" s="749"/>
      <c r="Q27" s="749"/>
      <c r="R27" s="749"/>
      <c r="S27" s="749"/>
      <c r="T27" s="750"/>
      <c r="U27" s="458"/>
      <c r="V27" s="741"/>
      <c r="W27" s="742"/>
      <c r="X27" s="742"/>
      <c r="Y27" s="742"/>
      <c r="Z27" s="742"/>
      <c r="AA27" s="742"/>
      <c r="AB27" s="742"/>
      <c r="AC27" s="742"/>
      <c r="AD27" s="743"/>
      <c r="AE27" s="456"/>
      <c r="AF27" s="456"/>
      <c r="AG27" s="460"/>
      <c r="AH27" s="460"/>
      <c r="AI27" s="460"/>
      <c r="AJ27" s="460"/>
      <c r="AK27" s="460"/>
    </row>
    <row r="28" spans="2:37" ht="15" customHeight="1" x14ac:dyDescent="0.25">
      <c r="B28" s="741"/>
      <c r="C28" s="742"/>
      <c r="D28" s="742"/>
      <c r="E28" s="742"/>
      <c r="F28" s="742"/>
      <c r="G28" s="742"/>
      <c r="H28" s="742"/>
      <c r="I28" s="742"/>
      <c r="J28" s="743"/>
      <c r="K28" s="744"/>
      <c r="L28" s="748"/>
      <c r="M28" s="749"/>
      <c r="N28" s="749"/>
      <c r="O28" s="749"/>
      <c r="P28" s="749"/>
      <c r="Q28" s="749"/>
      <c r="R28" s="749"/>
      <c r="S28" s="749"/>
      <c r="T28" s="750"/>
      <c r="U28" s="458"/>
      <c r="V28" s="779"/>
      <c r="W28" s="780"/>
      <c r="X28" s="780"/>
      <c r="Y28" s="780"/>
      <c r="Z28" s="780"/>
      <c r="AA28" s="780"/>
      <c r="AB28" s="780"/>
      <c r="AC28" s="780"/>
      <c r="AD28" s="781"/>
      <c r="AE28" s="453"/>
      <c r="AF28" s="453"/>
      <c r="AG28" s="460"/>
      <c r="AH28" s="460"/>
      <c r="AI28" s="460"/>
      <c r="AJ28" s="460"/>
      <c r="AK28" s="460"/>
    </row>
    <row r="29" spans="2:37" ht="15" customHeight="1" x14ac:dyDescent="0.25">
      <c r="B29" s="741"/>
      <c r="C29" s="742"/>
      <c r="D29" s="742"/>
      <c r="E29" s="742"/>
      <c r="F29" s="742"/>
      <c r="G29" s="742"/>
      <c r="H29" s="742"/>
      <c r="I29" s="742"/>
      <c r="J29" s="743"/>
      <c r="K29" s="744"/>
      <c r="L29" s="748"/>
      <c r="M29" s="749"/>
      <c r="N29" s="749"/>
      <c r="O29" s="749"/>
      <c r="P29" s="749"/>
      <c r="Q29" s="749"/>
      <c r="R29" s="749"/>
      <c r="S29" s="749"/>
      <c r="T29" s="750"/>
      <c r="U29" s="458"/>
      <c r="V29" s="456"/>
      <c r="W29" s="456"/>
      <c r="X29" s="456"/>
      <c r="Y29" s="456"/>
      <c r="Z29" s="456"/>
      <c r="AA29" s="456"/>
      <c r="AB29" s="456"/>
      <c r="AC29" s="456"/>
      <c r="AD29" s="456"/>
      <c r="AE29" s="453"/>
      <c r="AF29" s="453"/>
      <c r="AG29" s="460"/>
      <c r="AH29" s="460"/>
      <c r="AI29" s="460"/>
      <c r="AJ29" s="460"/>
      <c r="AK29" s="460"/>
    </row>
    <row r="30" spans="2:37" ht="15" customHeight="1" x14ac:dyDescent="0.25">
      <c r="B30" s="741"/>
      <c r="C30" s="742"/>
      <c r="D30" s="742"/>
      <c r="E30" s="742"/>
      <c r="F30" s="742"/>
      <c r="G30" s="742"/>
      <c r="H30" s="742"/>
      <c r="I30" s="742"/>
      <c r="J30" s="743"/>
      <c r="K30" s="744"/>
      <c r="L30" s="748" t="s">
        <v>810</v>
      </c>
      <c r="M30" s="749"/>
      <c r="N30" s="749"/>
      <c r="O30" s="749"/>
      <c r="P30" s="749"/>
      <c r="Q30" s="749"/>
      <c r="R30" s="749"/>
      <c r="S30" s="749"/>
      <c r="T30" s="750"/>
      <c r="U30" s="458"/>
      <c r="V30" s="456"/>
      <c r="W30" s="456"/>
      <c r="X30" s="456"/>
      <c r="Y30" s="456"/>
      <c r="Z30" s="456"/>
      <c r="AA30" s="456"/>
      <c r="AB30" s="456"/>
      <c r="AC30" s="456"/>
      <c r="AD30" s="456"/>
      <c r="AE30" s="453"/>
      <c r="AF30" s="453"/>
      <c r="AG30" s="460"/>
      <c r="AH30" s="460"/>
      <c r="AI30" s="460"/>
      <c r="AJ30" s="460"/>
      <c r="AK30" s="460"/>
    </row>
    <row r="31" spans="2:37" ht="15" customHeight="1" x14ac:dyDescent="0.25">
      <c r="B31" s="741"/>
      <c r="C31" s="742"/>
      <c r="D31" s="742"/>
      <c r="E31" s="742"/>
      <c r="F31" s="742"/>
      <c r="G31" s="742"/>
      <c r="H31" s="742"/>
      <c r="I31" s="742"/>
      <c r="J31" s="743"/>
      <c r="K31" s="744"/>
      <c r="L31" s="748"/>
      <c r="M31" s="749"/>
      <c r="N31" s="749"/>
      <c r="O31" s="749"/>
      <c r="P31" s="749"/>
      <c r="Q31" s="749"/>
      <c r="R31" s="749"/>
      <c r="S31" s="749"/>
      <c r="T31" s="750"/>
      <c r="U31" s="458"/>
      <c r="V31" s="456"/>
      <c r="W31" s="456"/>
      <c r="X31" s="456"/>
      <c r="Y31" s="456"/>
      <c r="Z31" s="456"/>
      <c r="AA31" s="456"/>
      <c r="AB31" s="456"/>
      <c r="AC31" s="456"/>
      <c r="AD31" s="456"/>
      <c r="AE31" s="453"/>
      <c r="AF31" s="453"/>
      <c r="AG31" s="460"/>
      <c r="AH31" s="460"/>
      <c r="AI31" s="460"/>
      <c r="AJ31" s="460"/>
      <c r="AK31" s="460"/>
    </row>
    <row r="32" spans="2:37" ht="15" customHeight="1" x14ac:dyDescent="0.25">
      <c r="B32" s="741"/>
      <c r="C32" s="742"/>
      <c r="D32" s="742"/>
      <c r="E32" s="742"/>
      <c r="F32" s="742"/>
      <c r="G32" s="742"/>
      <c r="H32" s="742"/>
      <c r="I32" s="742"/>
      <c r="J32" s="743"/>
      <c r="K32" s="744"/>
      <c r="L32" s="748"/>
      <c r="M32" s="749"/>
      <c r="N32" s="749"/>
      <c r="O32" s="749"/>
      <c r="P32" s="749"/>
      <c r="Q32" s="749"/>
      <c r="R32" s="749"/>
      <c r="S32" s="749"/>
      <c r="T32" s="750"/>
      <c r="U32" s="458"/>
      <c r="V32" s="456"/>
      <c r="W32" s="456"/>
      <c r="X32" s="456"/>
      <c r="Y32" s="456"/>
      <c r="Z32" s="456"/>
      <c r="AA32" s="456"/>
      <c r="AB32" s="456"/>
      <c r="AC32" s="456"/>
      <c r="AD32" s="456"/>
      <c r="AE32" s="453"/>
      <c r="AF32" s="453"/>
      <c r="AG32" s="460"/>
      <c r="AH32" s="460"/>
      <c r="AI32" s="460"/>
      <c r="AJ32" s="460"/>
      <c r="AK32" s="460"/>
    </row>
    <row r="33" spans="2:37" ht="15" customHeight="1" x14ac:dyDescent="0.25">
      <c r="B33" s="741"/>
      <c r="C33" s="742"/>
      <c r="D33" s="742"/>
      <c r="E33" s="742"/>
      <c r="F33" s="742"/>
      <c r="G33" s="742"/>
      <c r="H33" s="742"/>
      <c r="I33" s="742"/>
      <c r="J33" s="743"/>
      <c r="K33" s="744"/>
      <c r="L33" s="748"/>
      <c r="M33" s="749"/>
      <c r="N33" s="749"/>
      <c r="O33" s="749"/>
      <c r="P33" s="749"/>
      <c r="Q33" s="749"/>
      <c r="R33" s="749"/>
      <c r="S33" s="749"/>
      <c r="T33" s="750"/>
      <c r="U33" s="458"/>
      <c r="V33" s="453"/>
      <c r="W33" s="453"/>
      <c r="X33" s="453"/>
      <c r="Y33" s="453"/>
      <c r="Z33" s="453"/>
      <c r="AA33" s="453"/>
      <c r="AB33" s="453"/>
      <c r="AC33" s="453"/>
      <c r="AD33" s="453"/>
      <c r="AE33" s="460"/>
      <c r="AF33" s="460"/>
      <c r="AG33" s="460"/>
      <c r="AH33" s="460"/>
      <c r="AI33" s="460"/>
      <c r="AJ33" s="460"/>
      <c r="AK33" s="460"/>
    </row>
    <row r="34" spans="2:37" ht="15" customHeight="1" x14ac:dyDescent="0.25">
      <c r="B34" s="741"/>
      <c r="C34" s="742"/>
      <c r="D34" s="742"/>
      <c r="E34" s="742"/>
      <c r="F34" s="742"/>
      <c r="G34" s="742"/>
      <c r="H34" s="742"/>
      <c r="I34" s="742"/>
      <c r="J34" s="743"/>
      <c r="K34" s="744"/>
      <c r="L34" s="748"/>
      <c r="M34" s="749"/>
      <c r="N34" s="749"/>
      <c r="O34" s="749"/>
      <c r="P34" s="749"/>
      <c r="Q34" s="749"/>
      <c r="R34" s="749"/>
      <c r="S34" s="749"/>
      <c r="T34" s="750"/>
      <c r="U34" s="458"/>
      <c r="V34" s="453"/>
      <c r="W34" s="453"/>
      <c r="X34" s="453"/>
      <c r="Y34" s="453"/>
      <c r="Z34" s="453"/>
      <c r="AA34" s="453"/>
      <c r="AB34" s="453"/>
      <c r="AC34" s="453"/>
      <c r="AD34" s="453"/>
      <c r="AE34" s="460"/>
      <c r="AF34" s="460"/>
      <c r="AG34" s="460"/>
      <c r="AH34" s="460"/>
      <c r="AI34" s="460"/>
      <c r="AJ34" s="460"/>
      <c r="AK34" s="460"/>
    </row>
    <row r="35" spans="2:37" ht="15" customHeight="1" x14ac:dyDescent="0.25">
      <c r="B35" s="741"/>
      <c r="C35" s="742"/>
      <c r="D35" s="742"/>
      <c r="E35" s="742"/>
      <c r="F35" s="742"/>
      <c r="G35" s="742"/>
      <c r="H35" s="742"/>
      <c r="I35" s="742"/>
      <c r="J35" s="743"/>
      <c r="K35" s="744"/>
      <c r="L35" s="776" t="s">
        <v>811</v>
      </c>
      <c r="M35" s="777"/>
      <c r="N35" s="777"/>
      <c r="O35" s="777"/>
      <c r="P35" s="777"/>
      <c r="Q35" s="777"/>
      <c r="R35" s="777"/>
      <c r="S35" s="777"/>
      <c r="T35" s="778"/>
      <c r="U35" s="458"/>
      <c r="V35" s="453"/>
      <c r="W35" s="453"/>
      <c r="X35" s="453"/>
      <c r="Y35" s="453"/>
      <c r="Z35" s="453"/>
      <c r="AA35" s="453"/>
      <c r="AB35" s="453"/>
      <c r="AC35" s="453"/>
      <c r="AD35" s="453"/>
      <c r="AE35" s="583"/>
      <c r="AF35" s="583"/>
      <c r="AG35" s="583"/>
      <c r="AH35" s="583"/>
      <c r="AI35" s="583"/>
      <c r="AJ35" s="583"/>
      <c r="AK35" s="583"/>
    </row>
    <row r="36" spans="2:37" ht="15" customHeight="1" x14ac:dyDescent="0.25">
      <c r="B36" s="741"/>
      <c r="C36" s="742"/>
      <c r="D36" s="742"/>
      <c r="E36" s="742"/>
      <c r="F36" s="742"/>
      <c r="G36" s="742"/>
      <c r="H36" s="742"/>
      <c r="I36" s="742"/>
      <c r="J36" s="743"/>
      <c r="K36" s="744"/>
      <c r="L36" s="776"/>
      <c r="M36" s="777"/>
      <c r="N36" s="777"/>
      <c r="O36" s="777"/>
      <c r="P36" s="777"/>
      <c r="Q36" s="777"/>
      <c r="R36" s="777"/>
      <c r="S36" s="777"/>
      <c r="T36" s="778"/>
      <c r="U36" s="458"/>
      <c r="V36" s="453"/>
      <c r="W36" s="453"/>
      <c r="X36" s="453"/>
      <c r="Y36" s="453"/>
      <c r="Z36" s="453"/>
      <c r="AA36" s="453"/>
      <c r="AB36" s="453"/>
      <c r="AC36" s="453"/>
      <c r="AD36" s="453"/>
      <c r="AE36" s="460"/>
      <c r="AF36" s="460"/>
      <c r="AG36" s="460"/>
      <c r="AH36" s="460"/>
      <c r="AI36" s="460"/>
      <c r="AJ36" s="460"/>
      <c r="AK36" s="460"/>
    </row>
    <row r="37" spans="2:37" ht="15" customHeight="1" x14ac:dyDescent="0.25">
      <c r="B37" s="741"/>
      <c r="C37" s="742"/>
      <c r="D37" s="742"/>
      <c r="E37" s="742"/>
      <c r="F37" s="742"/>
      <c r="G37" s="742"/>
      <c r="H37" s="742"/>
      <c r="I37" s="742"/>
      <c r="J37" s="743"/>
      <c r="K37" s="744"/>
      <c r="L37" s="751" t="s">
        <v>812</v>
      </c>
      <c r="M37" s="749"/>
      <c r="N37" s="749"/>
      <c r="O37" s="749"/>
      <c r="P37" s="749"/>
      <c r="Q37" s="749"/>
      <c r="R37" s="749"/>
      <c r="S37" s="749"/>
      <c r="T37" s="750"/>
      <c r="U37" s="458"/>
      <c r="V37" s="453"/>
      <c r="W37" s="453"/>
      <c r="X37" s="453"/>
      <c r="Y37" s="453"/>
      <c r="Z37" s="453"/>
      <c r="AA37" s="453"/>
      <c r="AB37" s="453"/>
      <c r="AC37" s="453"/>
      <c r="AD37" s="453"/>
      <c r="AE37" s="460"/>
      <c r="AF37" s="460"/>
      <c r="AG37" s="460"/>
      <c r="AH37" s="460"/>
      <c r="AI37" s="460"/>
      <c r="AJ37" s="460"/>
      <c r="AK37" s="460"/>
    </row>
    <row r="38" spans="2:37" ht="15" customHeight="1" x14ac:dyDescent="0.25">
      <c r="B38" s="741" t="s">
        <v>813</v>
      </c>
      <c r="C38" s="742"/>
      <c r="D38" s="742"/>
      <c r="E38" s="742"/>
      <c r="F38" s="742"/>
      <c r="G38" s="742"/>
      <c r="H38" s="742"/>
      <c r="I38" s="742"/>
      <c r="J38" s="743"/>
      <c r="K38" s="744"/>
      <c r="L38" s="748"/>
      <c r="M38" s="749"/>
      <c r="N38" s="749"/>
      <c r="O38" s="749"/>
      <c r="P38" s="749"/>
      <c r="Q38" s="749"/>
      <c r="R38" s="749"/>
      <c r="S38" s="749"/>
      <c r="T38" s="750"/>
      <c r="U38" s="458"/>
      <c r="V38" s="458"/>
      <c r="W38" s="458"/>
      <c r="X38" s="458"/>
      <c r="Y38" s="458"/>
      <c r="Z38" s="458"/>
      <c r="AA38" s="460"/>
      <c r="AB38" s="460"/>
      <c r="AC38" s="460"/>
      <c r="AD38" s="460"/>
      <c r="AE38" s="460"/>
      <c r="AF38" s="460"/>
      <c r="AG38" s="460"/>
      <c r="AH38" s="460"/>
      <c r="AI38" s="460"/>
      <c r="AJ38" s="460"/>
      <c r="AK38" s="460"/>
    </row>
    <row r="39" spans="2:37" ht="15" customHeight="1" x14ac:dyDescent="0.25">
      <c r="B39" s="741"/>
      <c r="C39" s="742"/>
      <c r="D39" s="742"/>
      <c r="E39" s="742"/>
      <c r="F39" s="742"/>
      <c r="G39" s="742"/>
      <c r="H39" s="742"/>
      <c r="I39" s="742"/>
      <c r="J39" s="743"/>
      <c r="K39" s="744"/>
      <c r="L39" s="748"/>
      <c r="M39" s="749"/>
      <c r="N39" s="749"/>
      <c r="O39" s="749"/>
      <c r="P39" s="749"/>
      <c r="Q39" s="749"/>
      <c r="R39" s="749"/>
      <c r="S39" s="749"/>
      <c r="T39" s="750"/>
      <c r="U39" s="458"/>
      <c r="V39" s="458"/>
      <c r="W39" s="458"/>
      <c r="X39" s="458"/>
      <c r="Y39" s="458"/>
      <c r="Z39" s="458"/>
      <c r="AA39" s="460"/>
      <c r="AB39" s="460"/>
      <c r="AC39" s="460"/>
      <c r="AD39" s="460"/>
      <c r="AE39" s="460"/>
      <c r="AF39" s="460"/>
      <c r="AG39" s="460"/>
      <c r="AH39" s="460"/>
      <c r="AI39" s="460"/>
      <c r="AJ39" s="460"/>
      <c r="AK39" s="460"/>
    </row>
    <row r="40" spans="2:37" ht="15" customHeight="1" x14ac:dyDescent="0.25">
      <c r="B40" s="741"/>
      <c r="C40" s="742"/>
      <c r="D40" s="742"/>
      <c r="E40" s="742"/>
      <c r="F40" s="742"/>
      <c r="G40" s="742"/>
      <c r="H40" s="742"/>
      <c r="I40" s="742"/>
      <c r="J40" s="743"/>
      <c r="K40" s="744"/>
      <c r="L40" s="748"/>
      <c r="M40" s="749"/>
      <c r="N40" s="749"/>
      <c r="O40" s="749"/>
      <c r="P40" s="749"/>
      <c r="Q40" s="749"/>
      <c r="R40" s="749"/>
      <c r="S40" s="749"/>
      <c r="T40" s="750"/>
      <c r="U40" s="458"/>
      <c r="V40" s="458"/>
      <c r="W40" s="458"/>
      <c r="X40" s="458"/>
      <c r="Y40" s="458"/>
      <c r="Z40" s="458"/>
      <c r="AA40" s="583"/>
      <c r="AB40" s="583"/>
      <c r="AC40" s="583"/>
      <c r="AD40" s="583"/>
      <c r="AE40" s="453"/>
      <c r="AF40" s="453"/>
      <c r="AG40" s="453"/>
      <c r="AH40" s="453"/>
      <c r="AI40" s="453"/>
      <c r="AJ40" s="453"/>
      <c r="AK40" s="453"/>
    </row>
    <row r="41" spans="2:37" ht="15" customHeight="1" x14ac:dyDescent="0.25">
      <c r="B41" s="741"/>
      <c r="C41" s="742"/>
      <c r="D41" s="742"/>
      <c r="E41" s="742"/>
      <c r="F41" s="742"/>
      <c r="G41" s="742"/>
      <c r="H41" s="742"/>
      <c r="I41" s="742"/>
      <c r="J41" s="743"/>
      <c r="K41" s="744"/>
      <c r="L41" s="748"/>
      <c r="M41" s="749"/>
      <c r="N41" s="749"/>
      <c r="O41" s="749"/>
      <c r="P41" s="749"/>
      <c r="Q41" s="749"/>
      <c r="R41" s="749"/>
      <c r="S41" s="749"/>
      <c r="T41" s="750"/>
      <c r="U41" s="458"/>
      <c r="V41" s="458"/>
      <c r="W41" s="458"/>
      <c r="X41" s="458"/>
      <c r="Y41" s="458"/>
      <c r="Z41" s="458"/>
      <c r="AA41" s="460"/>
      <c r="AB41" s="460"/>
      <c r="AC41" s="460"/>
      <c r="AD41" s="460"/>
      <c r="AE41" s="453"/>
      <c r="AF41" s="453"/>
      <c r="AG41" s="453"/>
      <c r="AH41" s="453"/>
      <c r="AI41" s="453"/>
      <c r="AJ41" s="453"/>
      <c r="AK41" s="453"/>
    </row>
    <row r="42" spans="2:37" ht="15" customHeight="1" x14ac:dyDescent="0.25">
      <c r="B42" s="755"/>
      <c r="C42" s="756"/>
      <c r="D42" s="756"/>
      <c r="E42" s="756"/>
      <c r="F42" s="756"/>
      <c r="G42" s="756"/>
      <c r="H42" s="756"/>
      <c r="I42" s="756"/>
      <c r="J42" s="757"/>
      <c r="K42" s="744"/>
      <c r="L42" s="748"/>
      <c r="M42" s="749"/>
      <c r="N42" s="749"/>
      <c r="O42" s="749"/>
      <c r="P42" s="749"/>
      <c r="Q42" s="749"/>
      <c r="R42" s="749"/>
      <c r="S42" s="749"/>
      <c r="T42" s="750"/>
      <c r="U42" s="583"/>
      <c r="V42" s="458"/>
      <c r="W42" s="458"/>
      <c r="X42" s="458"/>
      <c r="Y42" s="458"/>
      <c r="Z42" s="458"/>
      <c r="AA42" s="460"/>
      <c r="AB42" s="460"/>
      <c r="AC42" s="460"/>
      <c r="AD42" s="460"/>
      <c r="AE42" s="453"/>
      <c r="AF42" s="453"/>
      <c r="AG42" s="453"/>
      <c r="AH42" s="453"/>
      <c r="AI42" s="453"/>
      <c r="AJ42" s="453"/>
      <c r="AK42" s="453"/>
    </row>
    <row r="43" spans="2:37" ht="15" customHeight="1" x14ac:dyDescent="0.25">
      <c r="B43" s="755"/>
      <c r="C43" s="756"/>
      <c r="D43" s="756"/>
      <c r="E43" s="756"/>
      <c r="F43" s="756"/>
      <c r="G43" s="756"/>
      <c r="H43" s="756"/>
      <c r="I43" s="756"/>
      <c r="J43" s="757"/>
      <c r="K43" s="744"/>
      <c r="L43" s="748"/>
      <c r="M43" s="749"/>
      <c r="N43" s="749"/>
      <c r="O43" s="749"/>
      <c r="P43" s="749"/>
      <c r="Q43" s="749"/>
      <c r="R43" s="749"/>
      <c r="S43" s="749"/>
      <c r="T43" s="750"/>
      <c r="U43" s="583"/>
      <c r="V43" s="458"/>
      <c r="W43" s="458"/>
      <c r="X43" s="458"/>
      <c r="Y43" s="458"/>
      <c r="Z43" s="458"/>
      <c r="AA43" s="460"/>
      <c r="AB43" s="460"/>
      <c r="AC43" s="460"/>
      <c r="AD43" s="460"/>
      <c r="AE43" s="453"/>
      <c r="AF43" s="453"/>
      <c r="AG43" s="453"/>
      <c r="AH43" s="453"/>
      <c r="AI43" s="453"/>
      <c r="AJ43" s="453"/>
      <c r="AK43" s="453"/>
    </row>
    <row r="44" spans="2:37" ht="15" customHeight="1" x14ac:dyDescent="0.25">
      <c r="B44" s="755"/>
      <c r="C44" s="756"/>
      <c r="D44" s="756"/>
      <c r="E44" s="756"/>
      <c r="F44" s="756"/>
      <c r="G44" s="756"/>
      <c r="H44" s="756"/>
      <c r="I44" s="756"/>
      <c r="J44" s="757"/>
      <c r="K44" s="744"/>
      <c r="L44" s="748"/>
      <c r="M44" s="749"/>
      <c r="N44" s="749"/>
      <c r="O44" s="749"/>
      <c r="P44" s="749"/>
      <c r="Q44" s="749"/>
      <c r="R44" s="749"/>
      <c r="S44" s="749"/>
      <c r="T44" s="750"/>
      <c r="U44" s="583"/>
      <c r="V44" s="458"/>
      <c r="W44" s="458"/>
      <c r="X44" s="458"/>
      <c r="Y44" s="458"/>
      <c r="Z44" s="458"/>
      <c r="AA44" s="460"/>
      <c r="AB44" s="460"/>
      <c r="AC44" s="460"/>
      <c r="AD44" s="460"/>
      <c r="AE44" s="453"/>
      <c r="AF44" s="453"/>
      <c r="AG44" s="453"/>
      <c r="AH44" s="453"/>
      <c r="AI44" s="453"/>
      <c r="AJ44" s="453"/>
      <c r="AK44" s="453"/>
    </row>
    <row r="45" spans="2:37" ht="15" customHeight="1" x14ac:dyDescent="0.25">
      <c r="B45" s="755"/>
      <c r="C45" s="756"/>
      <c r="D45" s="756"/>
      <c r="E45" s="756"/>
      <c r="F45" s="756"/>
      <c r="G45" s="756"/>
      <c r="H45" s="756"/>
      <c r="I45" s="756"/>
      <c r="J45" s="757"/>
      <c r="K45" s="744"/>
      <c r="L45" s="748"/>
      <c r="M45" s="749"/>
      <c r="N45" s="749"/>
      <c r="O45" s="749"/>
      <c r="P45" s="749"/>
      <c r="Q45" s="749"/>
      <c r="R45" s="749"/>
      <c r="S45" s="749"/>
      <c r="T45" s="750"/>
      <c r="U45" s="583"/>
      <c r="V45" s="458"/>
      <c r="AA45" s="453"/>
      <c r="AB45" s="453"/>
      <c r="AC45" s="453"/>
      <c r="AD45" s="453"/>
      <c r="AE45" s="453"/>
      <c r="AF45" s="453"/>
      <c r="AG45" s="453"/>
      <c r="AH45" s="453"/>
      <c r="AI45" s="453"/>
      <c r="AJ45" s="453"/>
      <c r="AK45" s="453"/>
    </row>
    <row r="46" spans="2:37" ht="15" customHeight="1" x14ac:dyDescent="0.25">
      <c r="B46" s="755"/>
      <c r="C46" s="756"/>
      <c r="D46" s="756"/>
      <c r="E46" s="756"/>
      <c r="F46" s="756"/>
      <c r="G46" s="756"/>
      <c r="H46" s="756"/>
      <c r="I46" s="756"/>
      <c r="J46" s="757"/>
      <c r="K46" s="744"/>
      <c r="L46" s="776" t="s">
        <v>814</v>
      </c>
      <c r="M46" s="777"/>
      <c r="N46" s="777"/>
      <c r="O46" s="777"/>
      <c r="P46" s="777"/>
      <c r="Q46" s="777"/>
      <c r="R46" s="777"/>
      <c r="S46" s="777"/>
      <c r="T46" s="778"/>
      <c r="U46" s="453"/>
      <c r="V46" s="458"/>
      <c r="AA46" s="453"/>
      <c r="AB46" s="453"/>
      <c r="AC46" s="453"/>
      <c r="AD46" s="453"/>
      <c r="AE46" s="453"/>
      <c r="AF46" s="453"/>
      <c r="AG46" s="453"/>
      <c r="AH46" s="453"/>
      <c r="AI46" s="453"/>
      <c r="AJ46" s="453"/>
      <c r="AK46" s="453"/>
    </row>
    <row r="47" spans="2:37" ht="15" customHeight="1" x14ac:dyDescent="0.25">
      <c r="B47" s="755"/>
      <c r="C47" s="756"/>
      <c r="D47" s="756"/>
      <c r="E47" s="756"/>
      <c r="F47" s="756"/>
      <c r="G47" s="756"/>
      <c r="H47" s="756"/>
      <c r="I47" s="756"/>
      <c r="J47" s="757"/>
      <c r="K47" s="744"/>
      <c r="L47" s="776"/>
      <c r="M47" s="777"/>
      <c r="N47" s="777"/>
      <c r="O47" s="777"/>
      <c r="P47" s="777"/>
      <c r="Q47" s="777"/>
      <c r="R47" s="777"/>
      <c r="S47" s="777"/>
      <c r="T47" s="778"/>
      <c r="U47" s="453"/>
      <c r="V47" s="583"/>
      <c r="W47" s="453"/>
      <c r="X47" s="453"/>
      <c r="Y47" s="453"/>
      <c r="Z47" s="453"/>
      <c r="AA47" s="453"/>
      <c r="AB47" s="453"/>
      <c r="AC47" s="453"/>
      <c r="AD47" s="453"/>
      <c r="AE47" s="453"/>
      <c r="AF47" s="453"/>
      <c r="AG47" s="453"/>
      <c r="AH47" s="453"/>
      <c r="AI47" s="453"/>
      <c r="AJ47" s="453"/>
      <c r="AK47" s="453"/>
    </row>
    <row r="48" spans="2:37" ht="15" customHeight="1" x14ac:dyDescent="0.25">
      <c r="B48" s="755"/>
      <c r="C48" s="756"/>
      <c r="D48" s="756"/>
      <c r="E48" s="756"/>
      <c r="F48" s="756"/>
      <c r="G48" s="756"/>
      <c r="H48" s="756"/>
      <c r="I48" s="756"/>
      <c r="J48" s="757"/>
      <c r="K48" s="744"/>
      <c r="L48" s="751" t="s">
        <v>815</v>
      </c>
      <c r="M48" s="749"/>
      <c r="N48" s="749"/>
      <c r="O48" s="749"/>
      <c r="P48" s="749"/>
      <c r="Q48" s="749"/>
      <c r="R48" s="749"/>
      <c r="S48" s="749"/>
      <c r="T48" s="750"/>
      <c r="U48" s="453"/>
      <c r="V48" s="583"/>
      <c r="W48" s="453"/>
      <c r="X48" s="453"/>
      <c r="Y48" s="453"/>
      <c r="Z48" s="453"/>
      <c r="AA48" s="453"/>
      <c r="AB48" s="453"/>
      <c r="AC48" s="453"/>
      <c r="AD48" s="453"/>
      <c r="AE48" s="453"/>
      <c r="AF48" s="453"/>
      <c r="AG48" s="453"/>
      <c r="AH48" s="453"/>
      <c r="AI48" s="453"/>
      <c r="AJ48" s="453"/>
      <c r="AK48" s="453"/>
    </row>
    <row r="49" spans="2:37" ht="15" customHeight="1" x14ac:dyDescent="0.25">
      <c r="B49" s="755"/>
      <c r="C49" s="756"/>
      <c r="D49" s="756"/>
      <c r="E49" s="756"/>
      <c r="F49" s="756"/>
      <c r="G49" s="756"/>
      <c r="H49" s="756"/>
      <c r="I49" s="756"/>
      <c r="J49" s="757"/>
      <c r="K49" s="744"/>
      <c r="L49" s="748"/>
      <c r="M49" s="749"/>
      <c r="N49" s="749"/>
      <c r="O49" s="749"/>
      <c r="P49" s="749"/>
      <c r="Q49" s="749"/>
      <c r="R49" s="749"/>
      <c r="S49" s="749"/>
      <c r="T49" s="750"/>
      <c r="U49" s="453"/>
      <c r="V49" s="583"/>
      <c r="W49" s="453"/>
      <c r="X49" s="453"/>
      <c r="Y49" s="453"/>
      <c r="Z49" s="453"/>
      <c r="AA49" s="453"/>
      <c r="AB49" s="453"/>
      <c r="AC49" s="453"/>
      <c r="AD49" s="453"/>
      <c r="AE49" s="453"/>
      <c r="AF49" s="453"/>
      <c r="AG49" s="453"/>
      <c r="AH49" s="453"/>
      <c r="AI49" s="453"/>
      <c r="AJ49" s="453"/>
      <c r="AK49" s="453"/>
    </row>
    <row r="50" spans="2:37" ht="15" customHeight="1" x14ac:dyDescent="0.25">
      <c r="B50" s="755"/>
      <c r="C50" s="756"/>
      <c r="D50" s="756"/>
      <c r="E50" s="756"/>
      <c r="F50" s="756"/>
      <c r="G50" s="756"/>
      <c r="H50" s="756"/>
      <c r="I50" s="756"/>
      <c r="J50" s="757"/>
      <c r="K50" s="744"/>
      <c r="L50" s="748"/>
      <c r="M50" s="749"/>
      <c r="N50" s="749"/>
      <c r="O50" s="749"/>
      <c r="P50" s="749"/>
      <c r="Q50" s="749"/>
      <c r="R50" s="749"/>
      <c r="S50" s="749"/>
      <c r="T50" s="750"/>
      <c r="U50" s="453"/>
      <c r="V50" s="583"/>
      <c r="W50" s="453"/>
      <c r="X50" s="453"/>
      <c r="Y50" s="453"/>
      <c r="Z50" s="453"/>
      <c r="AA50" s="453"/>
      <c r="AB50" s="453"/>
      <c r="AC50" s="453"/>
      <c r="AD50" s="453"/>
      <c r="AE50" s="453"/>
      <c r="AF50" s="453"/>
      <c r="AG50" s="453"/>
      <c r="AH50" s="453"/>
      <c r="AI50" s="453"/>
      <c r="AJ50" s="453"/>
      <c r="AK50" s="453"/>
    </row>
    <row r="51" spans="2:37" ht="15" customHeight="1" x14ac:dyDescent="0.25">
      <c r="B51" s="755"/>
      <c r="C51" s="756"/>
      <c r="D51" s="756"/>
      <c r="E51" s="756"/>
      <c r="F51" s="756"/>
      <c r="G51" s="756"/>
      <c r="H51" s="756"/>
      <c r="I51" s="756"/>
      <c r="J51" s="757"/>
      <c r="K51" s="744"/>
      <c r="L51" s="748"/>
      <c r="M51" s="749"/>
      <c r="N51" s="749"/>
      <c r="O51" s="749"/>
      <c r="P51" s="749"/>
      <c r="Q51" s="749"/>
      <c r="R51" s="749"/>
      <c r="S51" s="749"/>
      <c r="T51" s="750"/>
      <c r="U51" s="453"/>
      <c r="V51" s="453"/>
      <c r="W51" s="453"/>
      <c r="X51" s="453"/>
      <c r="Y51" s="453"/>
      <c r="Z51" s="453"/>
      <c r="AA51" s="453"/>
      <c r="AB51" s="453"/>
      <c r="AC51" s="453"/>
      <c r="AD51" s="453"/>
      <c r="AE51" s="453"/>
      <c r="AF51" s="453"/>
      <c r="AG51" s="453"/>
      <c r="AH51" s="453"/>
      <c r="AI51" s="453"/>
      <c r="AJ51" s="453"/>
      <c r="AK51" s="453"/>
    </row>
    <row r="52" spans="2:37" ht="15" customHeight="1" x14ac:dyDescent="0.25">
      <c r="B52" s="755"/>
      <c r="C52" s="756"/>
      <c r="D52" s="756"/>
      <c r="E52" s="756"/>
      <c r="F52" s="756"/>
      <c r="G52" s="756"/>
      <c r="H52" s="756"/>
      <c r="I52" s="756"/>
      <c r="J52" s="757"/>
      <c r="K52" s="744"/>
      <c r="L52" s="764" t="s">
        <v>803</v>
      </c>
      <c r="M52" s="749"/>
      <c r="N52" s="749"/>
      <c r="O52" s="749"/>
      <c r="P52" s="749"/>
      <c r="Q52" s="749"/>
      <c r="R52" s="749"/>
      <c r="S52" s="749"/>
      <c r="T52" s="750"/>
      <c r="U52" s="453"/>
      <c r="V52" s="453"/>
      <c r="W52" s="453"/>
      <c r="X52" s="453"/>
      <c r="Y52" s="453"/>
      <c r="Z52" s="453"/>
      <c r="AA52" s="453"/>
      <c r="AB52" s="453"/>
      <c r="AC52" s="453"/>
      <c r="AD52" s="453"/>
      <c r="AE52" s="453"/>
      <c r="AF52" s="453"/>
      <c r="AG52" s="453"/>
      <c r="AH52" s="453"/>
      <c r="AI52" s="453"/>
      <c r="AJ52" s="453"/>
      <c r="AK52" s="453"/>
    </row>
    <row r="53" spans="2:37" ht="15" customHeight="1" x14ac:dyDescent="0.25">
      <c r="B53" s="755"/>
      <c r="C53" s="756"/>
      <c r="D53" s="756"/>
      <c r="E53" s="756"/>
      <c r="F53" s="756"/>
      <c r="G53" s="756"/>
      <c r="H53" s="756"/>
      <c r="I53" s="756"/>
      <c r="J53" s="757"/>
      <c r="K53" s="744"/>
      <c r="L53" s="751" t="s">
        <v>816</v>
      </c>
      <c r="M53" s="767"/>
      <c r="N53" s="767"/>
      <c r="O53" s="767"/>
      <c r="P53" s="767"/>
      <c r="Q53" s="767"/>
      <c r="R53" s="767"/>
      <c r="S53" s="767"/>
      <c r="T53" s="768"/>
      <c r="U53" s="453"/>
      <c r="V53" s="453"/>
      <c r="W53" s="453"/>
      <c r="X53" s="453"/>
      <c r="Y53" s="453"/>
      <c r="Z53" s="453"/>
      <c r="AA53" s="453"/>
      <c r="AB53" s="453"/>
      <c r="AC53" s="453"/>
      <c r="AD53" s="453"/>
      <c r="AE53" s="453"/>
      <c r="AF53" s="453"/>
      <c r="AG53" s="453"/>
      <c r="AH53" s="453"/>
      <c r="AI53" s="453"/>
      <c r="AJ53" s="453"/>
      <c r="AK53" s="453"/>
    </row>
    <row r="54" spans="2:37" ht="15" customHeight="1" x14ac:dyDescent="0.25">
      <c r="B54" s="755"/>
      <c r="C54" s="756"/>
      <c r="D54" s="756"/>
      <c r="E54" s="756"/>
      <c r="F54" s="756"/>
      <c r="G54" s="756"/>
      <c r="H54" s="756"/>
      <c r="I54" s="756"/>
      <c r="J54" s="757"/>
      <c r="K54" s="744"/>
      <c r="L54" s="751"/>
      <c r="M54" s="767"/>
      <c r="N54" s="767"/>
      <c r="O54" s="767"/>
      <c r="P54" s="767"/>
      <c r="Q54" s="767"/>
      <c r="R54" s="767"/>
      <c r="S54" s="767"/>
      <c r="T54" s="768"/>
      <c r="U54" s="453"/>
      <c r="V54" s="453"/>
      <c r="W54" s="453"/>
      <c r="X54" s="453"/>
      <c r="Y54" s="453"/>
      <c r="Z54" s="453"/>
      <c r="AA54" s="453"/>
      <c r="AB54" s="453"/>
      <c r="AC54" s="453"/>
      <c r="AD54" s="453"/>
      <c r="AE54" s="453"/>
      <c r="AF54" s="453"/>
      <c r="AG54" s="453"/>
      <c r="AH54" s="453"/>
      <c r="AI54" s="453"/>
      <c r="AJ54" s="453"/>
      <c r="AK54" s="453"/>
    </row>
    <row r="55" spans="2:37" ht="15" customHeight="1" x14ac:dyDescent="0.25">
      <c r="B55" s="755"/>
      <c r="C55" s="756"/>
      <c r="D55" s="756"/>
      <c r="E55" s="756"/>
      <c r="F55" s="756"/>
      <c r="G55" s="756"/>
      <c r="H55" s="756"/>
      <c r="I55" s="756"/>
      <c r="J55" s="757"/>
      <c r="K55" s="744"/>
      <c r="L55" s="751"/>
      <c r="M55" s="767"/>
      <c r="N55" s="767"/>
      <c r="O55" s="767"/>
      <c r="P55" s="767"/>
      <c r="Q55" s="767"/>
      <c r="R55" s="767"/>
      <c r="S55" s="767"/>
      <c r="T55" s="768"/>
      <c r="U55" s="453"/>
      <c r="V55" s="453"/>
      <c r="W55" s="453"/>
      <c r="X55" s="453"/>
      <c r="Y55" s="453"/>
      <c r="Z55" s="453"/>
      <c r="AA55" s="453"/>
      <c r="AB55" s="453"/>
      <c r="AC55" s="453"/>
      <c r="AD55" s="453"/>
      <c r="AE55" s="453"/>
      <c r="AF55" s="453"/>
      <c r="AG55" s="453"/>
      <c r="AH55" s="453"/>
      <c r="AI55" s="453"/>
      <c r="AJ55" s="453"/>
      <c r="AK55" s="453"/>
    </row>
    <row r="56" spans="2:37" ht="15" customHeight="1" x14ac:dyDescent="0.25">
      <c r="B56" s="755"/>
      <c r="C56" s="756"/>
      <c r="D56" s="756"/>
      <c r="E56" s="756"/>
      <c r="F56" s="756"/>
      <c r="G56" s="756"/>
      <c r="H56" s="756"/>
      <c r="I56" s="756"/>
      <c r="J56" s="757"/>
      <c r="K56" s="744"/>
      <c r="L56" s="751"/>
      <c r="M56" s="767"/>
      <c r="N56" s="767"/>
      <c r="O56" s="767"/>
      <c r="P56" s="767"/>
      <c r="Q56" s="767"/>
      <c r="R56" s="767"/>
      <c r="S56" s="767"/>
      <c r="T56" s="768"/>
      <c r="U56" s="453"/>
      <c r="V56" s="453"/>
      <c r="W56" s="453"/>
      <c r="X56" s="453"/>
      <c r="Y56" s="453"/>
      <c r="Z56" s="453"/>
      <c r="AA56" s="453"/>
      <c r="AB56" s="453"/>
      <c r="AC56" s="453"/>
      <c r="AD56" s="453"/>
      <c r="AE56" s="456"/>
      <c r="AF56" s="456"/>
      <c r="AG56" s="456"/>
      <c r="AH56" s="456"/>
      <c r="AI56" s="456"/>
      <c r="AJ56" s="456"/>
      <c r="AK56" s="456"/>
    </row>
    <row r="57" spans="2:37" ht="15" customHeight="1" x14ac:dyDescent="0.25">
      <c r="B57" s="755"/>
      <c r="C57" s="756"/>
      <c r="D57" s="756"/>
      <c r="E57" s="756"/>
      <c r="F57" s="756"/>
      <c r="G57" s="756"/>
      <c r="H57" s="756"/>
      <c r="I57" s="756"/>
      <c r="J57" s="757"/>
      <c r="K57" s="744"/>
      <c r="L57" s="751"/>
      <c r="M57" s="767"/>
      <c r="N57" s="767"/>
      <c r="O57" s="767"/>
      <c r="P57" s="767"/>
      <c r="Q57" s="767"/>
      <c r="R57" s="767"/>
      <c r="S57" s="767"/>
      <c r="T57" s="768"/>
      <c r="U57" s="453"/>
      <c r="V57" s="453"/>
      <c r="W57" s="453"/>
      <c r="X57" s="453"/>
      <c r="Y57" s="453"/>
      <c r="Z57" s="453"/>
      <c r="AA57" s="453"/>
      <c r="AB57" s="453"/>
      <c r="AC57" s="453"/>
      <c r="AD57" s="453"/>
      <c r="AE57" s="456"/>
      <c r="AF57" s="456"/>
      <c r="AG57" s="456"/>
      <c r="AH57" s="456"/>
      <c r="AI57" s="456"/>
      <c r="AJ57" s="456"/>
      <c r="AK57" s="456"/>
    </row>
    <row r="58" spans="2:37" ht="15" customHeight="1" x14ac:dyDescent="0.25">
      <c r="B58" s="755"/>
      <c r="C58" s="756"/>
      <c r="D58" s="756"/>
      <c r="E58" s="756"/>
      <c r="F58" s="756"/>
      <c r="G58" s="756"/>
      <c r="H58" s="756"/>
      <c r="I58" s="756"/>
      <c r="J58" s="757"/>
      <c r="K58" s="744"/>
      <c r="L58" s="751" t="s">
        <v>817</v>
      </c>
      <c r="M58" s="767"/>
      <c r="N58" s="767"/>
      <c r="O58" s="767"/>
      <c r="P58" s="767"/>
      <c r="Q58" s="767"/>
      <c r="R58" s="767"/>
      <c r="S58" s="767"/>
      <c r="T58" s="768"/>
      <c r="V58" s="453"/>
      <c r="W58" s="453"/>
      <c r="X58" s="453"/>
      <c r="Y58" s="453"/>
      <c r="Z58" s="453"/>
      <c r="AA58" s="453"/>
      <c r="AB58" s="453"/>
      <c r="AC58" s="453"/>
      <c r="AD58" s="453"/>
      <c r="AE58" s="456"/>
      <c r="AF58" s="456"/>
      <c r="AG58" s="456"/>
      <c r="AH58" s="456"/>
      <c r="AI58" s="456"/>
      <c r="AJ58" s="456"/>
      <c r="AK58" s="456"/>
    </row>
    <row r="59" spans="2:37" ht="15" customHeight="1" x14ac:dyDescent="0.25">
      <c r="B59" s="755"/>
      <c r="C59" s="756"/>
      <c r="D59" s="756"/>
      <c r="E59" s="756"/>
      <c r="F59" s="756"/>
      <c r="G59" s="756"/>
      <c r="H59" s="756"/>
      <c r="I59" s="756"/>
      <c r="J59" s="757"/>
      <c r="K59" s="744"/>
      <c r="L59" s="751"/>
      <c r="M59" s="767"/>
      <c r="N59" s="767"/>
      <c r="O59" s="767"/>
      <c r="P59" s="767"/>
      <c r="Q59" s="767"/>
      <c r="R59" s="767"/>
      <c r="S59" s="767"/>
      <c r="T59" s="768"/>
      <c r="V59" s="453"/>
      <c r="W59" s="453"/>
      <c r="X59" s="453"/>
      <c r="Y59" s="453"/>
      <c r="Z59" s="453"/>
      <c r="AA59" s="453"/>
      <c r="AB59" s="453"/>
      <c r="AC59" s="453"/>
      <c r="AD59" s="453"/>
      <c r="AE59" s="456"/>
      <c r="AF59" s="456"/>
      <c r="AG59" s="456"/>
      <c r="AH59" s="456"/>
      <c r="AI59" s="456"/>
      <c r="AJ59" s="456"/>
      <c r="AK59" s="456"/>
    </row>
    <row r="60" spans="2:37" ht="16.5" customHeight="1" x14ac:dyDescent="0.25">
      <c r="B60" s="755"/>
      <c r="C60" s="756"/>
      <c r="D60" s="756"/>
      <c r="E60" s="756"/>
      <c r="F60" s="756"/>
      <c r="G60" s="756"/>
      <c r="H60" s="756"/>
      <c r="I60" s="756"/>
      <c r="J60" s="757"/>
      <c r="K60" s="744"/>
      <c r="L60" s="751"/>
      <c r="M60" s="767"/>
      <c r="N60" s="767"/>
      <c r="O60" s="767"/>
      <c r="P60" s="767"/>
      <c r="Q60" s="767"/>
      <c r="R60" s="767"/>
      <c r="S60" s="767"/>
      <c r="T60" s="768"/>
      <c r="V60" s="453"/>
      <c r="W60" s="453"/>
      <c r="X60" s="453"/>
      <c r="Y60" s="453"/>
      <c r="Z60" s="453"/>
      <c r="AA60" s="453"/>
      <c r="AB60" s="453"/>
      <c r="AC60" s="453"/>
      <c r="AD60" s="453"/>
      <c r="AE60" s="456"/>
      <c r="AF60" s="456"/>
      <c r="AG60" s="456"/>
      <c r="AH60" s="456"/>
      <c r="AI60" s="456"/>
      <c r="AJ60" s="456"/>
      <c r="AK60" s="456"/>
    </row>
    <row r="61" spans="2:37" ht="16.5" customHeight="1" x14ac:dyDescent="0.25">
      <c r="B61" s="755"/>
      <c r="C61" s="756"/>
      <c r="D61" s="756"/>
      <c r="E61" s="756"/>
      <c r="F61" s="756"/>
      <c r="G61" s="756"/>
      <c r="H61" s="756"/>
      <c r="I61" s="756"/>
      <c r="J61" s="757"/>
      <c r="K61" s="744"/>
      <c r="L61" s="751"/>
      <c r="M61" s="767"/>
      <c r="N61" s="767"/>
      <c r="O61" s="767"/>
      <c r="P61" s="767"/>
      <c r="Q61" s="767"/>
      <c r="R61" s="767"/>
      <c r="S61" s="767"/>
      <c r="T61" s="768"/>
      <c r="V61" s="453"/>
      <c r="W61" s="453"/>
      <c r="X61" s="453"/>
      <c r="Y61" s="453"/>
      <c r="Z61" s="453"/>
      <c r="AA61" s="456"/>
      <c r="AB61" s="456"/>
      <c r="AC61" s="456"/>
      <c r="AD61" s="456"/>
      <c r="AE61" s="456"/>
      <c r="AF61" s="456"/>
      <c r="AG61" s="456"/>
      <c r="AH61" s="456"/>
      <c r="AI61" s="456"/>
      <c r="AJ61" s="456"/>
      <c r="AK61" s="456"/>
    </row>
    <row r="62" spans="2:37" ht="15" customHeight="1" x14ac:dyDescent="0.25">
      <c r="B62" s="755"/>
      <c r="C62" s="756"/>
      <c r="D62" s="756"/>
      <c r="E62" s="756"/>
      <c r="F62" s="756"/>
      <c r="G62" s="756"/>
      <c r="H62" s="756"/>
      <c r="I62" s="756"/>
      <c r="J62" s="757"/>
      <c r="K62" s="744"/>
      <c r="L62" s="751"/>
      <c r="M62" s="767"/>
      <c r="N62" s="767"/>
      <c r="O62" s="767"/>
      <c r="P62" s="767"/>
      <c r="Q62" s="767"/>
      <c r="R62" s="767"/>
      <c r="S62" s="767"/>
      <c r="T62" s="768"/>
      <c r="V62" s="453"/>
      <c r="W62" s="453"/>
      <c r="X62" s="453"/>
      <c r="Y62" s="453"/>
      <c r="Z62" s="453"/>
      <c r="AA62" s="456"/>
      <c r="AB62" s="456"/>
      <c r="AC62" s="456"/>
      <c r="AD62" s="456"/>
      <c r="AE62" s="456"/>
      <c r="AF62" s="456"/>
      <c r="AG62" s="456"/>
      <c r="AH62" s="456"/>
      <c r="AI62" s="456"/>
      <c r="AJ62" s="456"/>
      <c r="AK62" s="456"/>
    </row>
    <row r="63" spans="2:37" ht="19.5" customHeight="1" x14ac:dyDescent="0.25">
      <c r="B63" s="755"/>
      <c r="C63" s="756"/>
      <c r="D63" s="756"/>
      <c r="E63" s="756"/>
      <c r="F63" s="756"/>
      <c r="G63" s="756"/>
      <c r="H63" s="756"/>
      <c r="I63" s="756"/>
      <c r="J63" s="757"/>
      <c r="K63" s="744"/>
      <c r="L63" s="751"/>
      <c r="M63" s="767"/>
      <c r="N63" s="767"/>
      <c r="O63" s="767"/>
      <c r="P63" s="767"/>
      <c r="Q63" s="767"/>
      <c r="R63" s="767"/>
      <c r="S63" s="767"/>
      <c r="T63" s="768"/>
      <c r="AA63" s="456"/>
      <c r="AB63" s="456"/>
      <c r="AC63" s="456"/>
      <c r="AD63" s="456"/>
      <c r="AE63" s="456"/>
      <c r="AF63" s="456"/>
      <c r="AG63" s="456"/>
      <c r="AH63" s="456"/>
      <c r="AI63" s="456"/>
      <c r="AJ63" s="456"/>
      <c r="AK63" s="456"/>
    </row>
    <row r="64" spans="2:37" ht="19.5" customHeight="1" x14ac:dyDescent="0.25">
      <c r="B64" s="755"/>
      <c r="C64" s="756"/>
      <c r="D64" s="756"/>
      <c r="E64" s="756"/>
      <c r="F64" s="756"/>
      <c r="G64" s="756"/>
      <c r="H64" s="756"/>
      <c r="I64" s="756"/>
      <c r="J64" s="757"/>
      <c r="K64" s="744"/>
      <c r="L64" s="751"/>
      <c r="M64" s="767"/>
      <c r="N64" s="767"/>
      <c r="O64" s="767"/>
      <c r="P64" s="767"/>
      <c r="Q64" s="767"/>
      <c r="R64" s="767"/>
      <c r="S64" s="767"/>
      <c r="T64" s="768"/>
      <c r="AA64" s="456"/>
      <c r="AB64" s="456"/>
      <c r="AC64" s="456"/>
      <c r="AD64" s="456"/>
      <c r="AE64" s="456"/>
      <c r="AF64" s="456"/>
      <c r="AG64" s="456"/>
      <c r="AH64" s="456"/>
      <c r="AI64" s="456"/>
      <c r="AJ64" s="456"/>
      <c r="AK64" s="456"/>
    </row>
    <row r="65" spans="2:37" ht="16.5" customHeight="1" x14ac:dyDescent="0.25">
      <c r="B65" s="755"/>
      <c r="C65" s="756"/>
      <c r="D65" s="756"/>
      <c r="E65" s="756"/>
      <c r="F65" s="756"/>
      <c r="G65" s="756"/>
      <c r="H65" s="756"/>
      <c r="I65" s="756"/>
      <c r="J65" s="757"/>
      <c r="K65" s="744"/>
      <c r="L65" s="751"/>
      <c r="M65" s="767"/>
      <c r="N65" s="767"/>
      <c r="O65" s="767"/>
      <c r="P65" s="767"/>
      <c r="Q65" s="767"/>
      <c r="R65" s="767"/>
      <c r="S65" s="767"/>
      <c r="T65" s="768"/>
      <c r="AA65" s="456"/>
      <c r="AB65" s="456"/>
      <c r="AC65" s="456"/>
      <c r="AD65" s="456"/>
      <c r="AE65" s="456"/>
      <c r="AF65" s="456"/>
      <c r="AG65" s="456"/>
      <c r="AH65" s="456"/>
      <c r="AI65" s="456"/>
      <c r="AJ65" s="456"/>
      <c r="AK65" s="456"/>
    </row>
    <row r="66" spans="2:37" ht="16.5" customHeight="1" x14ac:dyDescent="0.25">
      <c r="B66" s="755"/>
      <c r="C66" s="756"/>
      <c r="D66" s="756"/>
      <c r="E66" s="756"/>
      <c r="F66" s="756"/>
      <c r="G66" s="756"/>
      <c r="H66" s="756"/>
      <c r="I66" s="756"/>
      <c r="J66" s="757"/>
      <c r="K66" s="744"/>
      <c r="L66" s="751"/>
      <c r="M66" s="767"/>
      <c r="N66" s="767"/>
      <c r="O66" s="767"/>
      <c r="P66" s="767"/>
      <c r="Q66" s="767"/>
      <c r="R66" s="767"/>
      <c r="S66" s="767"/>
      <c r="T66" s="768"/>
      <c r="AA66" s="456"/>
      <c r="AB66" s="456"/>
      <c r="AC66" s="456"/>
      <c r="AD66" s="456"/>
      <c r="AE66" s="456"/>
      <c r="AF66" s="456"/>
      <c r="AG66" s="456"/>
      <c r="AH66" s="456"/>
      <c r="AI66" s="456"/>
      <c r="AJ66" s="456"/>
      <c r="AK66" s="456"/>
    </row>
    <row r="67" spans="2:37" ht="16.5" customHeight="1" x14ac:dyDescent="0.25">
      <c r="B67" s="755"/>
      <c r="C67" s="756"/>
      <c r="D67" s="756"/>
      <c r="E67" s="756"/>
      <c r="F67" s="756"/>
      <c r="G67" s="756"/>
      <c r="H67" s="756"/>
      <c r="I67" s="756"/>
      <c r="J67" s="757"/>
      <c r="K67" s="744"/>
      <c r="L67" s="751"/>
      <c r="M67" s="767"/>
      <c r="N67" s="767"/>
      <c r="O67" s="767"/>
      <c r="P67" s="767"/>
      <c r="Q67" s="767"/>
      <c r="R67" s="767"/>
      <c r="S67" s="767"/>
      <c r="T67" s="768"/>
      <c r="AA67" s="456"/>
      <c r="AB67" s="456"/>
      <c r="AC67" s="456"/>
      <c r="AD67" s="456"/>
      <c r="AE67" s="456"/>
      <c r="AF67" s="456"/>
      <c r="AG67" s="456"/>
      <c r="AH67" s="456"/>
      <c r="AI67" s="456"/>
      <c r="AJ67" s="456"/>
      <c r="AK67" s="456"/>
    </row>
    <row r="68" spans="2:37" ht="16.5" customHeight="1" x14ac:dyDescent="0.25">
      <c r="B68" s="755"/>
      <c r="C68" s="756"/>
      <c r="D68" s="756"/>
      <c r="E68" s="756"/>
      <c r="F68" s="756"/>
      <c r="G68" s="756"/>
      <c r="H68" s="756"/>
      <c r="I68" s="756"/>
      <c r="J68" s="757"/>
      <c r="K68" s="744"/>
      <c r="L68" s="764" t="s">
        <v>807</v>
      </c>
      <c r="M68" s="765"/>
      <c r="N68" s="765"/>
      <c r="O68" s="765"/>
      <c r="P68" s="765"/>
      <c r="Q68" s="765"/>
      <c r="R68" s="765"/>
      <c r="S68" s="765"/>
      <c r="T68" s="766"/>
      <c r="AA68" s="456"/>
      <c r="AB68" s="456"/>
      <c r="AC68" s="456"/>
      <c r="AD68" s="456"/>
      <c r="AE68" s="453"/>
      <c r="AF68" s="453"/>
      <c r="AG68" s="453"/>
      <c r="AH68" s="453"/>
      <c r="AI68" s="453"/>
      <c r="AJ68" s="453"/>
      <c r="AK68" s="453"/>
    </row>
    <row r="69" spans="2:37" ht="16.5" customHeight="1" x14ac:dyDescent="0.25">
      <c r="B69" s="755"/>
      <c r="C69" s="756"/>
      <c r="D69" s="756"/>
      <c r="E69" s="756"/>
      <c r="F69" s="756"/>
      <c r="G69" s="756"/>
      <c r="H69" s="756"/>
      <c r="I69" s="756"/>
      <c r="J69" s="757"/>
      <c r="K69" s="744"/>
      <c r="L69" s="770" t="s">
        <v>1028</v>
      </c>
      <c r="M69" s="771"/>
      <c r="N69" s="771"/>
      <c r="O69" s="771"/>
      <c r="P69" s="771"/>
      <c r="Q69" s="771"/>
      <c r="R69" s="771"/>
      <c r="S69" s="771"/>
      <c r="T69" s="772"/>
      <c r="AA69" s="456"/>
      <c r="AB69" s="456"/>
      <c r="AC69" s="456"/>
      <c r="AD69" s="456"/>
      <c r="AE69" s="451"/>
      <c r="AF69" s="451"/>
      <c r="AG69" s="451"/>
      <c r="AH69" s="451"/>
      <c r="AI69" s="451"/>
      <c r="AJ69" s="451"/>
      <c r="AK69" s="451"/>
    </row>
    <row r="70" spans="2:37" ht="13.5" customHeight="1" x14ac:dyDescent="0.25">
      <c r="B70" s="755"/>
      <c r="C70" s="756"/>
      <c r="D70" s="756"/>
      <c r="E70" s="756"/>
      <c r="F70" s="756"/>
      <c r="G70" s="756"/>
      <c r="H70" s="756"/>
      <c r="I70" s="756"/>
      <c r="J70" s="757"/>
      <c r="K70" s="744"/>
      <c r="L70" s="770"/>
      <c r="M70" s="771"/>
      <c r="N70" s="771"/>
      <c r="O70" s="771"/>
      <c r="P70" s="771"/>
      <c r="Q70" s="771"/>
      <c r="R70" s="771"/>
      <c r="S70" s="771"/>
      <c r="T70" s="772"/>
      <c r="AA70" s="456"/>
      <c r="AB70" s="456"/>
      <c r="AC70" s="456"/>
      <c r="AD70" s="456"/>
      <c r="AE70" s="468"/>
      <c r="AF70" s="468"/>
      <c r="AG70" s="468"/>
      <c r="AH70" s="468"/>
      <c r="AI70" s="468"/>
      <c r="AJ70" s="468"/>
      <c r="AK70" s="468"/>
    </row>
    <row r="71" spans="2:37" ht="15" customHeight="1" x14ac:dyDescent="0.25">
      <c r="B71" s="755"/>
      <c r="C71" s="756"/>
      <c r="D71" s="756"/>
      <c r="E71" s="756"/>
      <c r="F71" s="756"/>
      <c r="G71" s="756"/>
      <c r="H71" s="756"/>
      <c r="I71" s="756"/>
      <c r="J71" s="757"/>
      <c r="K71" s="744"/>
      <c r="L71" s="773"/>
      <c r="M71" s="774"/>
      <c r="N71" s="774"/>
      <c r="O71" s="774"/>
      <c r="P71" s="774"/>
      <c r="Q71" s="774"/>
      <c r="R71" s="774"/>
      <c r="S71" s="774"/>
      <c r="T71" s="775"/>
      <c r="AA71" s="456"/>
      <c r="AB71" s="456"/>
      <c r="AC71" s="456"/>
      <c r="AD71" s="456"/>
      <c r="AE71" s="468"/>
      <c r="AF71" s="468"/>
      <c r="AG71" s="468"/>
      <c r="AH71" s="468"/>
      <c r="AI71" s="468"/>
      <c r="AJ71" s="468"/>
      <c r="AK71" s="468"/>
    </row>
    <row r="72" spans="2:37" ht="14.5" customHeight="1" x14ac:dyDescent="0.25">
      <c r="B72" s="748" t="s">
        <v>1026</v>
      </c>
      <c r="C72" s="749"/>
      <c r="D72" s="749"/>
      <c r="E72" s="749"/>
      <c r="F72" s="749"/>
      <c r="G72" s="749"/>
      <c r="H72" s="749"/>
      <c r="I72" s="749"/>
      <c r="J72" s="750"/>
      <c r="K72" s="744"/>
      <c r="L72" s="462"/>
      <c r="M72" s="462"/>
      <c r="N72" s="462"/>
      <c r="O72" s="462"/>
      <c r="P72" s="462"/>
      <c r="Q72" s="462"/>
      <c r="R72" s="462"/>
      <c r="S72" s="462"/>
      <c r="T72" s="462"/>
      <c r="AA72" s="456"/>
      <c r="AB72" s="456"/>
      <c r="AC72" s="456"/>
      <c r="AD72" s="456"/>
      <c r="AE72" s="457"/>
      <c r="AF72" s="457"/>
      <c r="AG72" s="457"/>
      <c r="AH72" s="457"/>
      <c r="AI72" s="457"/>
      <c r="AJ72" s="457"/>
      <c r="AK72" s="457"/>
    </row>
    <row r="73" spans="2:37" ht="13.5" customHeight="1" x14ac:dyDescent="0.25">
      <c r="B73" s="748"/>
      <c r="C73" s="749"/>
      <c r="D73" s="749"/>
      <c r="E73" s="749"/>
      <c r="F73" s="749"/>
      <c r="G73" s="749"/>
      <c r="H73" s="749"/>
      <c r="I73" s="749"/>
      <c r="J73" s="750"/>
      <c r="K73" s="744"/>
      <c r="L73" s="462"/>
      <c r="M73" s="462"/>
      <c r="N73" s="462"/>
      <c r="O73" s="462"/>
      <c r="P73" s="462"/>
      <c r="Q73" s="462"/>
      <c r="R73" s="462"/>
      <c r="S73" s="462"/>
      <c r="T73" s="462"/>
      <c r="AA73" s="453"/>
      <c r="AB73" s="453"/>
      <c r="AC73" s="453"/>
      <c r="AD73" s="453"/>
      <c r="AE73" s="454"/>
      <c r="AF73" s="454"/>
      <c r="AG73" s="454"/>
      <c r="AH73" s="454"/>
      <c r="AI73" s="454"/>
      <c r="AJ73" s="454"/>
      <c r="AK73" s="454"/>
    </row>
    <row r="74" spans="2:37" ht="13.5" customHeight="1" x14ac:dyDescent="0.3">
      <c r="B74" s="748"/>
      <c r="C74" s="749"/>
      <c r="D74" s="749"/>
      <c r="E74" s="749"/>
      <c r="F74" s="749"/>
      <c r="G74" s="749"/>
      <c r="H74" s="749"/>
      <c r="I74" s="749"/>
      <c r="J74" s="750"/>
      <c r="K74" s="744"/>
      <c r="L74" s="462"/>
      <c r="M74" s="462"/>
      <c r="N74" s="462"/>
      <c r="O74" s="462"/>
      <c r="P74" s="462"/>
      <c r="Q74" s="462"/>
      <c r="R74" s="462"/>
      <c r="S74" s="462"/>
      <c r="T74" s="462"/>
      <c r="AA74" s="455"/>
      <c r="AB74" s="451"/>
      <c r="AC74" s="451"/>
      <c r="AD74" s="451"/>
      <c r="AE74" s="456"/>
      <c r="AF74" s="456"/>
      <c r="AG74" s="456"/>
      <c r="AH74" s="456"/>
      <c r="AI74" s="456"/>
      <c r="AJ74" s="456"/>
      <c r="AK74" s="456"/>
    </row>
    <row r="75" spans="2:37" ht="17.5" customHeight="1" x14ac:dyDescent="0.25">
      <c r="B75" s="748"/>
      <c r="C75" s="749"/>
      <c r="D75" s="749"/>
      <c r="E75" s="749"/>
      <c r="F75" s="749"/>
      <c r="G75" s="749"/>
      <c r="H75" s="749"/>
      <c r="I75" s="749"/>
      <c r="J75" s="750"/>
      <c r="K75" s="744"/>
      <c r="L75" s="462"/>
      <c r="M75" s="462"/>
      <c r="N75" s="462"/>
      <c r="O75" s="462"/>
      <c r="P75" s="462"/>
      <c r="Q75" s="462"/>
      <c r="R75" s="462"/>
      <c r="S75" s="462"/>
      <c r="T75" s="462"/>
      <c r="AA75" s="468"/>
      <c r="AB75" s="468"/>
      <c r="AC75" s="468"/>
      <c r="AD75" s="468"/>
      <c r="AE75" s="456"/>
      <c r="AF75" s="456"/>
      <c r="AG75" s="456"/>
      <c r="AH75" s="456"/>
      <c r="AI75" s="456"/>
      <c r="AJ75" s="456"/>
      <c r="AK75" s="456"/>
    </row>
    <row r="76" spans="2:37" ht="13.5" customHeight="1" x14ac:dyDescent="0.25">
      <c r="B76" s="748"/>
      <c r="C76" s="749"/>
      <c r="D76" s="749"/>
      <c r="E76" s="749"/>
      <c r="F76" s="749"/>
      <c r="G76" s="749"/>
      <c r="H76" s="749"/>
      <c r="I76" s="749"/>
      <c r="J76" s="750"/>
      <c r="K76" s="744"/>
      <c r="L76" s="462"/>
      <c r="M76" s="462"/>
      <c r="N76" s="462"/>
      <c r="O76" s="462"/>
      <c r="P76" s="462"/>
      <c r="Q76" s="462"/>
      <c r="R76" s="462"/>
      <c r="S76" s="462"/>
      <c r="T76" s="462"/>
      <c r="AA76" s="468"/>
      <c r="AB76" s="468"/>
      <c r="AC76" s="468"/>
      <c r="AD76" s="468"/>
      <c r="AE76" s="456"/>
      <c r="AF76" s="456"/>
      <c r="AG76" s="456"/>
      <c r="AH76" s="456"/>
      <c r="AI76" s="456"/>
      <c r="AJ76" s="456"/>
      <c r="AK76" s="456"/>
    </row>
    <row r="77" spans="2:37" ht="13.5" customHeight="1" x14ac:dyDescent="0.25">
      <c r="B77" s="748"/>
      <c r="C77" s="749"/>
      <c r="D77" s="749"/>
      <c r="E77" s="749"/>
      <c r="F77" s="749"/>
      <c r="G77" s="749"/>
      <c r="H77" s="749"/>
      <c r="I77" s="749"/>
      <c r="J77" s="750"/>
      <c r="K77" s="744"/>
      <c r="L77" s="462"/>
      <c r="M77" s="462"/>
      <c r="N77" s="462"/>
      <c r="O77" s="462"/>
      <c r="P77" s="462"/>
      <c r="Q77" s="462"/>
      <c r="R77" s="462"/>
      <c r="S77" s="462"/>
      <c r="T77" s="462"/>
      <c r="AA77" s="457"/>
      <c r="AB77" s="457"/>
      <c r="AC77" s="457"/>
      <c r="AD77" s="457"/>
      <c r="AE77" s="456"/>
      <c r="AF77" s="456"/>
      <c r="AG77" s="456"/>
      <c r="AH77" s="456"/>
      <c r="AI77" s="456"/>
      <c r="AJ77" s="456"/>
      <c r="AK77" s="456"/>
    </row>
    <row r="78" spans="2:37" ht="13.5" customHeight="1" x14ac:dyDescent="0.25">
      <c r="B78" s="748"/>
      <c r="C78" s="749"/>
      <c r="D78" s="749"/>
      <c r="E78" s="749"/>
      <c r="F78" s="749"/>
      <c r="G78" s="749"/>
      <c r="H78" s="749"/>
      <c r="I78" s="749"/>
      <c r="J78" s="750"/>
      <c r="K78" s="744"/>
      <c r="L78" s="462"/>
      <c r="M78" s="462"/>
      <c r="N78" s="462"/>
      <c r="O78" s="462"/>
      <c r="P78" s="462"/>
      <c r="Q78" s="462"/>
      <c r="R78" s="462"/>
      <c r="S78" s="462"/>
      <c r="T78" s="462"/>
      <c r="AA78" s="454"/>
      <c r="AB78" s="454"/>
      <c r="AC78" s="454"/>
      <c r="AD78" s="454"/>
      <c r="AE78" s="456"/>
      <c r="AF78" s="456"/>
      <c r="AG78" s="456"/>
      <c r="AH78" s="456"/>
      <c r="AI78" s="456"/>
      <c r="AJ78" s="456"/>
      <c r="AK78" s="456"/>
    </row>
    <row r="79" spans="2:37" ht="13.5" customHeight="1" x14ac:dyDescent="0.25">
      <c r="B79" s="748"/>
      <c r="C79" s="749"/>
      <c r="D79" s="749"/>
      <c r="E79" s="749"/>
      <c r="F79" s="749"/>
      <c r="G79" s="749"/>
      <c r="H79" s="749"/>
      <c r="I79" s="749"/>
      <c r="J79" s="750"/>
      <c r="K79" s="744"/>
      <c r="L79" s="462"/>
      <c r="M79" s="462"/>
      <c r="N79" s="462"/>
      <c r="O79" s="462"/>
      <c r="P79" s="462"/>
      <c r="Q79" s="462"/>
      <c r="R79" s="462"/>
      <c r="S79" s="462"/>
      <c r="T79" s="462"/>
      <c r="AA79" s="456"/>
      <c r="AB79" s="456"/>
      <c r="AC79" s="456"/>
      <c r="AD79" s="456"/>
    </row>
    <row r="80" spans="2:37" ht="13.5" customHeight="1" x14ac:dyDescent="0.25">
      <c r="B80" s="748"/>
      <c r="C80" s="749"/>
      <c r="D80" s="749"/>
      <c r="E80" s="749"/>
      <c r="F80" s="749"/>
      <c r="G80" s="749"/>
      <c r="H80" s="749"/>
      <c r="I80" s="749"/>
      <c r="J80" s="750"/>
      <c r="K80" s="744"/>
      <c r="L80" s="462"/>
      <c r="M80" s="462"/>
      <c r="N80" s="462"/>
      <c r="O80" s="462"/>
      <c r="P80" s="462"/>
      <c r="Q80" s="462"/>
      <c r="R80" s="462"/>
      <c r="S80" s="462"/>
      <c r="T80" s="462"/>
      <c r="AA80" s="456"/>
      <c r="AB80" s="456"/>
      <c r="AC80" s="456"/>
      <c r="AD80" s="456"/>
    </row>
    <row r="81" spans="2:30" ht="16.5" customHeight="1" x14ac:dyDescent="0.25">
      <c r="B81" s="748"/>
      <c r="C81" s="749"/>
      <c r="D81" s="749"/>
      <c r="E81" s="749"/>
      <c r="F81" s="749"/>
      <c r="G81" s="749"/>
      <c r="H81" s="749"/>
      <c r="I81" s="749"/>
      <c r="J81" s="750"/>
      <c r="K81" s="744"/>
      <c r="L81" s="462"/>
      <c r="M81" s="462"/>
      <c r="N81" s="462"/>
      <c r="O81" s="462"/>
      <c r="P81" s="462"/>
      <c r="Q81" s="462"/>
      <c r="R81" s="462"/>
      <c r="S81" s="462"/>
      <c r="T81" s="462"/>
      <c r="AA81" s="456"/>
      <c r="AB81" s="456"/>
      <c r="AC81" s="456"/>
      <c r="AD81" s="456"/>
    </row>
    <row r="82" spans="2:30" ht="13.5" customHeight="1" x14ac:dyDescent="0.25">
      <c r="B82" s="748"/>
      <c r="C82" s="749"/>
      <c r="D82" s="749"/>
      <c r="E82" s="749"/>
      <c r="F82" s="749"/>
      <c r="G82" s="749"/>
      <c r="H82" s="749"/>
      <c r="I82" s="749"/>
      <c r="J82" s="750"/>
      <c r="K82" s="744"/>
      <c r="L82" s="462"/>
      <c r="M82" s="462"/>
      <c r="N82" s="462"/>
      <c r="O82" s="462"/>
      <c r="P82" s="462"/>
      <c r="Q82" s="462"/>
      <c r="R82" s="462"/>
      <c r="S82" s="462"/>
      <c r="T82" s="462"/>
      <c r="AA82" s="456"/>
      <c r="AB82" s="456"/>
      <c r="AC82" s="456"/>
      <c r="AD82" s="456"/>
    </row>
    <row r="83" spans="2:30" ht="16.5" customHeight="1" x14ac:dyDescent="0.25">
      <c r="B83" s="467"/>
      <c r="C83" s="463"/>
      <c r="D83" s="463"/>
      <c r="E83" s="463"/>
      <c r="F83" s="463"/>
      <c r="G83" s="463"/>
      <c r="H83" s="463"/>
      <c r="I83" s="463"/>
      <c r="J83" s="464"/>
      <c r="K83" s="744"/>
      <c r="L83" s="462"/>
      <c r="M83" s="462"/>
      <c r="N83" s="462"/>
      <c r="O83" s="462"/>
      <c r="P83" s="462"/>
      <c r="Q83" s="462"/>
      <c r="R83" s="462"/>
      <c r="S83" s="462"/>
      <c r="T83" s="462"/>
      <c r="AA83" s="456"/>
      <c r="AB83" s="456"/>
      <c r="AC83" s="456"/>
      <c r="AD83" s="456"/>
    </row>
    <row r="84" spans="2:30" ht="13.5" customHeight="1" x14ac:dyDescent="0.25">
      <c r="B84" s="460"/>
      <c r="C84" s="460"/>
      <c r="D84" s="460"/>
      <c r="E84" s="460"/>
      <c r="F84" s="460"/>
      <c r="G84" s="460"/>
      <c r="H84" s="460"/>
      <c r="I84" s="460"/>
      <c r="J84" s="460"/>
      <c r="L84" s="462"/>
      <c r="M84" s="462"/>
      <c r="N84" s="462"/>
      <c r="O84" s="462"/>
      <c r="P84" s="462"/>
      <c r="Q84" s="462"/>
      <c r="R84" s="462"/>
      <c r="S84" s="462"/>
      <c r="T84" s="462"/>
    </row>
    <row r="85" spans="2:30" ht="13.5" customHeight="1" x14ac:dyDescent="0.25">
      <c r="B85" s="460"/>
      <c r="C85" s="460"/>
      <c r="D85" s="460"/>
      <c r="E85" s="460"/>
      <c r="F85" s="460"/>
      <c r="G85" s="460"/>
      <c r="H85" s="460"/>
      <c r="I85" s="460"/>
      <c r="J85" s="460"/>
      <c r="L85" s="462"/>
      <c r="M85" s="462"/>
      <c r="N85" s="462"/>
      <c r="O85" s="462"/>
      <c r="P85" s="462"/>
      <c r="Q85" s="462"/>
      <c r="R85" s="462"/>
      <c r="S85" s="462"/>
      <c r="T85" s="462"/>
    </row>
    <row r="86" spans="2:30" ht="13.5" customHeight="1" x14ac:dyDescent="0.25">
      <c r="J86" s="458"/>
      <c r="L86" s="459"/>
      <c r="M86" s="459"/>
      <c r="N86" s="459"/>
      <c r="O86" s="459"/>
      <c r="P86" s="459"/>
    </row>
    <row r="87" spans="2:30" ht="13.5" customHeight="1" x14ac:dyDescent="0.25">
      <c r="J87" s="458"/>
      <c r="L87" s="459"/>
      <c r="M87" s="459"/>
      <c r="N87" s="459"/>
      <c r="O87" s="459"/>
      <c r="P87" s="459"/>
    </row>
    <row r="88" spans="2:30" ht="13.5" customHeight="1" x14ac:dyDescent="0.25">
      <c r="J88" s="458"/>
      <c r="L88" s="459"/>
      <c r="M88" s="459"/>
      <c r="N88" s="459"/>
      <c r="O88" s="459"/>
      <c r="P88" s="459"/>
    </row>
    <row r="89" spans="2:30" ht="13.5" customHeight="1" x14ac:dyDescent="0.25">
      <c r="L89" s="459"/>
      <c r="M89" s="459"/>
      <c r="N89" s="459"/>
      <c r="O89" s="459"/>
      <c r="P89" s="459"/>
    </row>
    <row r="90" spans="2:30" ht="13.5" customHeight="1" x14ac:dyDescent="0.25">
      <c r="L90" s="459"/>
      <c r="M90" s="459"/>
      <c r="N90" s="459"/>
      <c r="O90" s="459"/>
      <c r="P90" s="459"/>
    </row>
    <row r="91" spans="2:30" x14ac:dyDescent="0.25">
      <c r="L91" s="459"/>
      <c r="M91" s="459"/>
      <c r="N91" s="459"/>
      <c r="O91" s="459"/>
      <c r="P91" s="459"/>
    </row>
    <row r="92" spans="2:30" x14ac:dyDescent="0.25">
      <c r="L92" s="459"/>
      <c r="M92" s="459"/>
      <c r="N92" s="459"/>
      <c r="O92" s="459"/>
      <c r="P92" s="459"/>
    </row>
    <row r="93" spans="2:30" ht="13.5" customHeight="1" x14ac:dyDescent="0.25"/>
    <row r="94" spans="2:30" ht="13.5" customHeight="1" x14ac:dyDescent="0.25"/>
    <row r="95" spans="2:30" ht="13.5" customHeight="1" x14ac:dyDescent="0.25"/>
    <row r="96" spans="2:30" ht="13.5" customHeight="1" x14ac:dyDescent="0.25"/>
    <row r="97" ht="13.5" customHeight="1" x14ac:dyDescent="0.25"/>
    <row r="98" ht="13.5" customHeight="1" x14ac:dyDescent="0.25"/>
    <row r="99" ht="13.5" customHeight="1" x14ac:dyDescent="0.25"/>
    <row r="105" ht="15" customHeight="1" x14ac:dyDescent="0.25"/>
  </sheetData>
  <customSheetViews>
    <customSheetView guid="{59B363CD-3DDC-B04B-9DA2-AD720BF8C467}">
      <selection activeCell="S8" sqref="S8"/>
      <pageMargins left="0" right="0" top="0" bottom="0" header="0" footer="0"/>
      <pageSetup paperSize="9" orientation="portrait"/>
    </customSheetView>
    <customSheetView guid="{C2C56F38-527D-46F3-8E7F-3C5092082195}">
      <selection activeCell="S8" sqref="S8"/>
      <pageMargins left="0" right="0" top="0" bottom="0" header="0" footer="0"/>
      <pageSetup paperSize="9" orientation="portrait"/>
    </customSheetView>
  </customSheetViews>
  <mergeCells count="30">
    <mergeCell ref="V25:AD28"/>
    <mergeCell ref="V1:AD2"/>
    <mergeCell ref="V8:AD14"/>
    <mergeCell ref="V15:AD16"/>
    <mergeCell ref="V18:AD22"/>
    <mergeCell ref="V24:AD24"/>
    <mergeCell ref="V3:AD4"/>
    <mergeCell ref="V5:AD7"/>
    <mergeCell ref="L58:T67"/>
    <mergeCell ref="L46:T47"/>
    <mergeCell ref="L35:T36"/>
    <mergeCell ref="L48:T51"/>
    <mergeCell ref="L52:T52"/>
    <mergeCell ref="L53:T57"/>
    <mergeCell ref="B38:J41"/>
    <mergeCell ref="K1:K83"/>
    <mergeCell ref="L15:T16"/>
    <mergeCell ref="L30:T34"/>
    <mergeCell ref="L37:T45"/>
    <mergeCell ref="B1:J37"/>
    <mergeCell ref="B42:J71"/>
    <mergeCell ref="B72:J82"/>
    <mergeCell ref="L13:T14"/>
    <mergeCell ref="L17:T17"/>
    <mergeCell ref="L18:T22"/>
    <mergeCell ref="L23:T26"/>
    <mergeCell ref="L27:T29"/>
    <mergeCell ref="L68:T68"/>
    <mergeCell ref="L1:T12"/>
    <mergeCell ref="L69:T71"/>
  </mergeCells>
  <pageMargins left="0.75" right="0.75" top="1" bottom="1" header="0.5" footer="0.5"/>
  <pageSetup paperSize="9" orientation="portrait" r:id="rId1"/>
  <drawing r:id="rId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C173-C3BC-449E-99CF-013284A2C54B}">
  <dimension ref="A1:G40"/>
  <sheetViews>
    <sheetView topLeftCell="A31" zoomScale="70" zoomScaleNormal="70" workbookViewId="0">
      <selection activeCell="G22" sqref="G22"/>
    </sheetView>
  </sheetViews>
  <sheetFormatPr defaultColWidth="8.81640625" defaultRowHeight="25" customHeight="1" x14ac:dyDescent="0.25"/>
  <cols>
    <col min="1" max="2" width="43.453125" style="443" customWidth="1"/>
    <col min="3" max="3" width="46.453125" style="443" customWidth="1"/>
    <col min="4" max="4" width="17.54296875" style="443" customWidth="1"/>
    <col min="5" max="5" width="20.54296875" style="443" customWidth="1"/>
    <col min="6" max="6" width="22.54296875" style="443" customWidth="1"/>
    <col min="7" max="7" width="24.54296875" style="443" customWidth="1"/>
    <col min="8" max="16384" width="8.81640625" style="443"/>
  </cols>
  <sheetData>
    <row r="1" spans="1:7" ht="25" customHeight="1" x14ac:dyDescent="0.25">
      <c r="A1" s="803" t="s">
        <v>818</v>
      </c>
      <c r="B1" s="804"/>
      <c r="C1" s="804"/>
      <c r="D1" s="804"/>
      <c r="E1" s="804"/>
      <c r="F1" s="804"/>
      <c r="G1" s="804"/>
    </row>
    <row r="2" spans="1:7" ht="25" customHeight="1" x14ac:dyDescent="0.3">
      <c r="A2" s="497" t="s">
        <v>819</v>
      </c>
      <c r="B2" s="470">
        <v>5</v>
      </c>
      <c r="C2" s="471"/>
      <c r="D2" s="526"/>
      <c r="E2" s="526"/>
      <c r="F2" s="526"/>
      <c r="G2" s="526"/>
    </row>
    <row r="3" spans="1:7" ht="25" customHeight="1" x14ac:dyDescent="0.3">
      <c r="A3" s="497" t="s">
        <v>313</v>
      </c>
      <c r="B3" s="504" t="s">
        <v>820</v>
      </c>
      <c r="C3" s="471"/>
      <c r="D3" s="503"/>
      <c r="E3" s="503"/>
      <c r="F3" s="503"/>
      <c r="G3" s="503"/>
    </row>
    <row r="4" spans="1:7" ht="25" customHeight="1" thickBot="1" x14ac:dyDescent="0.3">
      <c r="A4" s="497"/>
      <c r="B4" s="444"/>
      <c r="C4" s="445"/>
      <c r="D4" s="445"/>
      <c r="E4" s="445"/>
      <c r="F4" s="445"/>
      <c r="G4" s="445"/>
    </row>
    <row r="5" spans="1:7" ht="25" customHeight="1" thickBot="1" x14ac:dyDescent="0.3">
      <c r="A5" s="525" t="s">
        <v>821</v>
      </c>
      <c r="B5" s="805" t="s">
        <v>822</v>
      </c>
      <c r="C5" s="805"/>
      <c r="D5" s="805"/>
      <c r="E5" s="805"/>
      <c r="F5" s="805"/>
      <c r="G5" s="806"/>
    </row>
    <row r="6" spans="1:7" s="472" customFormat="1" ht="8.15" customHeight="1" thickBot="1" x14ac:dyDescent="0.3">
      <c r="A6" s="807"/>
      <c r="B6" s="807"/>
      <c r="C6" s="517"/>
      <c r="D6" s="517"/>
      <c r="E6" s="517"/>
      <c r="F6" s="517"/>
      <c r="G6" s="518"/>
    </row>
    <row r="7" spans="1:7" ht="25" customHeight="1" thickBot="1" x14ac:dyDescent="0.3">
      <c r="A7" s="523" t="s">
        <v>823</v>
      </c>
      <c r="B7" s="801" t="s">
        <v>824</v>
      </c>
      <c r="C7" s="801"/>
      <c r="D7" s="801"/>
      <c r="E7" s="801"/>
      <c r="F7" s="801"/>
      <c r="G7" s="802"/>
    </row>
    <row r="8" spans="1:7" ht="25" customHeight="1" x14ac:dyDescent="0.3">
      <c r="A8" s="527" t="s">
        <v>825</v>
      </c>
      <c r="B8" s="528" t="s">
        <v>826</v>
      </c>
      <c r="C8" s="529" t="s">
        <v>827</v>
      </c>
      <c r="D8" s="529" t="s">
        <v>828</v>
      </c>
      <c r="E8" s="529" t="s">
        <v>829</v>
      </c>
      <c r="F8" s="529" t="s">
        <v>830</v>
      </c>
      <c r="G8" s="530" t="s">
        <v>831</v>
      </c>
    </row>
    <row r="9" spans="1:7" ht="52" customHeight="1" x14ac:dyDescent="0.25">
      <c r="A9" s="808" t="s">
        <v>832</v>
      </c>
      <c r="B9" s="521" t="s">
        <v>833</v>
      </c>
      <c r="C9" s="521" t="s">
        <v>834</v>
      </c>
      <c r="D9" s="522" t="s">
        <v>835</v>
      </c>
      <c r="E9" s="521" t="s">
        <v>836</v>
      </c>
      <c r="F9" s="521" t="s">
        <v>837</v>
      </c>
      <c r="G9" s="533" t="s">
        <v>838</v>
      </c>
    </row>
    <row r="10" spans="1:7" ht="37.5" x14ac:dyDescent="0.25">
      <c r="A10" s="809"/>
      <c r="B10" s="521" t="s">
        <v>839</v>
      </c>
      <c r="C10" s="521" t="s">
        <v>840</v>
      </c>
      <c r="D10" s="522" t="s">
        <v>841</v>
      </c>
      <c r="E10" s="521" t="s">
        <v>836</v>
      </c>
      <c r="F10" s="521" t="s">
        <v>842</v>
      </c>
      <c r="G10" s="533" t="s">
        <v>843</v>
      </c>
    </row>
    <row r="11" spans="1:7" ht="35.15" customHeight="1" thickBot="1" x14ac:dyDescent="0.3">
      <c r="A11" s="810"/>
      <c r="B11" s="534" t="s">
        <v>844</v>
      </c>
      <c r="C11" s="534" t="s">
        <v>845</v>
      </c>
      <c r="D11" s="534" t="s">
        <v>846</v>
      </c>
      <c r="E11" s="534" t="s">
        <v>847</v>
      </c>
      <c r="F11" s="534" t="s">
        <v>848</v>
      </c>
      <c r="G11" s="535" t="s">
        <v>849</v>
      </c>
    </row>
    <row r="12" spans="1:7" ht="5.5" customHeight="1" thickBot="1" x14ac:dyDescent="0.35">
      <c r="A12" s="507"/>
      <c r="B12" s="509"/>
      <c r="C12" s="510"/>
      <c r="D12" s="511"/>
      <c r="E12" s="510"/>
      <c r="F12" s="510"/>
      <c r="G12" s="510"/>
    </row>
    <row r="13" spans="1:7" ht="25" customHeight="1" thickBot="1" x14ac:dyDescent="0.3">
      <c r="A13" s="523" t="s">
        <v>823</v>
      </c>
      <c r="B13" s="801" t="s">
        <v>850</v>
      </c>
      <c r="C13" s="801"/>
      <c r="D13" s="801"/>
      <c r="E13" s="801"/>
      <c r="F13" s="801"/>
      <c r="G13" s="802"/>
    </row>
    <row r="14" spans="1:7" ht="25" customHeight="1" x14ac:dyDescent="0.3">
      <c r="A14" s="527" t="s">
        <v>825</v>
      </c>
      <c r="B14" s="528" t="s">
        <v>826</v>
      </c>
      <c r="C14" s="529" t="s">
        <v>827</v>
      </c>
      <c r="D14" s="529" t="s">
        <v>828</v>
      </c>
      <c r="E14" s="529" t="s">
        <v>829</v>
      </c>
      <c r="F14" s="529" t="s">
        <v>830</v>
      </c>
      <c r="G14" s="530" t="s">
        <v>831</v>
      </c>
    </row>
    <row r="15" spans="1:7" ht="37.5" x14ac:dyDescent="0.25">
      <c r="A15" s="815" t="s">
        <v>851</v>
      </c>
      <c r="B15" s="531" t="s">
        <v>852</v>
      </c>
      <c r="C15" s="531" t="s">
        <v>853</v>
      </c>
      <c r="D15" s="532" t="s">
        <v>835</v>
      </c>
      <c r="E15" s="531" t="s">
        <v>854</v>
      </c>
      <c r="F15" s="531" t="s">
        <v>855</v>
      </c>
      <c r="G15" s="537" t="s">
        <v>856</v>
      </c>
    </row>
    <row r="16" spans="1:7" x14ac:dyDescent="0.25">
      <c r="A16" s="816"/>
      <c r="B16" s="531" t="s">
        <v>857</v>
      </c>
      <c r="C16" s="531" t="s">
        <v>858</v>
      </c>
      <c r="D16" s="532" t="s">
        <v>841</v>
      </c>
      <c r="E16" s="531" t="s">
        <v>854</v>
      </c>
      <c r="F16" s="521" t="s">
        <v>842</v>
      </c>
      <c r="G16" s="537" t="s">
        <v>859</v>
      </c>
    </row>
    <row r="17" spans="1:7" ht="8.5" customHeight="1" x14ac:dyDescent="0.3">
      <c r="A17" s="519"/>
      <c r="B17" s="509"/>
      <c r="C17" s="509"/>
      <c r="D17" s="536"/>
      <c r="E17" s="509"/>
      <c r="F17" s="509"/>
      <c r="G17" s="509"/>
    </row>
    <row r="18" spans="1:7" ht="25" customHeight="1" thickBot="1" x14ac:dyDescent="0.3"/>
    <row r="19" spans="1:7" ht="25" customHeight="1" thickBot="1" x14ac:dyDescent="0.3">
      <c r="A19" s="524" t="s">
        <v>860</v>
      </c>
      <c r="B19" s="817" t="s">
        <v>861</v>
      </c>
      <c r="C19" s="817"/>
      <c r="D19" s="817"/>
      <c r="E19" s="817"/>
      <c r="F19" s="817"/>
      <c r="G19" s="818"/>
    </row>
    <row r="20" spans="1:7" ht="11.5" customHeight="1" thickBot="1" x14ac:dyDescent="0.3">
      <c r="A20" s="819"/>
      <c r="B20" s="819"/>
      <c r="C20" s="586"/>
      <c r="D20" s="586"/>
      <c r="E20" s="586"/>
      <c r="F20" s="586"/>
      <c r="G20" s="541"/>
    </row>
    <row r="21" spans="1:7" ht="25" customHeight="1" thickBot="1" x14ac:dyDescent="0.3">
      <c r="A21" s="542" t="s">
        <v>823</v>
      </c>
      <c r="B21" s="820" t="s">
        <v>862</v>
      </c>
      <c r="C21" s="820"/>
      <c r="D21" s="820"/>
      <c r="E21" s="820"/>
      <c r="F21" s="820"/>
      <c r="G21" s="821"/>
    </row>
    <row r="22" spans="1:7" ht="25" customHeight="1" thickBot="1" x14ac:dyDescent="0.35">
      <c r="A22" s="543" t="s">
        <v>825</v>
      </c>
      <c r="B22" s="544" t="s">
        <v>826</v>
      </c>
      <c r="C22" s="544" t="s">
        <v>827</v>
      </c>
      <c r="D22" s="544" t="s">
        <v>828</v>
      </c>
      <c r="E22" s="544" t="s">
        <v>829</v>
      </c>
      <c r="F22" s="544" t="s">
        <v>830</v>
      </c>
      <c r="G22" s="545" t="s">
        <v>1029</v>
      </c>
    </row>
    <row r="23" spans="1:7" ht="62.5" x14ac:dyDescent="0.25">
      <c r="A23" s="811" t="s">
        <v>863</v>
      </c>
      <c r="B23" s="547" t="s">
        <v>864</v>
      </c>
      <c r="C23" s="547" t="s">
        <v>865</v>
      </c>
      <c r="D23" s="548" t="s">
        <v>866</v>
      </c>
      <c r="E23" s="547" t="s">
        <v>867</v>
      </c>
      <c r="F23" s="547" t="s">
        <v>868</v>
      </c>
      <c r="G23" s="549" t="s">
        <v>869</v>
      </c>
    </row>
    <row r="24" spans="1:7" ht="93" customHeight="1" x14ac:dyDescent="0.25">
      <c r="A24" s="812"/>
      <c r="B24" s="521" t="s">
        <v>870</v>
      </c>
      <c r="C24" s="546" t="s">
        <v>871</v>
      </c>
      <c r="D24" s="546" t="s">
        <v>872</v>
      </c>
      <c r="E24" s="521" t="s">
        <v>873</v>
      </c>
      <c r="F24" s="521" t="s">
        <v>874</v>
      </c>
      <c r="G24" s="533" t="s">
        <v>875</v>
      </c>
    </row>
    <row r="25" spans="1:7" ht="50.5" thickBot="1" x14ac:dyDescent="0.3">
      <c r="A25" s="813"/>
      <c r="B25" s="534" t="s">
        <v>876</v>
      </c>
      <c r="C25" s="534" t="s">
        <v>877</v>
      </c>
      <c r="D25" s="539" t="s">
        <v>878</v>
      </c>
      <c r="E25" s="534" t="s">
        <v>867</v>
      </c>
      <c r="F25" s="534" t="s">
        <v>879</v>
      </c>
      <c r="G25" s="535" t="s">
        <v>880</v>
      </c>
    </row>
    <row r="26" spans="1:7" s="451" customFormat="1" ht="25" customHeight="1" thickBot="1" x14ac:dyDescent="0.3">
      <c r="A26" s="814"/>
      <c r="B26" s="814"/>
      <c r="C26" s="814"/>
      <c r="D26" s="814"/>
      <c r="E26" s="814"/>
      <c r="F26" s="814"/>
      <c r="G26" s="814"/>
    </row>
    <row r="27" spans="1:7" ht="25" customHeight="1" thickBot="1" x14ac:dyDescent="0.3">
      <c r="A27" s="525" t="s">
        <v>860</v>
      </c>
      <c r="B27" s="805" t="s">
        <v>881</v>
      </c>
      <c r="C27" s="805"/>
      <c r="D27" s="805"/>
      <c r="E27" s="805"/>
      <c r="F27" s="805"/>
      <c r="G27" s="806"/>
    </row>
    <row r="28" spans="1:7" ht="12.65" customHeight="1" thickBot="1" x14ac:dyDescent="0.3">
      <c r="A28" s="807"/>
      <c r="B28" s="807"/>
      <c r="C28" s="517"/>
      <c r="D28" s="517"/>
      <c r="E28" s="517"/>
      <c r="F28" s="517"/>
      <c r="G28" s="518"/>
    </row>
    <row r="29" spans="1:7" ht="25" customHeight="1" thickBot="1" x14ac:dyDescent="0.3">
      <c r="A29" s="523" t="s">
        <v>823</v>
      </c>
      <c r="B29" s="801" t="s">
        <v>882</v>
      </c>
      <c r="C29" s="801"/>
      <c r="D29" s="801"/>
      <c r="E29" s="801"/>
      <c r="F29" s="801"/>
      <c r="G29" s="802"/>
    </row>
    <row r="30" spans="1:7" ht="25" customHeight="1" x14ac:dyDescent="0.3">
      <c r="A30" s="527" t="s">
        <v>825</v>
      </c>
      <c r="B30" s="528" t="s">
        <v>826</v>
      </c>
      <c r="C30" s="529" t="s">
        <v>827</v>
      </c>
      <c r="D30" s="529" t="s">
        <v>828</v>
      </c>
      <c r="E30" s="529" t="s">
        <v>829</v>
      </c>
      <c r="F30" s="529" t="s">
        <v>830</v>
      </c>
      <c r="G30" s="530" t="s">
        <v>1029</v>
      </c>
    </row>
    <row r="31" spans="1:7" ht="37.5" x14ac:dyDescent="0.25">
      <c r="A31" s="808" t="s">
        <v>883</v>
      </c>
      <c r="B31" s="531" t="s">
        <v>884</v>
      </c>
      <c r="C31" s="531" t="s">
        <v>797</v>
      </c>
      <c r="D31" s="532" t="s">
        <v>835</v>
      </c>
      <c r="E31" s="531" t="s">
        <v>836</v>
      </c>
      <c r="F31" s="521" t="s">
        <v>874</v>
      </c>
      <c r="G31" s="537" t="s">
        <v>885</v>
      </c>
    </row>
    <row r="32" spans="1:7" ht="38" thickBot="1" x14ac:dyDescent="0.3">
      <c r="A32" s="810"/>
      <c r="B32" s="538" t="s">
        <v>886</v>
      </c>
      <c r="C32" s="538" t="s">
        <v>887</v>
      </c>
      <c r="D32" s="539" t="s">
        <v>888</v>
      </c>
      <c r="E32" s="550" t="s">
        <v>889</v>
      </c>
      <c r="F32" s="534" t="s">
        <v>879</v>
      </c>
      <c r="G32" s="540" t="s">
        <v>890</v>
      </c>
    </row>
    <row r="33" spans="1:7" ht="25" customHeight="1" thickBot="1" x14ac:dyDescent="0.35">
      <c r="A33" s="507"/>
      <c r="B33" s="509"/>
      <c r="C33" s="510"/>
      <c r="D33" s="511"/>
      <c r="E33" s="510"/>
      <c r="F33" s="510"/>
      <c r="G33" s="510"/>
    </row>
    <row r="34" spans="1:7" ht="25" customHeight="1" thickBot="1" x14ac:dyDescent="0.3">
      <c r="A34" s="523" t="s">
        <v>823</v>
      </c>
      <c r="B34" s="801" t="s">
        <v>891</v>
      </c>
      <c r="C34" s="801"/>
      <c r="D34" s="801"/>
      <c r="E34" s="801"/>
      <c r="F34" s="801"/>
      <c r="G34" s="802"/>
    </row>
    <row r="35" spans="1:7" ht="25" customHeight="1" x14ac:dyDescent="0.3">
      <c r="A35" s="527" t="s">
        <v>825</v>
      </c>
      <c r="B35" s="501" t="s">
        <v>826</v>
      </c>
      <c r="C35" s="502" t="s">
        <v>827</v>
      </c>
      <c r="D35" s="502" t="s">
        <v>828</v>
      </c>
      <c r="E35" s="502" t="s">
        <v>829</v>
      </c>
      <c r="F35" s="502" t="s">
        <v>830</v>
      </c>
      <c r="G35" s="512" t="s">
        <v>1029</v>
      </c>
    </row>
    <row r="36" spans="1:7" ht="38" thickBot="1" x14ac:dyDescent="0.3">
      <c r="A36" s="551" t="s">
        <v>892</v>
      </c>
      <c r="B36" s="538" t="s">
        <v>893</v>
      </c>
      <c r="C36" s="538" t="s">
        <v>865</v>
      </c>
      <c r="D36" s="539" t="s">
        <v>894</v>
      </c>
      <c r="E36" s="538" t="s">
        <v>895</v>
      </c>
      <c r="F36" s="538" t="s">
        <v>868</v>
      </c>
      <c r="G36" s="540" t="s">
        <v>896</v>
      </c>
    </row>
    <row r="37" spans="1:7" ht="25" customHeight="1" thickBot="1" x14ac:dyDescent="0.35">
      <c r="A37" s="519"/>
      <c r="B37" s="509"/>
      <c r="C37" s="509"/>
      <c r="D37" s="536"/>
      <c r="E37" s="509"/>
      <c r="F37" s="509"/>
      <c r="G37" s="509"/>
    </row>
    <row r="38" spans="1:7" ht="25" customHeight="1" thickBot="1" x14ac:dyDescent="0.3">
      <c r="A38" s="523" t="s">
        <v>823</v>
      </c>
      <c r="B38" s="822" t="s">
        <v>897</v>
      </c>
      <c r="C38" s="822"/>
      <c r="D38" s="822"/>
      <c r="E38" s="822"/>
      <c r="F38" s="822"/>
      <c r="G38" s="823"/>
    </row>
    <row r="39" spans="1:7" ht="25" customHeight="1" x14ac:dyDescent="0.3">
      <c r="A39" s="527" t="s">
        <v>825</v>
      </c>
      <c r="B39" s="501" t="s">
        <v>826</v>
      </c>
      <c r="C39" s="502" t="s">
        <v>827</v>
      </c>
      <c r="D39" s="502" t="s">
        <v>828</v>
      </c>
      <c r="E39" s="502" t="s">
        <v>829</v>
      </c>
      <c r="F39" s="502" t="s">
        <v>830</v>
      </c>
      <c r="G39" s="512" t="s">
        <v>1029</v>
      </c>
    </row>
    <row r="40" spans="1:7" x14ac:dyDescent="0.25">
      <c r="A40" s="531" t="s">
        <v>898</v>
      </c>
      <c r="B40" s="531" t="s">
        <v>899</v>
      </c>
      <c r="C40" s="531" t="s">
        <v>865</v>
      </c>
      <c r="D40" s="552">
        <v>44075</v>
      </c>
      <c r="E40" s="531" t="s">
        <v>858</v>
      </c>
      <c r="F40" s="531" t="s">
        <v>900</v>
      </c>
      <c r="G40" s="531" t="s">
        <v>901</v>
      </c>
    </row>
  </sheetData>
  <mergeCells count="18">
    <mergeCell ref="A31:A32"/>
    <mergeCell ref="B38:G38"/>
    <mergeCell ref="B27:G27"/>
    <mergeCell ref="A28:B28"/>
    <mergeCell ref="B29:G29"/>
    <mergeCell ref="B34:G34"/>
    <mergeCell ref="A23:A25"/>
    <mergeCell ref="A26:G26"/>
    <mergeCell ref="A15:A16"/>
    <mergeCell ref="B19:G19"/>
    <mergeCell ref="A20:B20"/>
    <mergeCell ref="B21:G21"/>
    <mergeCell ref="B13:G13"/>
    <mergeCell ref="A1:G1"/>
    <mergeCell ref="B5:G5"/>
    <mergeCell ref="A6:B6"/>
    <mergeCell ref="B7:G7"/>
    <mergeCell ref="A9:A11"/>
  </mergeCells>
  <pageMargins left="0.75" right="0.75" top="1" bottom="1" header="0.5" footer="0.5"/>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3"/>
  <sheetViews>
    <sheetView topLeftCell="A52" zoomScale="70" zoomScaleNormal="70" workbookViewId="0">
      <selection activeCell="E11" sqref="E11"/>
    </sheetView>
  </sheetViews>
  <sheetFormatPr defaultColWidth="8.81640625" defaultRowHeight="25" customHeight="1" x14ac:dyDescent="0.25"/>
  <cols>
    <col min="1" max="2" width="43.453125" style="443" customWidth="1"/>
    <col min="3" max="3" width="46.453125" style="443" customWidth="1"/>
    <col min="4" max="4" width="17.54296875" style="443" customWidth="1"/>
    <col min="5" max="5" width="20.54296875" style="443" customWidth="1"/>
    <col min="6" max="6" width="23.81640625" style="443" customWidth="1"/>
    <col min="7" max="7" width="24.54296875" style="443" customWidth="1"/>
    <col min="8" max="16384" width="8.81640625" style="443"/>
  </cols>
  <sheetData>
    <row r="1" spans="1:7" ht="25" customHeight="1" x14ac:dyDescent="0.25">
      <c r="A1" s="803" t="s">
        <v>818</v>
      </c>
      <c r="B1" s="804"/>
      <c r="C1" s="804"/>
      <c r="D1" s="804"/>
      <c r="E1" s="804"/>
      <c r="F1" s="804"/>
      <c r="G1" s="804"/>
    </row>
    <row r="2" spans="1:7" ht="25" customHeight="1" x14ac:dyDescent="0.3">
      <c r="A2" s="497" t="s">
        <v>819</v>
      </c>
      <c r="B2" s="470"/>
      <c r="C2" s="471"/>
      <c r="D2" s="526"/>
      <c r="E2" s="526"/>
      <c r="F2" s="526"/>
      <c r="G2" s="526"/>
    </row>
    <row r="3" spans="1:7" ht="25" customHeight="1" x14ac:dyDescent="0.3">
      <c r="A3" s="497" t="s">
        <v>313</v>
      </c>
      <c r="B3" s="504"/>
      <c r="C3" s="471"/>
      <c r="D3" s="503"/>
      <c r="E3" s="503"/>
      <c r="F3" s="503"/>
      <c r="G3" s="503"/>
    </row>
    <row r="4" spans="1:7" ht="25" customHeight="1" thickBot="1" x14ac:dyDescent="0.3">
      <c r="A4" s="497"/>
      <c r="B4" s="444"/>
      <c r="C4" s="445"/>
      <c r="D4" s="445"/>
      <c r="E4" s="445"/>
      <c r="F4" s="445"/>
      <c r="G4" s="445"/>
    </row>
    <row r="5" spans="1:7" ht="25" customHeight="1" thickBot="1" x14ac:dyDescent="0.3">
      <c r="A5" s="525" t="s">
        <v>821</v>
      </c>
      <c r="B5" s="805" t="s">
        <v>902</v>
      </c>
      <c r="C5" s="805"/>
      <c r="D5" s="805"/>
      <c r="E5" s="805"/>
      <c r="F5" s="805"/>
      <c r="G5" s="806"/>
    </row>
    <row r="6" spans="1:7" s="472" customFormat="1" ht="8.15" customHeight="1" thickBot="1" x14ac:dyDescent="0.3">
      <c r="A6" s="807"/>
      <c r="B6" s="807"/>
      <c r="C6" s="517"/>
      <c r="D6" s="517"/>
      <c r="E6" s="517"/>
      <c r="F6" s="517"/>
      <c r="G6" s="518"/>
    </row>
    <row r="7" spans="1:7" ht="25" customHeight="1" thickBot="1" x14ac:dyDescent="0.3">
      <c r="A7" s="523" t="s">
        <v>823</v>
      </c>
      <c r="B7" s="822"/>
      <c r="C7" s="822"/>
      <c r="D7" s="822"/>
      <c r="E7" s="822"/>
      <c r="F7" s="822"/>
      <c r="G7" s="823"/>
    </row>
    <row r="8" spans="1:7" ht="25" customHeight="1" x14ac:dyDescent="0.3">
      <c r="A8" s="527" t="s">
        <v>825</v>
      </c>
      <c r="B8" s="501" t="s">
        <v>826</v>
      </c>
      <c r="C8" s="502" t="s">
        <v>827</v>
      </c>
      <c r="D8" s="502" t="s">
        <v>828</v>
      </c>
      <c r="E8" s="502" t="s">
        <v>829</v>
      </c>
      <c r="F8" s="502" t="s">
        <v>830</v>
      </c>
      <c r="G8" s="512" t="s">
        <v>1029</v>
      </c>
    </row>
    <row r="9" spans="1:7" ht="25" customHeight="1" x14ac:dyDescent="0.3">
      <c r="A9" s="815" t="s">
        <v>903</v>
      </c>
      <c r="B9" s="505" t="s">
        <v>904</v>
      </c>
      <c r="C9" s="505" t="s">
        <v>905</v>
      </c>
      <c r="D9" s="506" t="s">
        <v>906</v>
      </c>
      <c r="E9" s="505" t="s">
        <v>907</v>
      </c>
      <c r="F9" s="505" t="s">
        <v>908</v>
      </c>
      <c r="G9" s="513" t="s">
        <v>909</v>
      </c>
    </row>
    <row r="10" spans="1:7" ht="25" customHeight="1" x14ac:dyDescent="0.3">
      <c r="A10" s="816"/>
      <c r="B10" s="505" t="s">
        <v>910</v>
      </c>
      <c r="C10" s="505" t="s">
        <v>911</v>
      </c>
      <c r="D10" s="506" t="s">
        <v>912</v>
      </c>
      <c r="E10" s="505" t="s">
        <v>907</v>
      </c>
      <c r="F10" s="505" t="s">
        <v>913</v>
      </c>
      <c r="G10" s="513" t="s">
        <v>909</v>
      </c>
    </row>
    <row r="11" spans="1:7" ht="25" customHeight="1" thickBot="1" x14ac:dyDescent="0.35">
      <c r="A11" s="824"/>
      <c r="B11" s="514" t="s">
        <v>914</v>
      </c>
      <c r="C11" s="514" t="s">
        <v>915</v>
      </c>
      <c r="D11" s="515" t="s">
        <v>916</v>
      </c>
      <c r="E11" s="514" t="s">
        <v>907</v>
      </c>
      <c r="F11" s="514" t="s">
        <v>908</v>
      </c>
      <c r="G11" s="516" t="s">
        <v>909</v>
      </c>
    </row>
    <row r="12" spans="1:7" ht="5.5" customHeight="1" thickBot="1" x14ac:dyDescent="0.35">
      <c r="A12" s="507"/>
      <c r="B12" s="509"/>
      <c r="C12" s="510"/>
      <c r="D12" s="511"/>
      <c r="E12" s="510"/>
      <c r="F12" s="510"/>
      <c r="G12" s="510"/>
    </row>
    <row r="13" spans="1:7" ht="25" customHeight="1" thickBot="1" x14ac:dyDescent="0.3">
      <c r="A13" s="523" t="s">
        <v>823</v>
      </c>
      <c r="B13" s="822"/>
      <c r="C13" s="822"/>
      <c r="D13" s="822"/>
      <c r="E13" s="822"/>
      <c r="F13" s="822"/>
      <c r="G13" s="823"/>
    </row>
    <row r="14" spans="1:7" ht="25" customHeight="1" x14ac:dyDescent="0.3">
      <c r="A14" s="527" t="s">
        <v>825</v>
      </c>
      <c r="B14" s="501" t="s">
        <v>826</v>
      </c>
      <c r="C14" s="502" t="s">
        <v>827</v>
      </c>
      <c r="D14" s="502" t="s">
        <v>828</v>
      </c>
      <c r="E14" s="502" t="s">
        <v>829</v>
      </c>
      <c r="F14" s="502" t="s">
        <v>830</v>
      </c>
      <c r="G14" s="512" t="s">
        <v>1029</v>
      </c>
    </row>
    <row r="15" spans="1:7" ht="25" customHeight="1" x14ac:dyDescent="0.3">
      <c r="A15" s="815"/>
      <c r="B15" s="505"/>
      <c r="C15" s="505"/>
      <c r="D15" s="506"/>
      <c r="E15" s="505"/>
      <c r="F15" s="505"/>
      <c r="G15" s="513"/>
    </row>
    <row r="16" spans="1:7" ht="25" customHeight="1" x14ac:dyDescent="0.3">
      <c r="A16" s="816"/>
      <c r="B16" s="505"/>
      <c r="C16" s="505"/>
      <c r="D16" s="506"/>
      <c r="E16" s="505"/>
      <c r="F16" s="505"/>
      <c r="G16" s="513"/>
    </row>
    <row r="17" spans="1:7" ht="25" customHeight="1" thickBot="1" x14ac:dyDescent="0.35">
      <c r="A17" s="824"/>
      <c r="B17" s="514"/>
      <c r="C17" s="514"/>
      <c r="D17" s="515"/>
      <c r="E17" s="514"/>
      <c r="F17" s="514"/>
      <c r="G17" s="516"/>
    </row>
    <row r="18" spans="1:7" ht="8.5" customHeight="1" thickBot="1" x14ac:dyDescent="0.35">
      <c r="A18" s="519"/>
      <c r="B18" s="508"/>
      <c r="C18" s="508"/>
      <c r="D18" s="520"/>
      <c r="E18" s="508"/>
      <c r="F18" s="508"/>
      <c r="G18" s="508"/>
    </row>
    <row r="19" spans="1:7" ht="25" customHeight="1" thickBot="1" x14ac:dyDescent="0.3">
      <c r="A19" s="523" t="s">
        <v>823</v>
      </c>
      <c r="B19" s="822"/>
      <c r="C19" s="822"/>
      <c r="D19" s="822"/>
      <c r="E19" s="822"/>
      <c r="F19" s="822"/>
      <c r="G19" s="823"/>
    </row>
    <row r="20" spans="1:7" ht="25" customHeight="1" x14ac:dyDescent="0.3">
      <c r="A20" s="527" t="s">
        <v>825</v>
      </c>
      <c r="B20" s="501" t="s">
        <v>826</v>
      </c>
      <c r="C20" s="502" t="s">
        <v>827</v>
      </c>
      <c r="D20" s="502" t="s">
        <v>828</v>
      </c>
      <c r="E20" s="502" t="s">
        <v>829</v>
      </c>
      <c r="F20" s="502" t="s">
        <v>830</v>
      </c>
      <c r="G20" s="512" t="s">
        <v>1029</v>
      </c>
    </row>
    <row r="21" spans="1:7" ht="25" customHeight="1" x14ac:dyDescent="0.3">
      <c r="A21" s="815"/>
      <c r="B21" s="505"/>
      <c r="C21" s="505"/>
      <c r="D21" s="506"/>
      <c r="E21" s="505"/>
      <c r="F21" s="505"/>
      <c r="G21" s="513"/>
    </row>
    <row r="22" spans="1:7" ht="25" customHeight="1" x14ac:dyDescent="0.3">
      <c r="A22" s="816"/>
      <c r="B22" s="505"/>
      <c r="C22" s="505"/>
      <c r="D22" s="506"/>
      <c r="E22" s="505"/>
      <c r="F22" s="505"/>
      <c r="G22" s="513"/>
    </row>
    <row r="23" spans="1:7" ht="25" customHeight="1" thickBot="1" x14ac:dyDescent="0.35">
      <c r="A23" s="824"/>
      <c r="B23" s="514"/>
      <c r="C23" s="514"/>
      <c r="D23" s="515"/>
      <c r="E23" s="514"/>
      <c r="F23" s="514"/>
      <c r="G23" s="516"/>
    </row>
    <row r="24" spans="1:7" ht="25" customHeight="1" thickBot="1" x14ac:dyDescent="0.3"/>
    <row r="25" spans="1:7" ht="25" customHeight="1" thickBot="1" x14ac:dyDescent="0.3">
      <c r="A25" s="524" t="s">
        <v>860</v>
      </c>
      <c r="B25" s="825"/>
      <c r="C25" s="825"/>
      <c r="D25" s="825"/>
      <c r="E25" s="825"/>
      <c r="F25" s="825"/>
      <c r="G25" s="826"/>
    </row>
    <row r="26" spans="1:7" ht="11.5" customHeight="1" thickBot="1" x14ac:dyDescent="0.3">
      <c r="A26" s="807"/>
      <c r="B26" s="807"/>
      <c r="C26" s="517"/>
      <c r="D26" s="517"/>
      <c r="E26" s="517"/>
      <c r="F26" s="517"/>
      <c r="G26" s="518"/>
    </row>
    <row r="27" spans="1:7" ht="25" customHeight="1" thickBot="1" x14ac:dyDescent="0.3">
      <c r="A27" s="523" t="s">
        <v>823</v>
      </c>
      <c r="B27" s="822"/>
      <c r="C27" s="822"/>
      <c r="D27" s="822"/>
      <c r="E27" s="822"/>
      <c r="F27" s="822"/>
      <c r="G27" s="823"/>
    </row>
    <row r="28" spans="1:7" ht="25" customHeight="1" x14ac:dyDescent="0.3">
      <c r="A28" s="527" t="s">
        <v>825</v>
      </c>
      <c r="B28" s="501" t="s">
        <v>826</v>
      </c>
      <c r="C28" s="502" t="s">
        <v>827</v>
      </c>
      <c r="D28" s="502" t="s">
        <v>828</v>
      </c>
      <c r="E28" s="502" t="s">
        <v>829</v>
      </c>
      <c r="F28" s="502" t="s">
        <v>830</v>
      </c>
      <c r="G28" s="512" t="s">
        <v>1029</v>
      </c>
    </row>
    <row r="29" spans="1:7" ht="25" customHeight="1" x14ac:dyDescent="0.3">
      <c r="A29" s="815"/>
      <c r="B29" s="505"/>
      <c r="C29" s="505"/>
      <c r="D29" s="506"/>
      <c r="E29" s="505"/>
      <c r="F29" s="505"/>
      <c r="G29" s="513"/>
    </row>
    <row r="30" spans="1:7" ht="25" customHeight="1" x14ac:dyDescent="0.3">
      <c r="A30" s="816"/>
      <c r="B30" s="505"/>
      <c r="C30" s="505"/>
      <c r="D30" s="506"/>
      <c r="E30" s="505"/>
      <c r="F30" s="505"/>
      <c r="G30" s="513"/>
    </row>
    <row r="31" spans="1:7" ht="25" customHeight="1" thickBot="1" x14ac:dyDescent="0.35">
      <c r="A31" s="824"/>
      <c r="B31" s="514"/>
      <c r="C31" s="514"/>
      <c r="D31" s="515"/>
      <c r="E31" s="514"/>
      <c r="F31" s="514"/>
      <c r="G31" s="516"/>
    </row>
    <row r="32" spans="1:7" ht="25" customHeight="1" thickBot="1" x14ac:dyDescent="0.35">
      <c r="A32" s="507"/>
      <c r="B32" s="509"/>
      <c r="C32" s="510"/>
      <c r="D32" s="511"/>
      <c r="E32" s="510"/>
      <c r="F32" s="510"/>
      <c r="G32" s="510"/>
    </row>
    <row r="33" spans="1:7" ht="25" customHeight="1" thickBot="1" x14ac:dyDescent="0.3">
      <c r="A33" s="523" t="s">
        <v>823</v>
      </c>
      <c r="B33" s="822"/>
      <c r="C33" s="822"/>
      <c r="D33" s="822"/>
      <c r="E33" s="822"/>
      <c r="F33" s="822"/>
      <c r="G33" s="823"/>
    </row>
    <row r="34" spans="1:7" ht="25" customHeight="1" x14ac:dyDescent="0.3">
      <c r="A34" s="527" t="s">
        <v>825</v>
      </c>
      <c r="B34" s="501" t="s">
        <v>826</v>
      </c>
      <c r="C34" s="502" t="s">
        <v>827</v>
      </c>
      <c r="D34" s="502" t="s">
        <v>828</v>
      </c>
      <c r="E34" s="502" t="s">
        <v>829</v>
      </c>
      <c r="F34" s="502" t="s">
        <v>830</v>
      </c>
      <c r="G34" s="512" t="s">
        <v>1029</v>
      </c>
    </row>
    <row r="35" spans="1:7" ht="25" customHeight="1" x14ac:dyDescent="0.3">
      <c r="A35" s="815"/>
      <c r="B35" s="505"/>
      <c r="C35" s="505"/>
      <c r="D35" s="506"/>
      <c r="E35" s="505"/>
      <c r="F35" s="505"/>
      <c r="G35" s="513"/>
    </row>
    <row r="36" spans="1:7" ht="25" customHeight="1" x14ac:dyDescent="0.3">
      <c r="A36" s="816"/>
      <c r="B36" s="505"/>
      <c r="C36" s="505"/>
      <c r="D36" s="506"/>
      <c r="E36" s="505"/>
      <c r="F36" s="505"/>
      <c r="G36" s="513"/>
    </row>
    <row r="37" spans="1:7" ht="25" customHeight="1" thickBot="1" x14ac:dyDescent="0.35">
      <c r="A37" s="824"/>
      <c r="B37" s="514"/>
      <c r="C37" s="514"/>
      <c r="D37" s="515"/>
      <c r="E37" s="514"/>
      <c r="F37" s="514"/>
      <c r="G37" s="516"/>
    </row>
    <row r="38" spans="1:7" ht="25" customHeight="1" thickBot="1" x14ac:dyDescent="0.35">
      <c r="A38" s="519"/>
      <c r="B38" s="508"/>
      <c r="C38" s="508"/>
      <c r="D38" s="520"/>
      <c r="E38" s="508"/>
      <c r="F38" s="508"/>
      <c r="G38" s="508"/>
    </row>
    <row r="39" spans="1:7" ht="25" customHeight="1" thickBot="1" x14ac:dyDescent="0.3">
      <c r="A39" s="523" t="s">
        <v>823</v>
      </c>
      <c r="B39" s="822"/>
      <c r="C39" s="822"/>
      <c r="D39" s="822"/>
      <c r="E39" s="822"/>
      <c r="F39" s="822"/>
      <c r="G39" s="823"/>
    </row>
    <row r="40" spans="1:7" ht="25" customHeight="1" x14ac:dyDescent="0.3">
      <c r="A40" s="527" t="s">
        <v>825</v>
      </c>
      <c r="B40" s="501" t="s">
        <v>826</v>
      </c>
      <c r="C40" s="502" t="s">
        <v>827</v>
      </c>
      <c r="D40" s="502" t="s">
        <v>828</v>
      </c>
      <c r="E40" s="502" t="s">
        <v>829</v>
      </c>
      <c r="F40" s="502" t="s">
        <v>830</v>
      </c>
      <c r="G40" s="512" t="s">
        <v>1029</v>
      </c>
    </row>
    <row r="41" spans="1:7" ht="25" customHeight="1" x14ac:dyDescent="0.3">
      <c r="A41" s="815"/>
      <c r="B41" s="505"/>
      <c r="C41" s="505"/>
      <c r="D41" s="506"/>
      <c r="E41" s="505"/>
      <c r="F41" s="505"/>
      <c r="G41" s="513"/>
    </row>
    <row r="42" spans="1:7" ht="25" customHeight="1" x14ac:dyDescent="0.3">
      <c r="A42" s="816"/>
      <c r="B42" s="505"/>
      <c r="C42" s="505"/>
      <c r="D42" s="506"/>
      <c r="E42" s="505"/>
      <c r="F42" s="505"/>
      <c r="G42" s="513"/>
    </row>
    <row r="43" spans="1:7" ht="25" customHeight="1" thickBot="1" x14ac:dyDescent="0.35">
      <c r="A43" s="824"/>
      <c r="B43" s="514"/>
      <c r="C43" s="514"/>
      <c r="D43" s="515"/>
      <c r="E43" s="514"/>
      <c r="F43" s="514"/>
      <c r="G43" s="516"/>
    </row>
    <row r="44" spans="1:7" s="451" customFormat="1" ht="25" customHeight="1" thickBot="1" x14ac:dyDescent="0.3">
      <c r="A44" s="814"/>
      <c r="B44" s="814"/>
      <c r="C44" s="814"/>
      <c r="D44" s="814"/>
      <c r="E44" s="814"/>
      <c r="F44" s="814"/>
      <c r="G44" s="814"/>
    </row>
    <row r="45" spans="1:7" ht="25" customHeight="1" thickBot="1" x14ac:dyDescent="0.3">
      <c r="A45" s="524" t="s">
        <v>860</v>
      </c>
      <c r="B45" s="825"/>
      <c r="C45" s="825"/>
      <c r="D45" s="825"/>
      <c r="E45" s="825"/>
      <c r="F45" s="825"/>
      <c r="G45" s="826"/>
    </row>
    <row r="46" spans="1:7" ht="12.65" customHeight="1" thickBot="1" x14ac:dyDescent="0.3">
      <c r="A46" s="807"/>
      <c r="B46" s="807"/>
      <c r="C46" s="517"/>
      <c r="D46" s="517"/>
      <c r="E46" s="517"/>
      <c r="F46" s="517"/>
      <c r="G46" s="518"/>
    </row>
    <row r="47" spans="1:7" ht="25" customHeight="1" thickBot="1" x14ac:dyDescent="0.3">
      <c r="A47" s="523" t="s">
        <v>823</v>
      </c>
      <c r="B47" s="822"/>
      <c r="C47" s="822"/>
      <c r="D47" s="822"/>
      <c r="E47" s="822"/>
      <c r="F47" s="822"/>
      <c r="G47" s="823"/>
    </row>
    <row r="48" spans="1:7" ht="25" customHeight="1" x14ac:dyDescent="0.3">
      <c r="A48" s="527" t="s">
        <v>825</v>
      </c>
      <c r="B48" s="501" t="s">
        <v>826</v>
      </c>
      <c r="C48" s="502" t="s">
        <v>827</v>
      </c>
      <c r="D48" s="502" t="s">
        <v>828</v>
      </c>
      <c r="E48" s="502" t="s">
        <v>829</v>
      </c>
      <c r="F48" s="502" t="s">
        <v>830</v>
      </c>
      <c r="G48" s="512" t="s">
        <v>1029</v>
      </c>
    </row>
    <row r="49" spans="1:7" ht="25" customHeight="1" x14ac:dyDescent="0.3">
      <c r="A49" s="815"/>
      <c r="B49" s="505"/>
      <c r="C49" s="505"/>
      <c r="D49" s="506"/>
      <c r="E49" s="505"/>
      <c r="F49" s="505"/>
      <c r="G49" s="513"/>
    </row>
    <row r="50" spans="1:7" ht="25" customHeight="1" x14ac:dyDescent="0.3">
      <c r="A50" s="816"/>
      <c r="B50" s="505"/>
      <c r="C50" s="505"/>
      <c r="D50" s="506"/>
      <c r="E50" s="505"/>
      <c r="F50" s="505"/>
      <c r="G50" s="513"/>
    </row>
    <row r="51" spans="1:7" ht="25" customHeight="1" thickBot="1" x14ac:dyDescent="0.35">
      <c r="A51" s="824"/>
      <c r="B51" s="514"/>
      <c r="C51" s="514"/>
      <c r="D51" s="515"/>
      <c r="E51" s="514"/>
      <c r="F51" s="514"/>
      <c r="G51" s="516"/>
    </row>
    <row r="52" spans="1:7" ht="25" customHeight="1" thickBot="1" x14ac:dyDescent="0.35">
      <c r="A52" s="507"/>
      <c r="B52" s="509"/>
      <c r="C52" s="510"/>
      <c r="D52" s="511"/>
      <c r="E52" s="510"/>
      <c r="F52" s="510"/>
      <c r="G52" s="510"/>
    </row>
    <row r="53" spans="1:7" ht="25" customHeight="1" thickBot="1" x14ac:dyDescent="0.3">
      <c r="A53" s="523" t="s">
        <v>823</v>
      </c>
      <c r="B53" s="822"/>
      <c r="C53" s="822"/>
      <c r="D53" s="822"/>
      <c r="E53" s="822"/>
      <c r="F53" s="822"/>
      <c r="G53" s="823"/>
    </row>
    <row r="54" spans="1:7" ht="25" customHeight="1" x14ac:dyDescent="0.3">
      <c r="A54" s="527" t="s">
        <v>825</v>
      </c>
      <c r="B54" s="501" t="s">
        <v>826</v>
      </c>
      <c r="C54" s="502" t="s">
        <v>827</v>
      </c>
      <c r="D54" s="502" t="s">
        <v>828</v>
      </c>
      <c r="E54" s="502" t="s">
        <v>829</v>
      </c>
      <c r="F54" s="502" t="s">
        <v>830</v>
      </c>
      <c r="G54" s="512" t="s">
        <v>1029</v>
      </c>
    </row>
    <row r="55" spans="1:7" ht="25" customHeight="1" x14ac:dyDescent="0.3">
      <c r="A55" s="815"/>
      <c r="B55" s="505"/>
      <c r="C55" s="505"/>
      <c r="D55" s="506"/>
      <c r="E55" s="505"/>
      <c r="F55" s="505"/>
      <c r="G55" s="513"/>
    </row>
    <row r="56" spans="1:7" ht="25" customHeight="1" x14ac:dyDescent="0.3">
      <c r="A56" s="816"/>
      <c r="B56" s="505"/>
      <c r="C56" s="505"/>
      <c r="D56" s="506"/>
      <c r="E56" s="505"/>
      <c r="F56" s="505"/>
      <c r="G56" s="513"/>
    </row>
    <row r="57" spans="1:7" ht="25" customHeight="1" thickBot="1" x14ac:dyDescent="0.35">
      <c r="A57" s="824"/>
      <c r="B57" s="514"/>
      <c r="C57" s="514"/>
      <c r="D57" s="515"/>
      <c r="E57" s="514"/>
      <c r="F57" s="514"/>
      <c r="G57" s="516"/>
    </row>
    <row r="58" spans="1:7" ht="25" customHeight="1" thickBot="1" x14ac:dyDescent="0.35">
      <c r="A58" s="519"/>
      <c r="B58" s="508"/>
      <c r="C58" s="508"/>
      <c r="D58" s="520"/>
      <c r="E58" s="508"/>
      <c r="F58" s="508"/>
      <c r="G58" s="508"/>
    </row>
    <row r="59" spans="1:7" ht="25" customHeight="1" thickBot="1" x14ac:dyDescent="0.3">
      <c r="A59" s="523" t="s">
        <v>823</v>
      </c>
      <c r="B59" s="822"/>
      <c r="C59" s="822"/>
      <c r="D59" s="822"/>
      <c r="E59" s="822"/>
      <c r="F59" s="822"/>
      <c r="G59" s="823"/>
    </row>
    <row r="60" spans="1:7" ht="25" customHeight="1" x14ac:dyDescent="0.3">
      <c r="A60" s="527" t="s">
        <v>825</v>
      </c>
      <c r="B60" s="501" t="s">
        <v>826</v>
      </c>
      <c r="C60" s="502" t="s">
        <v>827</v>
      </c>
      <c r="D60" s="502" t="s">
        <v>828</v>
      </c>
      <c r="E60" s="502" t="s">
        <v>829</v>
      </c>
      <c r="F60" s="502" t="s">
        <v>830</v>
      </c>
      <c r="G60" s="512" t="s">
        <v>1029</v>
      </c>
    </row>
    <row r="61" spans="1:7" ht="25" customHeight="1" x14ac:dyDescent="0.3">
      <c r="A61" s="815"/>
      <c r="B61" s="505"/>
      <c r="C61" s="505"/>
      <c r="D61" s="506"/>
      <c r="E61" s="505"/>
      <c r="F61" s="505"/>
      <c r="G61" s="513"/>
    </row>
    <row r="62" spans="1:7" ht="25" customHeight="1" x14ac:dyDescent="0.3">
      <c r="A62" s="816"/>
      <c r="B62" s="505"/>
      <c r="C62" s="505"/>
      <c r="D62" s="506"/>
      <c r="E62" s="505"/>
      <c r="F62" s="505"/>
      <c r="G62" s="513"/>
    </row>
    <row r="63" spans="1:7" ht="25" customHeight="1" thickBot="1" x14ac:dyDescent="0.35">
      <c r="A63" s="824"/>
      <c r="B63" s="514"/>
      <c r="C63" s="514"/>
      <c r="D63" s="515"/>
      <c r="E63" s="514"/>
      <c r="F63" s="514"/>
      <c r="G63" s="516"/>
    </row>
    <row r="64" spans="1:7" ht="25" customHeight="1" thickBot="1" x14ac:dyDescent="0.3"/>
    <row r="65" spans="1:7" ht="25" customHeight="1" thickBot="1" x14ac:dyDescent="0.3">
      <c r="A65" s="524" t="s">
        <v>860</v>
      </c>
      <c r="B65" s="825"/>
      <c r="C65" s="825"/>
      <c r="D65" s="825"/>
      <c r="E65" s="825"/>
      <c r="F65" s="825"/>
      <c r="G65" s="826"/>
    </row>
    <row r="66" spans="1:7" ht="8.15" customHeight="1" thickBot="1" x14ac:dyDescent="0.3">
      <c r="A66" s="807"/>
      <c r="B66" s="807"/>
      <c r="C66" s="517"/>
      <c r="D66" s="517"/>
      <c r="E66" s="517"/>
      <c r="F66" s="517"/>
      <c r="G66" s="518"/>
    </row>
    <row r="67" spans="1:7" ht="25" customHeight="1" thickBot="1" x14ac:dyDescent="0.3">
      <c r="A67" s="523" t="s">
        <v>823</v>
      </c>
      <c r="B67" s="822"/>
      <c r="C67" s="822"/>
      <c r="D67" s="822"/>
      <c r="E67" s="822"/>
      <c r="F67" s="822"/>
      <c r="G67" s="823"/>
    </row>
    <row r="68" spans="1:7" ht="25" customHeight="1" x14ac:dyDescent="0.3">
      <c r="A68" s="527" t="s">
        <v>825</v>
      </c>
      <c r="B68" s="501" t="s">
        <v>826</v>
      </c>
      <c r="C68" s="502" t="s">
        <v>827</v>
      </c>
      <c r="D68" s="502" t="s">
        <v>828</v>
      </c>
      <c r="E68" s="502" t="s">
        <v>829</v>
      </c>
      <c r="F68" s="502" t="s">
        <v>830</v>
      </c>
      <c r="G68" s="512" t="s">
        <v>1029</v>
      </c>
    </row>
    <row r="69" spans="1:7" ht="25" customHeight="1" x14ac:dyDescent="0.3">
      <c r="A69" s="815"/>
      <c r="B69" s="505"/>
      <c r="C69" s="505"/>
      <c r="D69" s="506"/>
      <c r="E69" s="505"/>
      <c r="F69" s="505"/>
      <c r="G69" s="513"/>
    </row>
    <row r="70" spans="1:7" ht="25" customHeight="1" x14ac:dyDescent="0.3">
      <c r="A70" s="816"/>
      <c r="B70" s="505"/>
      <c r="C70" s="505"/>
      <c r="D70" s="506"/>
      <c r="E70" s="505"/>
      <c r="F70" s="505"/>
      <c r="G70" s="513"/>
    </row>
    <row r="71" spans="1:7" ht="25" customHeight="1" thickBot="1" x14ac:dyDescent="0.35">
      <c r="A71" s="824"/>
      <c r="B71" s="514"/>
      <c r="C71" s="514"/>
      <c r="D71" s="515"/>
      <c r="E71" s="514"/>
      <c r="F71" s="514"/>
      <c r="G71" s="516"/>
    </row>
    <row r="72" spans="1:7" ht="25" customHeight="1" thickBot="1" x14ac:dyDescent="0.35">
      <c r="A72" s="507"/>
      <c r="B72" s="509"/>
      <c r="C72" s="510"/>
      <c r="D72" s="511"/>
      <c r="E72" s="510"/>
      <c r="F72" s="510"/>
      <c r="G72" s="510"/>
    </row>
    <row r="73" spans="1:7" ht="25" customHeight="1" thickBot="1" x14ac:dyDescent="0.3">
      <c r="A73" s="523" t="s">
        <v>823</v>
      </c>
      <c r="B73" s="822"/>
      <c r="C73" s="822"/>
      <c r="D73" s="822"/>
      <c r="E73" s="822"/>
      <c r="F73" s="822"/>
      <c r="G73" s="823"/>
    </row>
    <row r="74" spans="1:7" ht="25" customHeight="1" x14ac:dyDescent="0.3">
      <c r="A74" s="527" t="s">
        <v>825</v>
      </c>
      <c r="B74" s="501" t="s">
        <v>826</v>
      </c>
      <c r="C74" s="502" t="s">
        <v>827</v>
      </c>
      <c r="D74" s="502" t="s">
        <v>828</v>
      </c>
      <c r="E74" s="502" t="s">
        <v>829</v>
      </c>
      <c r="F74" s="502" t="s">
        <v>830</v>
      </c>
      <c r="G74" s="512" t="s">
        <v>1029</v>
      </c>
    </row>
    <row r="75" spans="1:7" ht="25" customHeight="1" x14ac:dyDescent="0.3">
      <c r="A75" s="815"/>
      <c r="B75" s="505"/>
      <c r="C75" s="505"/>
      <c r="D75" s="506"/>
      <c r="E75" s="505"/>
      <c r="F75" s="505"/>
      <c r="G75" s="513"/>
    </row>
    <row r="76" spans="1:7" ht="25" customHeight="1" x14ac:dyDescent="0.3">
      <c r="A76" s="816"/>
      <c r="B76" s="505"/>
      <c r="C76" s="505"/>
      <c r="D76" s="506"/>
      <c r="E76" s="505"/>
      <c r="F76" s="505"/>
      <c r="G76" s="513"/>
    </row>
    <row r="77" spans="1:7" ht="25" customHeight="1" thickBot="1" x14ac:dyDescent="0.35">
      <c r="A77" s="824"/>
      <c r="B77" s="514"/>
      <c r="C77" s="514"/>
      <c r="D77" s="515"/>
      <c r="E77" s="514"/>
      <c r="F77" s="514"/>
      <c r="G77" s="516"/>
    </row>
    <row r="78" spans="1:7" ht="25" customHeight="1" thickBot="1" x14ac:dyDescent="0.35">
      <c r="A78" s="519"/>
      <c r="B78" s="508"/>
      <c r="C78" s="508"/>
      <c r="D78" s="520"/>
      <c r="E78" s="508"/>
      <c r="F78" s="508"/>
      <c r="G78" s="508"/>
    </row>
    <row r="79" spans="1:7" ht="25" customHeight="1" thickBot="1" x14ac:dyDescent="0.3">
      <c r="A79" s="523" t="s">
        <v>823</v>
      </c>
      <c r="B79" s="822"/>
      <c r="C79" s="822"/>
      <c r="D79" s="822"/>
      <c r="E79" s="822"/>
      <c r="F79" s="822"/>
      <c r="G79" s="823"/>
    </row>
    <row r="80" spans="1:7" ht="25" customHeight="1" x14ac:dyDescent="0.3">
      <c r="A80" s="527" t="s">
        <v>825</v>
      </c>
      <c r="B80" s="501" t="s">
        <v>826</v>
      </c>
      <c r="C80" s="502" t="s">
        <v>827</v>
      </c>
      <c r="D80" s="502" t="s">
        <v>828</v>
      </c>
      <c r="E80" s="502" t="s">
        <v>829</v>
      </c>
      <c r="F80" s="502" t="s">
        <v>830</v>
      </c>
      <c r="G80" s="512" t="s">
        <v>1029</v>
      </c>
    </row>
    <row r="81" spans="1:7" ht="25" customHeight="1" x14ac:dyDescent="0.3">
      <c r="A81" s="815"/>
      <c r="B81" s="505"/>
      <c r="C81" s="505"/>
      <c r="D81" s="506"/>
      <c r="E81" s="505"/>
      <c r="F81" s="505"/>
      <c r="G81" s="513"/>
    </row>
    <row r="82" spans="1:7" ht="25" customHeight="1" x14ac:dyDescent="0.3">
      <c r="A82" s="816"/>
      <c r="B82" s="505"/>
      <c r="C82" s="505"/>
      <c r="D82" s="506"/>
      <c r="E82" s="505"/>
      <c r="F82" s="505"/>
      <c r="G82" s="513"/>
    </row>
    <row r="83" spans="1:7" ht="25" customHeight="1" thickBot="1" x14ac:dyDescent="0.35">
      <c r="A83" s="824"/>
      <c r="B83" s="514"/>
      <c r="C83" s="514"/>
      <c r="D83" s="515"/>
      <c r="E83" s="514"/>
      <c r="F83" s="514"/>
      <c r="G83" s="516"/>
    </row>
  </sheetData>
  <customSheetViews>
    <customSheetView guid="{59B363CD-3DDC-B04B-9DA2-AD720BF8C467}">
      <selection activeCell="B49" sqref="A1:XFD1048576"/>
      <pageMargins left="0" right="0" top="0" bottom="0" header="0" footer="0"/>
    </customSheetView>
    <customSheetView guid="{C2C56F38-527D-46F3-8E7F-3C5092082195}">
      <selection activeCell="B49" sqref="A1:XFD1048576"/>
      <pageMargins left="0" right="0" top="0" bottom="0" header="0" footer="0"/>
    </customSheetView>
  </customSheetViews>
  <mergeCells count="34">
    <mergeCell ref="A81:A83"/>
    <mergeCell ref="B25:G25"/>
    <mergeCell ref="B65:G65"/>
    <mergeCell ref="B5:G5"/>
    <mergeCell ref="B67:G67"/>
    <mergeCell ref="A69:A71"/>
    <mergeCell ref="B73:G73"/>
    <mergeCell ref="A75:A77"/>
    <mergeCell ref="B79:G79"/>
    <mergeCell ref="A55:A57"/>
    <mergeCell ref="B59:G59"/>
    <mergeCell ref="A61:A63"/>
    <mergeCell ref="A66:B66"/>
    <mergeCell ref="B33:G33"/>
    <mergeCell ref="A35:A37"/>
    <mergeCell ref="B39:G39"/>
    <mergeCell ref="A1:G1"/>
    <mergeCell ref="A6:B6"/>
    <mergeCell ref="A26:B26"/>
    <mergeCell ref="B27:G27"/>
    <mergeCell ref="A29:A31"/>
    <mergeCell ref="B53:G53"/>
    <mergeCell ref="A21:A23"/>
    <mergeCell ref="B19:G19"/>
    <mergeCell ref="B7:G7"/>
    <mergeCell ref="B13:G13"/>
    <mergeCell ref="A9:A11"/>
    <mergeCell ref="A15:A17"/>
    <mergeCell ref="A41:A43"/>
    <mergeCell ref="A46:B46"/>
    <mergeCell ref="B47:G47"/>
    <mergeCell ref="A49:A51"/>
    <mergeCell ref="A44:G44"/>
    <mergeCell ref="B45:G45"/>
  </mergeCells>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75B2-CC52-470B-A3B4-B58E847A8D93}">
  <sheetPr>
    <pageSetUpPr fitToPage="1"/>
  </sheetPr>
  <dimension ref="A1:G23"/>
  <sheetViews>
    <sheetView topLeftCell="A18" workbookViewId="0">
      <selection activeCell="G22" sqref="G22"/>
    </sheetView>
  </sheetViews>
  <sheetFormatPr defaultColWidth="8.81640625" defaultRowHeight="36" customHeight="1" x14ac:dyDescent="0.25"/>
  <cols>
    <col min="1" max="2" width="43.453125" style="443" customWidth="1"/>
    <col min="3" max="3" width="41.1796875" style="443" customWidth="1"/>
    <col min="4" max="4" width="17.54296875" style="443" customWidth="1"/>
    <col min="5" max="5" width="20.54296875" style="443" customWidth="1"/>
    <col min="6" max="6" width="26.453125" style="443" customWidth="1"/>
    <col min="7" max="7" width="24.54296875" style="443" customWidth="1"/>
    <col min="8" max="16384" width="8.81640625" style="443"/>
  </cols>
  <sheetData>
    <row r="1" spans="1:7" ht="36" customHeight="1" x14ac:dyDescent="0.25">
      <c r="A1" s="827" t="s">
        <v>917</v>
      </c>
      <c r="B1" s="827"/>
      <c r="C1" s="827"/>
      <c r="D1" s="827"/>
      <c r="E1" s="827"/>
      <c r="F1" s="827"/>
      <c r="G1" s="827"/>
    </row>
    <row r="2" spans="1:7" ht="36" customHeight="1" x14ac:dyDescent="0.3">
      <c r="A2" s="500" t="s">
        <v>918</v>
      </c>
      <c r="B2" s="498" t="s">
        <v>313</v>
      </c>
      <c r="C2" s="499"/>
      <c r="D2" s="471" t="s">
        <v>919</v>
      </c>
      <c r="E2" s="496"/>
      <c r="F2" s="496"/>
      <c r="G2" s="496"/>
    </row>
    <row r="3" spans="1:7" ht="36" customHeight="1" thickBot="1" x14ac:dyDescent="0.3">
      <c r="B3" s="444"/>
      <c r="C3" s="445"/>
      <c r="D3" s="445"/>
      <c r="E3" s="445"/>
      <c r="F3" s="445"/>
      <c r="G3" s="445"/>
    </row>
    <row r="4" spans="1:7" ht="36" customHeight="1" x14ac:dyDescent="0.25">
      <c r="A4" s="831" t="s">
        <v>920</v>
      </c>
      <c r="B4" s="832"/>
      <c r="C4" s="832"/>
      <c r="D4" s="832"/>
      <c r="E4" s="832"/>
      <c r="F4" s="832"/>
      <c r="G4" s="833"/>
    </row>
    <row r="5" spans="1:7" ht="36" customHeight="1" thickBot="1" x14ac:dyDescent="0.3">
      <c r="A5" s="834" t="s">
        <v>921</v>
      </c>
      <c r="B5" s="835"/>
      <c r="C5" s="835"/>
      <c r="D5" s="835"/>
      <c r="E5" s="835"/>
      <c r="F5" s="835"/>
      <c r="G5" s="836"/>
    </row>
    <row r="6" spans="1:7" ht="10" customHeight="1" thickBot="1" x14ac:dyDescent="0.3">
      <c r="A6" s="828"/>
      <c r="B6" s="828"/>
      <c r="C6" s="828"/>
      <c r="D6" s="828"/>
      <c r="E6" s="828"/>
      <c r="F6" s="828"/>
      <c r="G6" s="828"/>
    </row>
    <row r="7" spans="1:7" ht="36" customHeight="1" x14ac:dyDescent="0.25">
      <c r="A7" s="839" t="s">
        <v>922</v>
      </c>
      <c r="B7" s="840"/>
      <c r="C7" s="840"/>
      <c r="D7" s="840"/>
      <c r="E7" s="840"/>
      <c r="F7" s="840"/>
      <c r="G7" s="841"/>
    </row>
    <row r="8" spans="1:7" ht="36" customHeight="1" x14ac:dyDescent="0.25">
      <c r="A8" s="473" t="s">
        <v>825</v>
      </c>
      <c r="B8" s="474" t="s">
        <v>826</v>
      </c>
      <c r="C8" s="474" t="s">
        <v>827</v>
      </c>
      <c r="D8" s="474" t="s">
        <v>828</v>
      </c>
      <c r="E8" s="474" t="s">
        <v>829</v>
      </c>
      <c r="F8" s="474" t="s">
        <v>830</v>
      </c>
      <c r="G8" s="475" t="s">
        <v>1029</v>
      </c>
    </row>
    <row r="9" spans="1:7" ht="36" customHeight="1" x14ac:dyDescent="0.3">
      <c r="A9" s="837"/>
      <c r="B9" s="476"/>
      <c r="C9" s="476"/>
      <c r="D9" s="477"/>
      <c r="E9" s="476"/>
      <c r="F9" s="476"/>
      <c r="G9" s="478"/>
    </row>
    <row r="10" spans="1:7" ht="36" customHeight="1" x14ac:dyDescent="0.3">
      <c r="A10" s="837"/>
      <c r="B10" s="476"/>
      <c r="C10" s="476"/>
      <c r="D10" s="477"/>
      <c r="E10" s="476"/>
      <c r="F10" s="476"/>
      <c r="G10" s="478"/>
    </row>
    <row r="11" spans="1:7" ht="36" customHeight="1" thickBot="1" x14ac:dyDescent="0.35">
      <c r="A11" s="838"/>
      <c r="B11" s="479"/>
      <c r="C11" s="479"/>
      <c r="D11" s="480"/>
      <c r="E11" s="479"/>
      <c r="F11" s="479"/>
      <c r="G11" s="481"/>
    </row>
    <row r="12" spans="1:7" s="472" customFormat="1" ht="11.5" customHeight="1" thickBot="1" x14ac:dyDescent="0.35">
      <c r="A12" s="482"/>
      <c r="B12" s="483"/>
      <c r="C12" s="483"/>
      <c r="D12" s="484"/>
      <c r="E12" s="483"/>
      <c r="F12" s="483"/>
      <c r="G12" s="483"/>
    </row>
    <row r="13" spans="1:7" ht="36" customHeight="1" x14ac:dyDescent="0.25">
      <c r="A13" s="842" t="s">
        <v>922</v>
      </c>
      <c r="B13" s="843"/>
      <c r="C13" s="843"/>
      <c r="D13" s="843"/>
      <c r="E13" s="843"/>
      <c r="F13" s="843"/>
      <c r="G13" s="844"/>
    </row>
    <row r="14" spans="1:7" ht="36" customHeight="1" x14ac:dyDescent="0.25">
      <c r="A14" s="473" t="s">
        <v>825</v>
      </c>
      <c r="B14" s="485" t="s">
        <v>826</v>
      </c>
      <c r="C14" s="485" t="s">
        <v>827</v>
      </c>
      <c r="D14" s="485" t="s">
        <v>828</v>
      </c>
      <c r="E14" s="485" t="s">
        <v>829</v>
      </c>
      <c r="F14" s="485" t="s">
        <v>830</v>
      </c>
      <c r="G14" s="486" t="s">
        <v>1029</v>
      </c>
    </row>
    <row r="15" spans="1:7" ht="36" customHeight="1" x14ac:dyDescent="0.25">
      <c r="A15" s="829"/>
      <c r="B15" s="487"/>
      <c r="C15" s="487"/>
      <c r="D15" s="488"/>
      <c r="E15" s="487"/>
      <c r="F15" s="487"/>
      <c r="G15" s="489"/>
    </row>
    <row r="16" spans="1:7" ht="36" customHeight="1" x14ac:dyDescent="0.25">
      <c r="A16" s="829"/>
      <c r="B16" s="487"/>
      <c r="C16" s="487"/>
      <c r="D16" s="488"/>
      <c r="E16" s="487"/>
      <c r="F16" s="490"/>
      <c r="G16" s="489"/>
    </row>
    <row r="17" spans="1:7" ht="36" customHeight="1" thickBot="1" x14ac:dyDescent="0.3">
      <c r="A17" s="830"/>
      <c r="B17" s="491"/>
      <c r="C17" s="491"/>
      <c r="D17" s="492"/>
      <c r="E17" s="491"/>
      <c r="F17" s="491"/>
      <c r="G17" s="493"/>
    </row>
    <row r="18" spans="1:7" ht="12.65" customHeight="1" thickBot="1" x14ac:dyDescent="0.3">
      <c r="A18" s="494"/>
      <c r="B18" s="494"/>
      <c r="C18" s="494"/>
      <c r="D18" s="495"/>
      <c r="E18" s="494"/>
      <c r="F18" s="494"/>
      <c r="G18" s="494"/>
    </row>
    <row r="19" spans="1:7" ht="36" customHeight="1" x14ac:dyDescent="0.25">
      <c r="A19" s="842" t="s">
        <v>922</v>
      </c>
      <c r="B19" s="843"/>
      <c r="C19" s="843"/>
      <c r="D19" s="843"/>
      <c r="E19" s="843"/>
      <c r="F19" s="843"/>
      <c r="G19" s="844"/>
    </row>
    <row r="20" spans="1:7" ht="36" customHeight="1" x14ac:dyDescent="0.25">
      <c r="A20" s="473" t="s">
        <v>825</v>
      </c>
      <c r="B20" s="485" t="s">
        <v>826</v>
      </c>
      <c r="C20" s="485" t="s">
        <v>827</v>
      </c>
      <c r="D20" s="485" t="s">
        <v>828</v>
      </c>
      <c r="E20" s="485" t="s">
        <v>829</v>
      </c>
      <c r="F20" s="485" t="s">
        <v>830</v>
      </c>
      <c r="G20" s="486" t="s">
        <v>1029</v>
      </c>
    </row>
    <row r="21" spans="1:7" ht="36" customHeight="1" x14ac:dyDescent="0.25">
      <c r="A21" s="829"/>
      <c r="B21" s="487"/>
      <c r="C21" s="487"/>
      <c r="D21" s="488"/>
      <c r="E21" s="487"/>
      <c r="F21" s="487"/>
      <c r="G21" s="489"/>
    </row>
    <row r="22" spans="1:7" ht="36" customHeight="1" x14ac:dyDescent="0.25">
      <c r="A22" s="829"/>
      <c r="B22" s="487"/>
      <c r="C22" s="487"/>
      <c r="D22" s="488"/>
      <c r="E22" s="487"/>
      <c r="F22" s="490"/>
      <c r="G22" s="489"/>
    </row>
    <row r="23" spans="1:7" ht="36" customHeight="1" thickBot="1" x14ac:dyDescent="0.3">
      <c r="A23" s="830"/>
      <c r="B23" s="491"/>
      <c r="C23" s="491"/>
      <c r="D23" s="492"/>
      <c r="E23" s="491"/>
      <c r="F23" s="491"/>
      <c r="G23" s="493"/>
    </row>
  </sheetData>
  <mergeCells count="10">
    <mergeCell ref="A1:G1"/>
    <mergeCell ref="A6:G6"/>
    <mergeCell ref="A21:A23"/>
    <mergeCell ref="A4:G4"/>
    <mergeCell ref="A5:G5"/>
    <mergeCell ref="A9:A11"/>
    <mergeCell ref="A15:A17"/>
    <mergeCell ref="A7:G7"/>
    <mergeCell ref="A13:G13"/>
    <mergeCell ref="A19:G19"/>
  </mergeCells>
  <pageMargins left="0.74803149606299213" right="0.74803149606299213" top="0.98425196850393704" bottom="0.98425196850393704" header="0.51181102362204722" footer="0.51181102362204722"/>
  <pageSetup paperSize="9" scale="5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sheetPr>
  <dimension ref="A1:L132"/>
  <sheetViews>
    <sheetView zoomScale="80" zoomScaleNormal="80" zoomScalePageLayoutView="80" workbookViewId="0">
      <pane ySplit="1" topLeftCell="A20" activePane="bottomLeft" state="frozenSplit"/>
      <selection pane="bottomLeft" activeCell="C22" sqref="C22"/>
    </sheetView>
  </sheetViews>
  <sheetFormatPr defaultColWidth="8.81640625" defaultRowHeight="14.5" x14ac:dyDescent="0.35"/>
  <cols>
    <col min="1" max="1" width="12.81640625" style="389" customWidth="1"/>
    <col min="2" max="2" width="19.54296875" customWidth="1"/>
    <col min="3" max="3" width="22.54296875" customWidth="1"/>
    <col min="4" max="4" width="18.1796875" customWidth="1"/>
    <col min="5" max="6" width="27" style="367" customWidth="1"/>
    <col min="7" max="7" width="32.54296875" customWidth="1"/>
    <col min="8" max="8" width="14.81640625" bestFit="1" customWidth="1"/>
    <col min="9" max="10" width="18.453125" customWidth="1"/>
    <col min="11" max="11" width="85" customWidth="1"/>
    <col min="12" max="12" width="32.1796875" bestFit="1" customWidth="1"/>
  </cols>
  <sheetData>
    <row r="1" spans="1:11" ht="46.5" x14ac:dyDescent="0.35">
      <c r="A1" s="387" t="s">
        <v>5</v>
      </c>
      <c r="B1" s="330" t="s">
        <v>6</v>
      </c>
      <c r="C1" s="300" t="s">
        <v>7</v>
      </c>
      <c r="D1" s="331" t="s">
        <v>8</v>
      </c>
      <c r="E1" s="365" t="s">
        <v>9</v>
      </c>
      <c r="F1" s="409" t="s">
        <v>923</v>
      </c>
      <c r="G1" s="410" t="s">
        <v>924</v>
      </c>
      <c r="H1" s="332" t="s">
        <v>11</v>
      </c>
      <c r="I1" s="333" t="s">
        <v>12</v>
      </c>
      <c r="J1" s="411" t="s">
        <v>925</v>
      </c>
      <c r="K1" s="412" t="s">
        <v>926</v>
      </c>
    </row>
    <row r="2" spans="1:11" ht="15.5" x14ac:dyDescent="0.35">
      <c r="A2" s="388"/>
      <c r="B2" s="302" t="s">
        <v>15</v>
      </c>
      <c r="C2" s="303"/>
      <c r="D2" s="304"/>
      <c r="E2" s="366"/>
      <c r="F2" s="366"/>
      <c r="G2" s="305"/>
      <c r="H2" s="301"/>
      <c r="I2" s="305"/>
      <c r="J2" s="407"/>
      <c r="K2" s="334"/>
    </row>
    <row r="3" spans="1:11" ht="38.25" customHeight="1" x14ac:dyDescent="0.35">
      <c r="A3" s="587">
        <v>1</v>
      </c>
      <c r="B3" s="342" t="s">
        <v>927</v>
      </c>
      <c r="C3" s="306" t="s">
        <v>16</v>
      </c>
      <c r="D3" s="307"/>
      <c r="E3" s="421" t="s">
        <v>928</v>
      </c>
      <c r="F3" s="421" t="str">
        <f>_xlfn.CONCAT(B3,A3,C3)</f>
        <v>1.2.10 Farm area1Group Certification</v>
      </c>
      <c r="G3" s="426" t="s">
        <v>18</v>
      </c>
      <c r="H3" s="308" t="s">
        <v>39</v>
      </c>
      <c r="I3" s="309" t="s">
        <v>20</v>
      </c>
      <c r="J3" s="408" t="str">
        <f>_xlfn.CONCAT(G3,H3)</f>
        <v>Do you expect production sites of group members to be shifting or expanding?No</v>
      </c>
      <c r="K3" s="335" t="s">
        <v>21</v>
      </c>
    </row>
    <row r="4" spans="1:11" ht="91.4" customHeight="1" x14ac:dyDescent="0.35">
      <c r="A4" s="587">
        <v>1</v>
      </c>
      <c r="B4" s="342" t="s">
        <v>927</v>
      </c>
      <c r="C4" s="306" t="s">
        <v>16</v>
      </c>
      <c r="D4" s="307"/>
      <c r="E4" s="422"/>
      <c r="F4" s="421" t="str">
        <f t="shared" ref="F4:F66" si="0">_xlfn.CONCAT(B4,A4,C4)</f>
        <v>1.2.10 Farm area1Group Certification</v>
      </c>
      <c r="G4" s="426" t="s">
        <v>18</v>
      </c>
      <c r="H4" s="310" t="s">
        <v>33</v>
      </c>
      <c r="I4" s="311" t="s">
        <v>23</v>
      </c>
      <c r="J4" s="408" t="str">
        <f t="shared" ref="J4:J67" si="1">_xlfn.CONCAT(G4,H4)</f>
        <v>Do you expect production sites of group members to be shifting or expanding?yes</v>
      </c>
      <c r="K4" s="336" t="s">
        <v>24</v>
      </c>
    </row>
    <row r="5" spans="1:11" ht="39" x14ac:dyDescent="0.35">
      <c r="A5" s="587">
        <v>1</v>
      </c>
      <c r="B5" s="342" t="s">
        <v>927</v>
      </c>
      <c r="C5" s="306" t="s">
        <v>26</v>
      </c>
      <c r="D5" s="307"/>
      <c r="E5" s="422"/>
      <c r="F5" s="421" t="str">
        <f t="shared" si="0"/>
        <v>1.2.10 Farm area1Large</v>
      </c>
      <c r="G5" s="426" t="s">
        <v>27</v>
      </c>
      <c r="H5" s="308" t="s">
        <v>39</v>
      </c>
      <c r="I5" s="309" t="s">
        <v>20</v>
      </c>
      <c r="J5" s="408" t="str">
        <f t="shared" si="1"/>
        <v>Are production sites shifting or expanding? No</v>
      </c>
      <c r="K5" s="335" t="s">
        <v>21</v>
      </c>
    </row>
    <row r="6" spans="1:11" ht="52" x14ac:dyDescent="0.35">
      <c r="A6" s="587">
        <v>1</v>
      </c>
      <c r="B6" s="342" t="s">
        <v>927</v>
      </c>
      <c r="C6" s="306" t="s">
        <v>26</v>
      </c>
      <c r="D6" s="307"/>
      <c r="E6" s="423"/>
      <c r="F6" s="421" t="str">
        <f t="shared" si="0"/>
        <v>1.2.10 Farm area1Large</v>
      </c>
      <c r="G6" s="426" t="s">
        <v>27</v>
      </c>
      <c r="H6" s="310" t="s">
        <v>33</v>
      </c>
      <c r="I6" s="311" t="s">
        <v>23</v>
      </c>
      <c r="J6" s="408" t="str">
        <f t="shared" si="1"/>
        <v>Are production sites shifting or expanding? yes</v>
      </c>
      <c r="K6" s="336" t="s">
        <v>28</v>
      </c>
    </row>
    <row r="7" spans="1:11" ht="195.75" customHeight="1" x14ac:dyDescent="0.35">
      <c r="A7" s="430">
        <v>2</v>
      </c>
      <c r="B7" s="438" t="s">
        <v>929</v>
      </c>
      <c r="C7" s="380" t="s">
        <v>16</v>
      </c>
      <c r="D7" s="381"/>
      <c r="E7" s="588" t="s">
        <v>31</v>
      </c>
      <c r="F7" s="421" t="str">
        <f t="shared" si="0"/>
        <v>2.1 Traceability2Group Certification</v>
      </c>
      <c r="G7" s="588" t="s">
        <v>32</v>
      </c>
      <c r="H7" s="426" t="s">
        <v>33</v>
      </c>
      <c r="I7" s="588" t="s">
        <v>20</v>
      </c>
      <c r="J7" s="408" t="str">
        <f t="shared" si="1"/>
        <v>Do you/will you make use of intermediaries and/or subcontractors* in your supply chain?yes</v>
      </c>
      <c r="K7" s="337" t="s">
        <v>930</v>
      </c>
    </row>
    <row r="8" spans="1:11" ht="99" customHeight="1" x14ac:dyDescent="0.35">
      <c r="A8" s="430">
        <v>2</v>
      </c>
      <c r="B8" s="438" t="s">
        <v>929</v>
      </c>
      <c r="C8" s="380" t="s">
        <v>16</v>
      </c>
      <c r="D8" s="429"/>
      <c r="E8" s="588" t="s">
        <v>31</v>
      </c>
      <c r="F8" s="421" t="str">
        <f t="shared" si="0"/>
        <v>2.1 Traceability2Group Certification</v>
      </c>
      <c r="G8" s="588" t="s">
        <v>32</v>
      </c>
      <c r="H8" s="426" t="s">
        <v>39</v>
      </c>
      <c r="I8" s="438" t="s">
        <v>20</v>
      </c>
      <c r="J8" s="408" t="str">
        <f t="shared" si="1"/>
        <v>Do you/will you make use of intermediaries and/or subcontractors* in your supply chain?No</v>
      </c>
      <c r="K8" s="385" t="s">
        <v>931</v>
      </c>
    </row>
    <row r="9" spans="1:11" ht="104" x14ac:dyDescent="0.35">
      <c r="A9" s="430">
        <v>2</v>
      </c>
      <c r="B9" s="438" t="s">
        <v>929</v>
      </c>
      <c r="C9" s="380" t="s">
        <v>26</v>
      </c>
      <c r="D9" s="429"/>
      <c r="E9" s="588" t="s">
        <v>36</v>
      </c>
      <c r="F9" s="421" t="str">
        <f t="shared" si="0"/>
        <v>2.1 Traceability2Large</v>
      </c>
      <c r="G9" s="588" t="s">
        <v>37</v>
      </c>
      <c r="H9" s="426" t="s">
        <v>33</v>
      </c>
      <c r="I9" s="438" t="s">
        <v>23</v>
      </c>
      <c r="J9" s="408" t="str">
        <f t="shared" si="1"/>
        <v>Do you/will you make use of subcontractors* in your supply chain?yes</v>
      </c>
      <c r="K9" s="434" t="s">
        <v>932</v>
      </c>
    </row>
    <row r="10" spans="1:11" ht="78" x14ac:dyDescent="0.35">
      <c r="A10" s="430">
        <v>2</v>
      </c>
      <c r="B10" s="438" t="s">
        <v>929</v>
      </c>
      <c r="C10" s="440" t="s">
        <v>26</v>
      </c>
      <c r="D10" s="433"/>
      <c r="E10" s="588" t="s">
        <v>36</v>
      </c>
      <c r="F10" s="421" t="str">
        <f t="shared" si="0"/>
        <v>2.1 Traceability2Large</v>
      </c>
      <c r="G10" s="588" t="s">
        <v>37</v>
      </c>
      <c r="H10" s="437" t="s">
        <v>39</v>
      </c>
      <c r="I10" s="386" t="s">
        <v>23</v>
      </c>
      <c r="J10" s="408" t="str">
        <f t="shared" si="1"/>
        <v>Do you/will you make use of subcontractors* in your supply chain?No</v>
      </c>
      <c r="K10" s="434" t="s">
        <v>933</v>
      </c>
    </row>
    <row r="11" spans="1:11" ht="91" x14ac:dyDescent="0.35">
      <c r="A11" s="430">
        <v>3</v>
      </c>
      <c r="B11" s="438" t="s">
        <v>929</v>
      </c>
      <c r="C11" s="380" t="s">
        <v>16</v>
      </c>
      <c r="D11" s="381"/>
      <c r="E11" s="588" t="s">
        <v>41</v>
      </c>
      <c r="F11" s="421" t="str">
        <f t="shared" si="0"/>
        <v>2.1 Traceability3Group Certification</v>
      </c>
      <c r="G11" s="421" t="s">
        <v>42</v>
      </c>
      <c r="H11" s="426" t="s">
        <v>33</v>
      </c>
      <c r="I11" s="588" t="s">
        <v>20</v>
      </c>
      <c r="J11" s="408" t="str">
        <f t="shared" si="1"/>
        <v>Do you expect farmers to have difficulties keeping (traceability) records?yes</v>
      </c>
      <c r="K11" s="337" t="s">
        <v>934</v>
      </c>
    </row>
    <row r="12" spans="1:11" ht="52" x14ac:dyDescent="0.35">
      <c r="A12" s="430">
        <v>3</v>
      </c>
      <c r="B12" s="438" t="s">
        <v>929</v>
      </c>
      <c r="C12" s="216" t="s">
        <v>16</v>
      </c>
      <c r="D12" s="207"/>
      <c r="E12" s="588" t="s">
        <v>41</v>
      </c>
      <c r="F12" s="421" t="str">
        <f t="shared" si="0"/>
        <v>2.1 Traceability3Group Certification</v>
      </c>
      <c r="G12" s="421" t="s">
        <v>42</v>
      </c>
      <c r="H12" s="310" t="s">
        <v>39</v>
      </c>
      <c r="I12" s="578" t="s">
        <v>20</v>
      </c>
      <c r="J12" s="408" t="str">
        <f t="shared" si="1"/>
        <v>Do you expect farmers to have difficulties keeping (traceability) records?No</v>
      </c>
      <c r="K12" s="338" t="s">
        <v>21</v>
      </c>
    </row>
    <row r="13" spans="1:11" ht="65" x14ac:dyDescent="0.35">
      <c r="A13" s="430">
        <v>4</v>
      </c>
      <c r="B13" s="438" t="s">
        <v>929</v>
      </c>
      <c r="C13" s="216" t="s">
        <v>16</v>
      </c>
      <c r="D13" s="207"/>
      <c r="E13" s="588" t="s">
        <v>45</v>
      </c>
      <c r="F13" s="421" t="str">
        <f t="shared" si="0"/>
        <v>2.1 Traceability4Group Certification</v>
      </c>
      <c r="G13" s="588" t="s">
        <v>935</v>
      </c>
      <c r="H13" s="310" t="s">
        <v>33</v>
      </c>
      <c r="I13" s="578" t="s">
        <v>20</v>
      </c>
      <c r="J13" s="408" t="str">
        <f t="shared" si="1"/>
        <v>Do you/will you only handle RA certified product and/or only buy from RA certified producers?yes</v>
      </c>
      <c r="K13" s="338" t="s">
        <v>47</v>
      </c>
    </row>
    <row r="14" spans="1:11" ht="65" x14ac:dyDescent="0.35">
      <c r="A14" s="430">
        <v>4</v>
      </c>
      <c r="B14" s="438" t="s">
        <v>929</v>
      </c>
      <c r="C14" s="564" t="s">
        <v>16</v>
      </c>
      <c r="D14" s="429"/>
      <c r="E14" s="588" t="s">
        <v>45</v>
      </c>
      <c r="F14" s="421" t="str">
        <f t="shared" si="0"/>
        <v>2.1 Traceability4Group Certification</v>
      </c>
      <c r="G14" s="588" t="s">
        <v>935</v>
      </c>
      <c r="H14" s="426" t="s">
        <v>39</v>
      </c>
      <c r="I14" s="588" t="s">
        <v>20</v>
      </c>
      <c r="J14" s="408" t="str">
        <f t="shared" si="1"/>
        <v>Do you/will you only handle RA certified product and/or only buy from RA certified producers?No</v>
      </c>
      <c r="K14" s="337" t="s">
        <v>936</v>
      </c>
    </row>
    <row r="15" spans="1:11" ht="104.25" customHeight="1" x14ac:dyDescent="0.35">
      <c r="A15" s="430">
        <v>5</v>
      </c>
      <c r="B15" s="438" t="s">
        <v>929</v>
      </c>
      <c r="C15" s="380" t="s">
        <v>16</v>
      </c>
      <c r="D15" s="381"/>
      <c r="E15" s="588" t="s">
        <v>937</v>
      </c>
      <c r="F15" s="421" t="str">
        <f t="shared" si="0"/>
        <v>2.1 Traceability5Group Certification</v>
      </c>
      <c r="G15" s="588" t="s">
        <v>49</v>
      </c>
      <c r="H15" s="426" t="s">
        <v>33</v>
      </c>
      <c r="I15" s="588" t="s">
        <v>23</v>
      </c>
      <c r="J15" s="408" t="str">
        <f t="shared" si="1"/>
        <v>Do group members have access to different market outlets / different buyers for their certifiers product?yes</v>
      </c>
      <c r="K15" s="337" t="s">
        <v>938</v>
      </c>
    </row>
    <row r="16" spans="1:11" ht="78" x14ac:dyDescent="0.35">
      <c r="A16" s="430">
        <v>5</v>
      </c>
      <c r="B16" s="438" t="s">
        <v>929</v>
      </c>
      <c r="C16" s="216" t="s">
        <v>16</v>
      </c>
      <c r="D16" s="207"/>
      <c r="E16" s="588" t="s">
        <v>937</v>
      </c>
      <c r="F16" s="421" t="str">
        <f t="shared" si="0"/>
        <v>2.1 Traceability5Group Certification</v>
      </c>
      <c r="G16" s="588" t="s">
        <v>49</v>
      </c>
      <c r="H16" s="310" t="s">
        <v>39</v>
      </c>
      <c r="I16" s="578" t="s">
        <v>23</v>
      </c>
      <c r="J16" s="408" t="str">
        <f t="shared" si="1"/>
        <v>Do group members have access to different market outlets / different buyers for their certifiers product?No</v>
      </c>
      <c r="K16" s="338" t="s">
        <v>21</v>
      </c>
    </row>
    <row r="17" spans="1:11" ht="104" x14ac:dyDescent="0.35">
      <c r="A17" s="430">
        <v>6</v>
      </c>
      <c r="B17" s="438" t="s">
        <v>929</v>
      </c>
      <c r="C17" s="380" t="s">
        <v>16</v>
      </c>
      <c r="D17" s="381"/>
      <c r="E17" s="588" t="s">
        <v>939</v>
      </c>
      <c r="F17" s="421" t="str">
        <f t="shared" si="0"/>
        <v>2.1 Traceability6Group Certification</v>
      </c>
      <c r="G17" s="588" t="s">
        <v>53</v>
      </c>
      <c r="H17" s="426" t="s">
        <v>33</v>
      </c>
      <c r="I17" s="588" t="s">
        <v>54</v>
      </c>
      <c r="J17" s="408" t="str">
        <f t="shared" si="1"/>
        <v>Do group members often rely on farm operators to manage their farm?yes</v>
      </c>
      <c r="K17" s="337" t="s">
        <v>940</v>
      </c>
    </row>
    <row r="18" spans="1:11" ht="52" x14ac:dyDescent="0.35">
      <c r="A18" s="430">
        <v>6</v>
      </c>
      <c r="B18" s="438" t="s">
        <v>929</v>
      </c>
      <c r="C18" s="216" t="s">
        <v>16</v>
      </c>
      <c r="D18" s="207"/>
      <c r="E18" s="588" t="s">
        <v>939</v>
      </c>
      <c r="F18" s="421" t="str">
        <f t="shared" si="0"/>
        <v>2.1 Traceability6Group Certification</v>
      </c>
      <c r="G18" s="588" t="s">
        <v>53</v>
      </c>
      <c r="H18" s="310" t="s">
        <v>39</v>
      </c>
      <c r="I18" s="578" t="s">
        <v>23</v>
      </c>
      <c r="J18" s="408" t="str">
        <f t="shared" si="1"/>
        <v>Do group members often rely on farm operators to manage their farm?No</v>
      </c>
      <c r="K18" s="338" t="s">
        <v>21</v>
      </c>
    </row>
    <row r="19" spans="1:11" ht="104" x14ac:dyDescent="0.35">
      <c r="A19" s="433">
        <v>7</v>
      </c>
      <c r="B19" s="438" t="s">
        <v>941</v>
      </c>
      <c r="C19" s="216" t="s">
        <v>16</v>
      </c>
      <c r="D19" s="207"/>
      <c r="E19" s="588" t="s">
        <v>59</v>
      </c>
      <c r="F19" s="421" t="str">
        <f t="shared" si="0"/>
        <v>Productivity &amp; profitability, relates to: 2.1.2 harvested yield; 1.3.6 financial inputs and skills; 1.3.7 diversification; 3.1. production costs and Living Income7Group Certification</v>
      </c>
      <c r="G19" s="588" t="s">
        <v>60</v>
      </c>
      <c r="H19" s="581" t="s">
        <v>33</v>
      </c>
      <c r="I19" s="578" t="s">
        <v>23</v>
      </c>
      <c r="J19" s="408" t="str">
        <f t="shared" si="1"/>
        <v>Is the average yield of the certified crop of the group members at or above the average yield for the crop in your country?yes</v>
      </c>
      <c r="K19" s="338" t="s">
        <v>21</v>
      </c>
    </row>
    <row r="20" spans="1:11" ht="104" x14ac:dyDescent="0.35">
      <c r="A20" s="433">
        <v>7</v>
      </c>
      <c r="B20" s="438" t="s">
        <v>941</v>
      </c>
      <c r="C20" s="380" t="s">
        <v>16</v>
      </c>
      <c r="D20" s="381"/>
      <c r="E20" s="588" t="s">
        <v>59</v>
      </c>
      <c r="F20" s="421" t="str">
        <f t="shared" si="0"/>
        <v>Productivity &amp; profitability, relates to: 2.1.2 harvested yield; 1.3.6 financial inputs and skills; 1.3.7 diversification; 3.1. production costs and Living Income7Group Certification</v>
      </c>
      <c r="G20" s="588" t="s">
        <v>60</v>
      </c>
      <c r="H20" s="588" t="s">
        <v>64</v>
      </c>
      <c r="I20" s="438" t="s">
        <v>23</v>
      </c>
      <c r="J20" s="408" t="str">
        <f t="shared" si="1"/>
        <v>Is the average yield of the certified crop of the group members at or above the average yield for the crop in your country?No/Don't know</v>
      </c>
      <c r="K20" s="434" t="s">
        <v>942</v>
      </c>
    </row>
    <row r="21" spans="1:11" ht="104" x14ac:dyDescent="0.35">
      <c r="A21" s="587">
        <v>8</v>
      </c>
      <c r="B21" s="438" t="s">
        <v>941</v>
      </c>
      <c r="C21" s="216" t="s">
        <v>16</v>
      </c>
      <c r="D21" s="207"/>
      <c r="E21" s="180" t="s">
        <v>943</v>
      </c>
      <c r="F21" s="421" t="str">
        <f t="shared" si="0"/>
        <v>Productivity &amp; profitability, relates to: 2.1.2 harvested yield; 1.3.6 financial inputs and skills; 1.3.7 diversification; 3.1. production costs and Living Income8Group Certification</v>
      </c>
      <c r="G21" s="421" t="s">
        <v>944</v>
      </c>
      <c r="H21" s="581" t="s">
        <v>33</v>
      </c>
      <c r="I21" s="578" t="s">
        <v>23</v>
      </c>
      <c r="J21" s="408" t="str">
        <f t="shared" si="1"/>
        <v>Do all group members have access to finance, agricultural inputs and adequate knowledge to optimize productivity?yes</v>
      </c>
      <c r="K21" s="338" t="s">
        <v>21</v>
      </c>
    </row>
    <row r="22" spans="1:11" ht="104" x14ac:dyDescent="0.35">
      <c r="A22" s="587">
        <v>8</v>
      </c>
      <c r="B22" s="438" t="s">
        <v>941</v>
      </c>
      <c r="C22" s="380" t="s">
        <v>16</v>
      </c>
      <c r="D22" s="429"/>
      <c r="E22" s="588" t="s">
        <v>943</v>
      </c>
      <c r="F22" s="421" t="str">
        <f t="shared" si="0"/>
        <v>Productivity &amp; profitability, relates to: 2.1.2 harvested yield; 1.3.6 financial inputs and skills; 1.3.7 diversification; 3.1. production costs and Living Income8Group Certification</v>
      </c>
      <c r="G22" s="421" t="s">
        <v>944</v>
      </c>
      <c r="H22" s="588" t="s">
        <v>64</v>
      </c>
      <c r="I22" s="588" t="s">
        <v>23</v>
      </c>
      <c r="J22" s="408" t="str">
        <f t="shared" si="1"/>
        <v>Do all group members have access to finance, agricultural inputs and adequate knowledge to optimize productivity?No/Don't know</v>
      </c>
      <c r="K22" s="337" t="s">
        <v>945</v>
      </c>
    </row>
    <row r="23" spans="1:11" ht="104" x14ac:dyDescent="0.35">
      <c r="A23" s="587">
        <v>9</v>
      </c>
      <c r="B23" s="438" t="s">
        <v>941</v>
      </c>
      <c r="C23" s="216" t="s">
        <v>16</v>
      </c>
      <c r="D23" s="207"/>
      <c r="E23" s="588" t="s">
        <v>70</v>
      </c>
      <c r="F23" s="421" t="str">
        <f t="shared" si="0"/>
        <v>Productivity &amp; profitability, relates to: 2.1.2 harvested yield; 1.3.6 financial inputs and skills; 1.3.7 diversification; 3.1. production costs and Living Income9Group Certification</v>
      </c>
      <c r="G23" s="588" t="s">
        <v>71</v>
      </c>
      <c r="H23" s="581" t="s">
        <v>33</v>
      </c>
      <c r="I23" s="578" t="s">
        <v>23</v>
      </c>
      <c r="J23" s="408" t="str">
        <f t="shared" si="1"/>
        <v>Do you estimate that all group members earn a decent income with the production of the certified crop?yes</v>
      </c>
      <c r="K23" s="338" t="s">
        <v>21</v>
      </c>
    </row>
    <row r="24" spans="1:11" ht="196.5" customHeight="1" x14ac:dyDescent="0.35">
      <c r="A24" s="587">
        <v>9</v>
      </c>
      <c r="B24" s="438" t="s">
        <v>941</v>
      </c>
      <c r="C24" s="380" t="s">
        <v>16</v>
      </c>
      <c r="D24" s="381"/>
      <c r="E24" s="588" t="s">
        <v>70</v>
      </c>
      <c r="F24" s="421" t="str">
        <f t="shared" si="0"/>
        <v>Productivity &amp; profitability, relates to: 2.1.2 harvested yield; 1.3.6 financial inputs and skills; 1.3.7 diversification; 3.1. production costs and Living Income9Group Certification</v>
      </c>
      <c r="G24" s="588" t="s">
        <v>71</v>
      </c>
      <c r="H24" s="588" t="s">
        <v>64</v>
      </c>
      <c r="I24" s="556" t="s">
        <v>23</v>
      </c>
      <c r="J24" s="408" t="str">
        <f t="shared" si="1"/>
        <v>Do you estimate that all group members earn a decent income with the production of the certified crop?No/Don't know</v>
      </c>
      <c r="K24" s="339" t="s">
        <v>946</v>
      </c>
    </row>
    <row r="25" spans="1:11" ht="15.5" x14ac:dyDescent="0.35">
      <c r="A25" s="388"/>
      <c r="B25" s="312" t="s">
        <v>73</v>
      </c>
      <c r="C25" s="303"/>
      <c r="D25" s="304"/>
      <c r="E25" s="301"/>
      <c r="F25" s="421" t="str">
        <f t="shared" si="0"/>
        <v>Farming practices</v>
      </c>
      <c r="G25" s="301"/>
      <c r="H25" s="308" t="s">
        <v>39</v>
      </c>
      <c r="I25" s="305"/>
      <c r="J25" s="408" t="str">
        <f t="shared" si="1"/>
        <v>No</v>
      </c>
      <c r="K25" s="334"/>
    </row>
    <row r="26" spans="1:11" ht="217.5" customHeight="1" x14ac:dyDescent="0.35">
      <c r="A26" s="430">
        <v>10</v>
      </c>
      <c r="B26" s="342" t="s">
        <v>947</v>
      </c>
      <c r="C26" s="440" t="s">
        <v>16</v>
      </c>
      <c r="D26" s="381" t="s">
        <v>75</v>
      </c>
      <c r="E26" s="421" t="s">
        <v>76</v>
      </c>
      <c r="F26" s="421" t="str">
        <f t="shared" si="0"/>
        <v>4.6 Agrochemical management10Group Certification</v>
      </c>
      <c r="G26" s="555" t="s">
        <v>948</v>
      </c>
      <c r="H26" s="310" t="s">
        <v>33</v>
      </c>
      <c r="I26" s="588" t="s">
        <v>20</v>
      </c>
      <c r="J26" s="408" t="str">
        <f t="shared" si="1"/>
        <v>Review the Agrochemicals Rainforest Alliance Prohibited List :
Is it common practice in the region to use one or more of the agrochemicals from the Rainforest Alliance Prohibited List, including on the non-certified crops on the farm?yes</v>
      </c>
      <c r="K26" s="437" t="s">
        <v>949</v>
      </c>
    </row>
    <row r="27" spans="1:11" ht="182" x14ac:dyDescent="0.35">
      <c r="A27" s="430">
        <v>10</v>
      </c>
      <c r="B27" s="342" t="s">
        <v>947</v>
      </c>
      <c r="C27" s="313" t="s">
        <v>16</v>
      </c>
      <c r="D27" s="207" t="s">
        <v>75</v>
      </c>
      <c r="E27" s="421" t="s">
        <v>76</v>
      </c>
      <c r="F27" s="421" t="str">
        <f t="shared" si="0"/>
        <v>4.6 Agrochemical management10Group Certification</v>
      </c>
      <c r="G27" s="555" t="s">
        <v>948</v>
      </c>
      <c r="H27" s="308" t="s">
        <v>39</v>
      </c>
      <c r="I27" s="578" t="s">
        <v>20</v>
      </c>
      <c r="J27" s="408" t="str">
        <f t="shared" si="1"/>
        <v>Review the Agrochemicals Rainforest Alliance Prohibited List :
Is it common practice in the region to use one or more of the agrochemicals from the Rainforest Alliance Prohibited List, including on the non-certified crops on the farm?No</v>
      </c>
      <c r="K27" s="338" t="s">
        <v>21</v>
      </c>
    </row>
    <row r="28" spans="1:11" ht="169" x14ac:dyDescent="0.35">
      <c r="A28" s="430">
        <v>10</v>
      </c>
      <c r="B28" s="342" t="s">
        <v>947</v>
      </c>
      <c r="C28" s="440" t="s">
        <v>26</v>
      </c>
      <c r="D28" s="381" t="s">
        <v>75</v>
      </c>
      <c r="E28" s="421" t="s">
        <v>76</v>
      </c>
      <c r="F28" s="421" t="str">
        <f t="shared" si="0"/>
        <v>4.6 Agrochemical management10Large</v>
      </c>
      <c r="G28" s="555" t="s">
        <v>950</v>
      </c>
      <c r="H28" s="310" t="s">
        <v>33</v>
      </c>
      <c r="I28" s="588" t="s">
        <v>20</v>
      </c>
      <c r="J28" s="408" t="str">
        <f t="shared" si="1"/>
        <v>Review the Agrochemicals Rainforest Alliance Prohibited List :
do you use one or more of the agrochemicals from the Rainforest Alliance Prohibited List, including on the non-certified crops on the farm? yes</v>
      </c>
      <c r="K28" s="437" t="s">
        <v>951</v>
      </c>
    </row>
    <row r="29" spans="1:11" ht="169" x14ac:dyDescent="0.35">
      <c r="A29" s="430">
        <v>10</v>
      </c>
      <c r="B29" s="342" t="s">
        <v>947</v>
      </c>
      <c r="C29" s="313" t="s">
        <v>26</v>
      </c>
      <c r="D29" s="207" t="s">
        <v>75</v>
      </c>
      <c r="E29" s="421" t="s">
        <v>76</v>
      </c>
      <c r="F29" s="421" t="str">
        <f t="shared" si="0"/>
        <v>4.6 Agrochemical management10Large</v>
      </c>
      <c r="G29" s="555" t="s">
        <v>950</v>
      </c>
      <c r="H29" s="426" t="s">
        <v>19</v>
      </c>
      <c r="I29" s="578" t="s">
        <v>23</v>
      </c>
      <c r="J29" s="408" t="str">
        <f t="shared" si="1"/>
        <v>Review the Agrochemicals Rainforest Alliance Prohibited List :
do you use one or more of the agrochemicals from the Rainforest Alliance Prohibited List, including on the non-certified crops on the farm? no</v>
      </c>
      <c r="K29" s="338" t="s">
        <v>21</v>
      </c>
    </row>
    <row r="30" spans="1:11" ht="195" x14ac:dyDescent="0.35">
      <c r="A30" s="430">
        <v>11</v>
      </c>
      <c r="B30" s="342" t="s">
        <v>947</v>
      </c>
      <c r="C30" s="440" t="s">
        <v>16</v>
      </c>
      <c r="D30" s="381" t="s">
        <v>75</v>
      </c>
      <c r="E30" s="421" t="s">
        <v>76</v>
      </c>
      <c r="F30" s="421" t="str">
        <f t="shared" si="0"/>
        <v>4.6 Agrochemical management11Group Certification</v>
      </c>
      <c r="G30" s="421" t="s">
        <v>82</v>
      </c>
      <c r="H30" s="426" t="s">
        <v>39</v>
      </c>
      <c r="I30" s="588" t="s">
        <v>20</v>
      </c>
      <c r="J30" s="408" t="str">
        <f t="shared" si="1"/>
        <v>If you are certified by other standards, are there any RA banned agrochemicals that are not banned under these other standards?No</v>
      </c>
      <c r="K30" s="437" t="s">
        <v>952</v>
      </c>
    </row>
    <row r="31" spans="1:11" ht="35.5" customHeight="1" x14ac:dyDescent="0.35">
      <c r="A31" s="430">
        <v>11</v>
      </c>
      <c r="B31" s="342" t="s">
        <v>947</v>
      </c>
      <c r="C31" s="313" t="s">
        <v>16</v>
      </c>
      <c r="D31" s="207" t="s">
        <v>75</v>
      </c>
      <c r="E31" s="421" t="s">
        <v>76</v>
      </c>
      <c r="F31" s="421" t="str">
        <f t="shared" si="0"/>
        <v>4.6 Agrochemical management11Group Certification</v>
      </c>
      <c r="G31" s="421" t="s">
        <v>82</v>
      </c>
      <c r="H31" s="426" t="s">
        <v>33</v>
      </c>
      <c r="I31" s="578" t="s">
        <v>20</v>
      </c>
      <c r="J31" s="408" t="str">
        <f t="shared" si="1"/>
        <v>If you are certified by other standards, are there any RA banned agrochemicals that are not banned under these other standards?yes</v>
      </c>
      <c r="K31" s="338" t="s">
        <v>21</v>
      </c>
    </row>
    <row r="32" spans="1:11" ht="226.5" customHeight="1" x14ac:dyDescent="0.35">
      <c r="A32" s="430">
        <v>11</v>
      </c>
      <c r="B32" s="342" t="s">
        <v>947</v>
      </c>
      <c r="C32" s="440" t="s">
        <v>26</v>
      </c>
      <c r="D32" s="381" t="s">
        <v>75</v>
      </c>
      <c r="E32" s="421" t="s">
        <v>76</v>
      </c>
      <c r="F32" s="421" t="str">
        <f t="shared" si="0"/>
        <v>4.6 Agrochemical management11Large</v>
      </c>
      <c r="G32" s="421" t="s">
        <v>84</v>
      </c>
      <c r="H32" s="437" t="s">
        <v>39</v>
      </c>
      <c r="I32" s="588" t="s">
        <v>20</v>
      </c>
      <c r="J32" s="408" t="str">
        <f t="shared" si="1"/>
        <v>If you are certified by other standards, are there any Rainforest Alliance prohibited agrochemicals that are not banned under these other standards?No</v>
      </c>
      <c r="K32" s="437" t="s">
        <v>953</v>
      </c>
    </row>
    <row r="33" spans="1:11" ht="29.5" customHeight="1" x14ac:dyDescent="0.35">
      <c r="A33" s="430">
        <v>11</v>
      </c>
      <c r="B33" s="342" t="s">
        <v>947</v>
      </c>
      <c r="C33" s="313" t="s">
        <v>26</v>
      </c>
      <c r="D33" s="207" t="s">
        <v>75</v>
      </c>
      <c r="E33" s="421" t="s">
        <v>76</v>
      </c>
      <c r="F33" s="421" t="str">
        <f t="shared" si="0"/>
        <v>4.6 Agrochemical management11Large</v>
      </c>
      <c r="G33" s="421" t="s">
        <v>84</v>
      </c>
      <c r="H33" s="426" t="s">
        <v>33</v>
      </c>
      <c r="I33" s="578" t="s">
        <v>23</v>
      </c>
      <c r="J33" s="408" t="str">
        <f t="shared" si="1"/>
        <v>If you are certified by other standards, are there any Rainforest Alliance prohibited agrochemicals that are not banned under these other standards?yes</v>
      </c>
      <c r="K33" s="338" t="s">
        <v>21</v>
      </c>
    </row>
    <row r="34" spans="1:11" ht="117" x14ac:dyDescent="0.35">
      <c r="A34" s="390">
        <v>12</v>
      </c>
      <c r="B34" s="342" t="s">
        <v>947</v>
      </c>
      <c r="C34" s="313" t="s">
        <v>16</v>
      </c>
      <c r="D34" s="207" t="s">
        <v>75</v>
      </c>
      <c r="E34" s="421" t="s">
        <v>86</v>
      </c>
      <c r="F34" s="421" t="str">
        <f t="shared" si="0"/>
        <v>4.6 Agrochemical management12Group Certification</v>
      </c>
      <c r="G34" s="588" t="s">
        <v>954</v>
      </c>
      <c r="H34" s="310" t="s">
        <v>33</v>
      </c>
      <c r="I34" s="578" t="s">
        <v>20</v>
      </c>
      <c r="J34" s="408" t="str">
        <f t="shared" si="1"/>
        <v>Is it common practice that producers firstly try biological, physical, and other non-chemical control methods (IPM) for pest control before using agrochemicals?yes</v>
      </c>
      <c r="K34" s="338" t="s">
        <v>21</v>
      </c>
    </row>
    <row r="35" spans="1:11" ht="143" x14ac:dyDescent="0.35">
      <c r="A35" s="390">
        <v>12</v>
      </c>
      <c r="B35" s="342" t="s">
        <v>947</v>
      </c>
      <c r="C35" s="440" t="s">
        <v>16</v>
      </c>
      <c r="D35" s="381" t="s">
        <v>75</v>
      </c>
      <c r="E35" s="421" t="s">
        <v>86</v>
      </c>
      <c r="F35" s="421" t="str">
        <f>_xlfn.CONCAT(B35,A35,C35)</f>
        <v>4.6 Agrochemical management12Group Certification</v>
      </c>
      <c r="G35" s="588" t="s">
        <v>954</v>
      </c>
      <c r="H35" s="310" t="s">
        <v>19</v>
      </c>
      <c r="I35" s="588" t="s">
        <v>20</v>
      </c>
      <c r="J35" s="408" t="str">
        <f t="shared" si="1"/>
        <v>Is it common practice that producers firstly try biological, physical, and other non-chemical control methods (IPM) for pest control before using agrochemicals?no</v>
      </c>
      <c r="K35" s="340" t="s">
        <v>955</v>
      </c>
    </row>
    <row r="36" spans="1:11" ht="29.5" customHeight="1" x14ac:dyDescent="0.35">
      <c r="A36" s="390">
        <v>13</v>
      </c>
      <c r="B36" s="342" t="s">
        <v>947</v>
      </c>
      <c r="C36" s="313" t="s">
        <v>16</v>
      </c>
      <c r="D36" s="207" t="s">
        <v>75</v>
      </c>
      <c r="E36" s="308" t="s">
        <v>89</v>
      </c>
      <c r="F36" s="421" t="str">
        <f t="shared" si="0"/>
        <v>4.6 Agrochemical management13Group Certification</v>
      </c>
      <c r="G36" s="588" t="s">
        <v>956</v>
      </c>
      <c r="H36" s="426" t="s">
        <v>33</v>
      </c>
      <c r="I36" s="578" t="s">
        <v>20</v>
      </c>
      <c r="J36" s="408" t="str">
        <f t="shared" si="1"/>
        <v>Is it common practice that group members and/or their workers use Personal Protective Equipment (PPE) for application of agrochemicals? yes</v>
      </c>
      <c r="K36" s="338" t="s">
        <v>21</v>
      </c>
    </row>
    <row r="37" spans="1:11" ht="33.65" customHeight="1" x14ac:dyDescent="0.35">
      <c r="A37" s="390">
        <v>13</v>
      </c>
      <c r="B37" s="342" t="s">
        <v>947</v>
      </c>
      <c r="C37" s="440" t="s">
        <v>16</v>
      </c>
      <c r="D37" s="381" t="s">
        <v>75</v>
      </c>
      <c r="E37" s="421" t="s">
        <v>89</v>
      </c>
      <c r="F37" s="421" t="str">
        <f t="shared" si="0"/>
        <v>4.6 Agrochemical management13Group Certification</v>
      </c>
      <c r="G37" s="588" t="s">
        <v>956</v>
      </c>
      <c r="H37" s="426" t="s">
        <v>19</v>
      </c>
      <c r="I37" s="588" t="s">
        <v>20</v>
      </c>
      <c r="J37" s="408" t="str">
        <f t="shared" si="1"/>
        <v>Is it common practice that group members and/or their workers use Personal Protective Equipment (PPE) for application of agrochemicals? no</v>
      </c>
      <c r="K37" s="437" t="s">
        <v>957</v>
      </c>
    </row>
    <row r="38" spans="1:11" ht="51" customHeight="1" x14ac:dyDescent="0.35">
      <c r="A38" s="390">
        <v>13</v>
      </c>
      <c r="B38" s="342" t="s">
        <v>947</v>
      </c>
      <c r="C38" s="313" t="s">
        <v>26</v>
      </c>
      <c r="D38" s="207" t="s">
        <v>75</v>
      </c>
      <c r="E38" s="308" t="s">
        <v>89</v>
      </c>
      <c r="F38" s="421" t="str">
        <f t="shared" si="0"/>
        <v>4.6 Agrochemical management13Large</v>
      </c>
      <c r="G38" s="588" t="s">
        <v>94</v>
      </c>
      <c r="H38" s="310" t="s">
        <v>33</v>
      </c>
      <c r="I38" s="314" t="s">
        <v>20</v>
      </c>
      <c r="J38" s="408" t="str">
        <f t="shared" si="1"/>
        <v>Are all workers spraying agrochemicals using the correct  Personal Protective Equipment (PPE) at all times when they apply agrochemicals?yes</v>
      </c>
      <c r="K38" s="338" t="s">
        <v>21</v>
      </c>
    </row>
    <row r="39" spans="1:11" ht="218.25" customHeight="1" x14ac:dyDescent="0.35">
      <c r="A39" s="390">
        <v>13</v>
      </c>
      <c r="B39" s="342" t="s">
        <v>947</v>
      </c>
      <c r="C39" s="440" t="s">
        <v>26</v>
      </c>
      <c r="D39" s="381" t="s">
        <v>75</v>
      </c>
      <c r="E39" s="421" t="s">
        <v>89</v>
      </c>
      <c r="F39" s="421" t="str">
        <f t="shared" si="0"/>
        <v>4.6 Agrochemical management13Large</v>
      </c>
      <c r="G39" s="588" t="s">
        <v>94</v>
      </c>
      <c r="H39" s="426" t="s">
        <v>19</v>
      </c>
      <c r="I39" s="391" t="s">
        <v>20</v>
      </c>
      <c r="J39" s="408" t="str">
        <f t="shared" si="1"/>
        <v>Are all workers spraying agrochemicals using the correct  Personal Protective Equipment (PPE) at all times when they apply agrochemicals?no</v>
      </c>
      <c r="K39" s="437" t="s">
        <v>958</v>
      </c>
    </row>
    <row r="40" spans="1:11" ht="38.25" customHeight="1" x14ac:dyDescent="0.35">
      <c r="A40" s="845">
        <v>14</v>
      </c>
      <c r="B40" s="342" t="s">
        <v>959</v>
      </c>
      <c r="C40" s="306" t="s">
        <v>23</v>
      </c>
      <c r="D40" s="315"/>
      <c r="E40" s="308" t="s">
        <v>98</v>
      </c>
      <c r="F40" s="421" t="str">
        <f t="shared" si="0"/>
        <v>4.4 Soil fertility and conservation14All</v>
      </c>
      <c r="G40" s="421" t="s">
        <v>99</v>
      </c>
      <c r="H40" s="310" t="s">
        <v>33</v>
      </c>
      <c r="I40" s="316" t="s">
        <v>23</v>
      </c>
      <c r="J40" s="408" t="str">
        <f t="shared" si="1"/>
        <v>Are there any areas that have a slope steeper than 1m rise over 3m run over an area &gt;0.1ha?yes</v>
      </c>
      <c r="K40" s="336" t="s">
        <v>100</v>
      </c>
    </row>
    <row r="41" spans="1:11" ht="65" x14ac:dyDescent="0.35">
      <c r="A41" s="846"/>
      <c r="B41" s="342" t="s">
        <v>959</v>
      </c>
      <c r="C41" s="306" t="s">
        <v>23</v>
      </c>
      <c r="D41" s="315"/>
      <c r="E41" s="308" t="s">
        <v>98</v>
      </c>
      <c r="F41" s="421" t="str">
        <f t="shared" si="0"/>
        <v>4.4 Soil fertility and conservationAll</v>
      </c>
      <c r="G41" s="421" t="s">
        <v>99</v>
      </c>
      <c r="H41" s="581" t="s">
        <v>19</v>
      </c>
      <c r="I41" s="316" t="s">
        <v>23</v>
      </c>
      <c r="J41" s="408" t="str">
        <f t="shared" si="1"/>
        <v>Are there any areas that have a slope steeper than 1m rise over 3m run over an area &gt;0.1ha?no</v>
      </c>
      <c r="K41" s="336" t="s">
        <v>101</v>
      </c>
    </row>
    <row r="42" spans="1:11" ht="38.25" customHeight="1" x14ac:dyDescent="0.35">
      <c r="A42" s="433">
        <v>15</v>
      </c>
      <c r="B42" s="342" t="s">
        <v>959</v>
      </c>
      <c r="C42" s="317" t="s">
        <v>23</v>
      </c>
      <c r="D42" s="315"/>
      <c r="E42" s="308" t="s">
        <v>102</v>
      </c>
      <c r="F42" s="421" t="str">
        <f t="shared" si="0"/>
        <v>4.4 Soil fertility and conservation15All</v>
      </c>
      <c r="G42" s="421" t="s">
        <v>103</v>
      </c>
      <c r="H42" s="588" t="s">
        <v>33</v>
      </c>
      <c r="I42" s="316" t="s">
        <v>23</v>
      </c>
      <c r="J42" s="408" t="str">
        <f t="shared" si="1"/>
        <v>Are there any areas within the farm / group member farms with long periods of standing water after rain?yes</v>
      </c>
      <c r="K42" s="336" t="s">
        <v>104</v>
      </c>
    </row>
    <row r="43" spans="1:11" ht="78" x14ac:dyDescent="0.35">
      <c r="A43" s="433">
        <v>15</v>
      </c>
      <c r="B43" s="342" t="s">
        <v>959</v>
      </c>
      <c r="C43" s="317" t="s">
        <v>23</v>
      </c>
      <c r="D43" s="315"/>
      <c r="E43" s="308" t="s">
        <v>102</v>
      </c>
      <c r="F43" s="421" t="str">
        <f t="shared" si="0"/>
        <v>4.4 Soil fertility and conservation15All</v>
      </c>
      <c r="G43" s="421" t="s">
        <v>103</v>
      </c>
      <c r="H43" s="588" t="s">
        <v>64</v>
      </c>
      <c r="I43" s="316" t="s">
        <v>23</v>
      </c>
      <c r="J43" s="408" t="str">
        <f t="shared" si="1"/>
        <v>Are there any areas within the farm / group member farms with long periods of standing water after rain?No/Don't know</v>
      </c>
      <c r="K43" s="335" t="s">
        <v>21</v>
      </c>
    </row>
    <row r="44" spans="1:11" ht="52" x14ac:dyDescent="0.35">
      <c r="A44" s="433">
        <v>16</v>
      </c>
      <c r="B44" s="342" t="s">
        <v>959</v>
      </c>
      <c r="C44" s="440" t="s">
        <v>23</v>
      </c>
      <c r="D44" s="433"/>
      <c r="E44" s="421" t="s">
        <v>102</v>
      </c>
      <c r="F44" s="421" t="str">
        <f t="shared" si="0"/>
        <v>4.4 Soil fertility and conservation16All</v>
      </c>
      <c r="G44" s="421" t="s">
        <v>105</v>
      </c>
      <c r="H44" s="588" t="s">
        <v>33</v>
      </c>
      <c r="I44" s="426" t="s">
        <v>23</v>
      </c>
      <c r="J44" s="408" t="str">
        <f t="shared" si="1"/>
        <v>Is high ground water level a problem in certain areas?yes</v>
      </c>
      <c r="K44" s="342" t="s">
        <v>960</v>
      </c>
    </row>
    <row r="45" spans="1:11" ht="39" x14ac:dyDescent="0.35">
      <c r="A45" s="433">
        <v>16</v>
      </c>
      <c r="B45" s="342" t="s">
        <v>959</v>
      </c>
      <c r="C45" s="317" t="s">
        <v>23</v>
      </c>
      <c r="D45" s="315"/>
      <c r="E45" s="308" t="s">
        <v>102</v>
      </c>
      <c r="F45" s="421" t="str">
        <f t="shared" si="0"/>
        <v>4.4 Soil fertility and conservation16All</v>
      </c>
      <c r="G45" s="421" t="s">
        <v>105</v>
      </c>
      <c r="H45" s="581" t="s">
        <v>19</v>
      </c>
      <c r="I45" s="316" t="s">
        <v>23</v>
      </c>
      <c r="J45" s="408" t="str">
        <f t="shared" si="1"/>
        <v>Is high ground water level a problem in certain areas?no</v>
      </c>
      <c r="K45" s="335" t="s">
        <v>21</v>
      </c>
    </row>
    <row r="46" spans="1:11" ht="130" x14ac:dyDescent="0.35">
      <c r="A46" s="433">
        <v>17</v>
      </c>
      <c r="B46" s="342" t="s">
        <v>959</v>
      </c>
      <c r="C46" s="440" t="s">
        <v>23</v>
      </c>
      <c r="D46" s="433"/>
      <c r="E46" s="421" t="s">
        <v>107</v>
      </c>
      <c r="F46" s="421" t="str">
        <f t="shared" si="0"/>
        <v>4.4 Soil fertility and conservation17All</v>
      </c>
      <c r="G46" s="421" t="s">
        <v>108</v>
      </c>
      <c r="H46" s="588" t="s">
        <v>33</v>
      </c>
      <c r="I46" s="426" t="s">
        <v>23</v>
      </c>
      <c r="J46" s="408" t="str">
        <f t="shared" si="1"/>
        <v>Is drought (becoming) a limiting factor for crop production?yes</v>
      </c>
      <c r="K46" s="342" t="s">
        <v>961</v>
      </c>
    </row>
    <row r="47" spans="1:11" ht="39" x14ac:dyDescent="0.35">
      <c r="A47" s="433">
        <v>17</v>
      </c>
      <c r="B47" s="342" t="s">
        <v>959</v>
      </c>
      <c r="C47" s="317" t="s">
        <v>23</v>
      </c>
      <c r="D47" s="315"/>
      <c r="E47" s="308" t="s">
        <v>107</v>
      </c>
      <c r="F47" s="421" t="str">
        <f t="shared" si="0"/>
        <v>4.4 Soil fertility and conservation17All</v>
      </c>
      <c r="G47" s="421" t="s">
        <v>108</v>
      </c>
      <c r="H47" s="308" t="s">
        <v>39</v>
      </c>
      <c r="I47" s="316" t="s">
        <v>23</v>
      </c>
      <c r="J47" s="408" t="str">
        <f t="shared" si="1"/>
        <v>Is drought (becoming) a limiting factor for crop production?No</v>
      </c>
      <c r="K47" s="344" t="s">
        <v>111</v>
      </c>
    </row>
    <row r="48" spans="1:11" ht="15.5" x14ac:dyDescent="0.35">
      <c r="A48" s="388"/>
      <c r="B48" s="302" t="s">
        <v>112</v>
      </c>
      <c r="C48" s="303"/>
      <c r="D48" s="304"/>
      <c r="E48" s="301"/>
      <c r="F48" s="421" t="str">
        <f t="shared" si="0"/>
        <v>Working Conditions</v>
      </c>
      <c r="G48" s="305"/>
      <c r="H48" s="310"/>
      <c r="I48" s="301"/>
      <c r="J48" s="408"/>
      <c r="K48" s="334"/>
    </row>
    <row r="49" spans="1:12" ht="91" x14ac:dyDescent="0.35">
      <c r="A49" s="381">
        <v>18</v>
      </c>
      <c r="B49" s="437" t="s">
        <v>113</v>
      </c>
      <c r="C49" s="318" t="s">
        <v>23</v>
      </c>
      <c r="D49" s="319"/>
      <c r="E49" s="310" t="s">
        <v>114</v>
      </c>
      <c r="F49" s="421" t="str">
        <f t="shared" si="0"/>
        <v>1.5 Grievance mechanism18All</v>
      </c>
      <c r="G49" s="426" t="s">
        <v>115</v>
      </c>
      <c r="H49" s="308" t="s">
        <v>33</v>
      </c>
      <c r="I49" s="316" t="s">
        <v>23</v>
      </c>
      <c r="J49" s="408" t="str">
        <f t="shared" si="1"/>
        <v>Is information about the grievance mechanism and the assess and address committee visible and accessible to all workers?yes</v>
      </c>
      <c r="K49" s="336" t="s">
        <v>116</v>
      </c>
    </row>
    <row r="50" spans="1:12" ht="91" x14ac:dyDescent="0.35">
      <c r="A50" s="381">
        <v>18</v>
      </c>
      <c r="B50" s="437" t="s">
        <v>113</v>
      </c>
      <c r="C50" s="318" t="s">
        <v>23</v>
      </c>
      <c r="D50" s="319"/>
      <c r="E50" s="310" t="s">
        <v>117</v>
      </c>
      <c r="F50" s="421" t="str">
        <f t="shared" si="0"/>
        <v>1.5 Grievance mechanism18All</v>
      </c>
      <c r="G50" s="426" t="s">
        <v>115</v>
      </c>
      <c r="H50" s="310" t="s">
        <v>19</v>
      </c>
      <c r="I50" s="316" t="s">
        <v>23</v>
      </c>
      <c r="J50" s="408" t="str">
        <f t="shared" si="1"/>
        <v>Is information about the grievance mechanism and the assess and address committee visible and accessible to all workers?no</v>
      </c>
      <c r="K50" s="336" t="s">
        <v>118</v>
      </c>
    </row>
    <row r="51" spans="1:12" ht="156" x14ac:dyDescent="0.35">
      <c r="A51" s="381">
        <v>19</v>
      </c>
      <c r="B51" s="437" t="s">
        <v>962</v>
      </c>
      <c r="C51" s="318" t="s">
        <v>23</v>
      </c>
      <c r="D51" s="319"/>
      <c r="E51" s="310" t="s">
        <v>963</v>
      </c>
      <c r="F51" s="421" t="str">
        <f t="shared" si="0"/>
        <v>5.1 Assess-and-Address19All</v>
      </c>
      <c r="G51" s="426" t="s">
        <v>964</v>
      </c>
      <c r="H51" s="308" t="s">
        <v>33</v>
      </c>
      <c r="I51" s="316" t="s">
        <v>23</v>
      </c>
      <c r="J51" s="408" t="str">
        <f>_xlfn.CONCAT(G51,H51)</f>
        <v>Are any of the following populations present on or near the farm or group: Migrant workers; Specific ethnic minorities; Indigenous people; people that do not speak the dominant language in the country and region?yes</v>
      </c>
      <c r="K51" s="336" t="s">
        <v>965</v>
      </c>
      <c r="L51" t="s">
        <v>966</v>
      </c>
    </row>
    <row r="52" spans="1:12" ht="191.25" customHeight="1" x14ac:dyDescent="0.35">
      <c r="A52" s="381">
        <v>19</v>
      </c>
      <c r="B52" s="437" t="s">
        <v>962</v>
      </c>
      <c r="C52" s="318" t="s">
        <v>23</v>
      </c>
      <c r="D52" s="319"/>
      <c r="E52" s="310" t="s">
        <v>963</v>
      </c>
      <c r="F52" s="421" t="str">
        <f t="shared" ref="F52" si="2">_xlfn.CONCAT(B52,A52,C52)</f>
        <v>5.1 Assess-and-Address19All</v>
      </c>
      <c r="G52" s="426" t="s">
        <v>964</v>
      </c>
      <c r="H52" s="308" t="s">
        <v>19</v>
      </c>
      <c r="I52" s="316" t="s">
        <v>23</v>
      </c>
      <c r="J52" s="408" t="str">
        <f t="shared" ref="J52" si="3">_xlfn.CONCAT(G52,H52)</f>
        <v>Are any of the following populations present on or near the farm or group: Migrant workers; Specific ethnic minorities; Indigenous people; people that do not speak the dominant language in the country and region?no</v>
      </c>
      <c r="K52" s="336" t="s">
        <v>21</v>
      </c>
    </row>
    <row r="53" spans="1:12" ht="65" x14ac:dyDescent="0.35">
      <c r="A53" s="381">
        <v>20</v>
      </c>
      <c r="B53" s="438" t="s">
        <v>962</v>
      </c>
      <c r="C53" s="380" t="s">
        <v>26</v>
      </c>
      <c r="D53" s="381"/>
      <c r="E53" s="588" t="s">
        <v>120</v>
      </c>
      <c r="F53" s="421" t="str">
        <f>_xlfn.CONCAT(B53,A53,C53)</f>
        <v>5.1 Assess-and-Address20Large</v>
      </c>
      <c r="G53" s="392" t="s">
        <v>123</v>
      </c>
      <c r="H53" s="426" t="s">
        <v>33</v>
      </c>
      <c r="I53" s="314" t="s">
        <v>23</v>
      </c>
      <c r="J53" s="408" t="str">
        <f t="shared" si="1"/>
        <v>Do hiring procedures follow rules and regulations to prevent discriminatory practices?yes</v>
      </c>
      <c r="K53" s="346" t="s">
        <v>21</v>
      </c>
    </row>
    <row r="54" spans="1:12" ht="65" x14ac:dyDescent="0.35">
      <c r="A54" s="381">
        <v>20</v>
      </c>
      <c r="B54" s="438" t="s">
        <v>962</v>
      </c>
      <c r="C54" s="380" t="s">
        <v>26</v>
      </c>
      <c r="D54" s="383"/>
      <c r="E54" s="588" t="s">
        <v>120</v>
      </c>
      <c r="F54" s="421" t="str">
        <f t="shared" si="0"/>
        <v>5.1 Assess-and-Address20Large</v>
      </c>
      <c r="G54" s="392" t="s">
        <v>123</v>
      </c>
      <c r="H54" s="437" t="s">
        <v>39</v>
      </c>
      <c r="I54" s="314" t="s">
        <v>23</v>
      </c>
      <c r="J54" s="408" t="str">
        <f t="shared" si="1"/>
        <v>Do hiring procedures follow rules and regulations to prevent discriminatory practices?No</v>
      </c>
      <c r="K54" s="336" t="s">
        <v>124</v>
      </c>
    </row>
    <row r="55" spans="1:12" ht="91" x14ac:dyDescent="0.35">
      <c r="A55" s="381">
        <v>21</v>
      </c>
      <c r="B55" s="438" t="s">
        <v>962</v>
      </c>
      <c r="C55" s="320" t="s">
        <v>23</v>
      </c>
      <c r="D55" s="207"/>
      <c r="E55" s="588" t="s">
        <v>125</v>
      </c>
      <c r="F55" s="421" t="str">
        <f t="shared" si="0"/>
        <v>5.1 Assess-and-Address21All</v>
      </c>
      <c r="G55" s="588" t="s">
        <v>967</v>
      </c>
      <c r="H55" s="426" t="s">
        <v>33</v>
      </c>
      <c r="I55" s="314" t="s">
        <v>23</v>
      </c>
      <c r="J55" s="408" t="str">
        <f t="shared" si="1"/>
        <v>Is management regularly taking targeted actions to prevent violence and harassment (including sexual harassment)? yes</v>
      </c>
      <c r="K55" s="335" t="s">
        <v>21</v>
      </c>
    </row>
    <row r="56" spans="1:12" ht="143" x14ac:dyDescent="0.35">
      <c r="A56" s="381">
        <v>21</v>
      </c>
      <c r="B56" s="438" t="s">
        <v>962</v>
      </c>
      <c r="C56" s="393" t="s">
        <v>23</v>
      </c>
      <c r="D56" s="381"/>
      <c r="E56" s="588" t="s">
        <v>125</v>
      </c>
      <c r="F56" s="421" t="str">
        <f t="shared" si="0"/>
        <v>5.1 Assess-and-Address21All</v>
      </c>
      <c r="G56" s="556" t="s">
        <v>967</v>
      </c>
      <c r="H56" s="310" t="s">
        <v>39</v>
      </c>
      <c r="I56" s="391" t="s">
        <v>23</v>
      </c>
      <c r="J56" s="408" t="str">
        <f t="shared" si="1"/>
        <v>Is management regularly taking targeted actions to prevent violence and harassment (including sexual harassment)? No</v>
      </c>
      <c r="K56" s="438" t="s">
        <v>968</v>
      </c>
    </row>
    <row r="57" spans="1:12" ht="104" x14ac:dyDescent="0.35">
      <c r="A57" s="381">
        <v>22</v>
      </c>
      <c r="B57" s="438" t="s">
        <v>962</v>
      </c>
      <c r="C57" s="393" t="s">
        <v>26</v>
      </c>
      <c r="D57" s="381"/>
      <c r="E57" s="588" t="s">
        <v>125</v>
      </c>
      <c r="F57" s="421" t="str">
        <f t="shared" si="0"/>
        <v>5.1 Assess-and-Address22Large</v>
      </c>
      <c r="G57" s="588" t="s">
        <v>969</v>
      </c>
      <c r="H57" s="310" t="s">
        <v>33</v>
      </c>
      <c r="I57" s="436" t="s">
        <v>23</v>
      </c>
      <c r="J57" s="408" t="str">
        <f t="shared" si="1"/>
        <v>Has the Grievance Committee shared contact details of an external trust person/organization especially for sexual harassment with workers?yes</v>
      </c>
      <c r="K57" s="439" t="s">
        <v>21</v>
      </c>
    </row>
    <row r="58" spans="1:12" ht="104" x14ac:dyDescent="0.35">
      <c r="A58" s="381">
        <v>22</v>
      </c>
      <c r="B58" s="438" t="s">
        <v>962</v>
      </c>
      <c r="C58" s="393" t="s">
        <v>26</v>
      </c>
      <c r="D58" s="382"/>
      <c r="E58" s="588" t="s">
        <v>125</v>
      </c>
      <c r="F58" s="421" t="str">
        <f t="shared" si="0"/>
        <v>5.1 Assess-and-Address22Large</v>
      </c>
      <c r="G58" s="588" t="s">
        <v>969</v>
      </c>
      <c r="H58" s="426" t="s">
        <v>39</v>
      </c>
      <c r="I58" s="436" t="s">
        <v>23</v>
      </c>
      <c r="J58" s="408" t="str">
        <f t="shared" si="1"/>
        <v>Has the Grievance Committee shared contact details of an external trust person/organization especially for sexual harassment with workers?No</v>
      </c>
      <c r="K58" s="439" t="s">
        <v>970</v>
      </c>
    </row>
    <row r="59" spans="1:12" ht="78" x14ac:dyDescent="0.35">
      <c r="A59" s="395">
        <v>23</v>
      </c>
      <c r="B59" s="438" t="s">
        <v>962</v>
      </c>
      <c r="C59" s="216" t="s">
        <v>16</v>
      </c>
      <c r="D59" s="207"/>
      <c r="E59" s="588" t="s">
        <v>129</v>
      </c>
      <c r="F59" s="421" t="str">
        <f t="shared" si="0"/>
        <v>5.1 Assess-and-Address23Group Certification</v>
      </c>
      <c r="G59" s="588" t="s">
        <v>130</v>
      </c>
      <c r="H59" s="426" t="s">
        <v>19</v>
      </c>
      <c r="I59" s="314" t="s">
        <v>23</v>
      </c>
      <c r="J59" s="408" t="str">
        <f t="shared" si="1"/>
        <v>Is there a risk that farm group members are not validating hired workers' ages at the time they are appointed?no</v>
      </c>
      <c r="K59" s="345" t="s">
        <v>131</v>
      </c>
    </row>
    <row r="60" spans="1:12" ht="119.25" customHeight="1" x14ac:dyDescent="0.35">
      <c r="A60" s="395">
        <v>23</v>
      </c>
      <c r="B60" s="438" t="s">
        <v>962</v>
      </c>
      <c r="C60" s="380" t="s">
        <v>16</v>
      </c>
      <c r="D60" s="381"/>
      <c r="E60" s="588" t="s">
        <v>129</v>
      </c>
      <c r="F60" s="421" t="str">
        <f t="shared" si="0"/>
        <v>5.1 Assess-and-Address23Group Certification</v>
      </c>
      <c r="G60" s="588" t="s">
        <v>130</v>
      </c>
      <c r="H60" s="310" t="s">
        <v>33</v>
      </c>
      <c r="I60" s="391" t="s">
        <v>23</v>
      </c>
      <c r="J60" s="408" t="str">
        <f t="shared" si="1"/>
        <v>Is there a risk that farm group members are not validating hired workers' ages at the time they are appointed?yes</v>
      </c>
      <c r="K60" s="438" t="s">
        <v>971</v>
      </c>
    </row>
    <row r="61" spans="1:12" ht="120" customHeight="1" x14ac:dyDescent="0.35">
      <c r="A61" s="395">
        <v>23</v>
      </c>
      <c r="B61" s="438" t="s">
        <v>962</v>
      </c>
      <c r="C61" s="564" t="s">
        <v>26</v>
      </c>
      <c r="D61" s="429"/>
      <c r="E61" s="588" t="s">
        <v>129</v>
      </c>
      <c r="F61" s="421" t="str">
        <f t="shared" si="0"/>
        <v>5.1 Assess-and-Address23Large</v>
      </c>
      <c r="G61" s="426" t="s">
        <v>972</v>
      </c>
      <c r="H61" s="426" t="s">
        <v>33</v>
      </c>
      <c r="I61" s="371" t="s">
        <v>973</v>
      </c>
      <c r="J61" s="408" t="str">
        <f t="shared" si="1"/>
        <v>Does the site require proof of age and make note of this when hiring workers?yes</v>
      </c>
      <c r="K61" s="372" t="s">
        <v>974</v>
      </c>
    </row>
    <row r="62" spans="1:12" ht="201.75" customHeight="1" x14ac:dyDescent="0.35">
      <c r="A62" s="395">
        <v>23</v>
      </c>
      <c r="B62" s="438" t="s">
        <v>962</v>
      </c>
      <c r="C62" s="380" t="s">
        <v>26</v>
      </c>
      <c r="D62" s="381"/>
      <c r="E62" s="588" t="s">
        <v>129</v>
      </c>
      <c r="F62" s="421" t="str">
        <f t="shared" si="0"/>
        <v>5.1 Assess-and-Address23Large</v>
      </c>
      <c r="G62" s="426" t="s">
        <v>972</v>
      </c>
      <c r="H62" s="310" t="s">
        <v>39</v>
      </c>
      <c r="I62" s="426" t="s">
        <v>23</v>
      </c>
      <c r="J62" s="408" t="str">
        <f t="shared" si="1"/>
        <v>Does the site require proof of age and make note of this when hiring workers?No</v>
      </c>
      <c r="K62" s="437" t="s">
        <v>975</v>
      </c>
    </row>
    <row r="63" spans="1:12" ht="169" x14ac:dyDescent="0.35">
      <c r="A63" s="381">
        <v>24</v>
      </c>
      <c r="B63" s="438" t="s">
        <v>962</v>
      </c>
      <c r="C63" s="216" t="s">
        <v>16</v>
      </c>
      <c r="D63" s="207"/>
      <c r="E63" s="588" t="s">
        <v>140</v>
      </c>
      <c r="F63" s="421" t="str">
        <f t="shared" si="0"/>
        <v>5.1 Assess-and-Address24Group Certification</v>
      </c>
      <c r="G63" s="394" t="s">
        <v>141</v>
      </c>
      <c r="H63" s="581" t="s">
        <v>33</v>
      </c>
      <c r="I63" s="314" t="s">
        <v>23</v>
      </c>
      <c r="J63" s="408" t="str">
        <f t="shared" si="1"/>
        <v>Has the group management listed any tasks, processes or other working conditions that could be hazardous to young workers?yes</v>
      </c>
      <c r="K63" s="345" t="s">
        <v>976</v>
      </c>
    </row>
    <row r="64" spans="1:12" ht="282" customHeight="1" x14ac:dyDescent="0.35">
      <c r="A64" s="381">
        <v>24</v>
      </c>
      <c r="B64" s="438" t="s">
        <v>962</v>
      </c>
      <c r="C64" s="216" t="s">
        <v>16</v>
      </c>
      <c r="D64" s="207"/>
      <c r="E64" s="588" t="s">
        <v>140</v>
      </c>
      <c r="F64" s="421" t="str">
        <f t="shared" si="0"/>
        <v>5.1 Assess-and-Address24Group Certification</v>
      </c>
      <c r="G64" s="394" t="s">
        <v>141</v>
      </c>
      <c r="H64" s="588" t="s">
        <v>39</v>
      </c>
      <c r="I64" s="314" t="s">
        <v>23</v>
      </c>
      <c r="J64" s="408" t="str">
        <f t="shared" si="1"/>
        <v>Has the group management listed any tasks, processes or other working conditions that could be hazardous to young workers?No</v>
      </c>
      <c r="K64" s="345" t="s">
        <v>977</v>
      </c>
    </row>
    <row r="65" spans="1:11" ht="83.25" customHeight="1" x14ac:dyDescent="0.35">
      <c r="A65" s="381">
        <v>24</v>
      </c>
      <c r="B65" s="438" t="s">
        <v>962</v>
      </c>
      <c r="C65" s="216" t="s">
        <v>26</v>
      </c>
      <c r="D65" s="321" t="s">
        <v>147</v>
      </c>
      <c r="E65" s="588" t="s">
        <v>140</v>
      </c>
      <c r="F65" s="421" t="str">
        <f t="shared" si="0"/>
        <v>5.1 Assess-and-Address24Large</v>
      </c>
      <c r="G65" s="426" t="s">
        <v>148</v>
      </c>
      <c r="H65" s="581" t="s">
        <v>33</v>
      </c>
      <c r="I65" s="314" t="s">
        <v>23</v>
      </c>
      <c r="J65" s="408" t="str">
        <f t="shared" si="1"/>
        <v>Has the farm management listed any tasks, processes or other working conditions taking place on the farm that could be hazardous to young workers? yes</v>
      </c>
      <c r="K65" s="345" t="s">
        <v>149</v>
      </c>
    </row>
    <row r="66" spans="1:11" ht="409.5" customHeight="1" x14ac:dyDescent="0.35">
      <c r="A66" s="381">
        <v>24</v>
      </c>
      <c r="B66" s="438" t="s">
        <v>962</v>
      </c>
      <c r="C66" s="380" t="s">
        <v>26</v>
      </c>
      <c r="D66" s="396" t="s">
        <v>147</v>
      </c>
      <c r="E66" s="589"/>
      <c r="F66" s="421" t="str">
        <f t="shared" si="0"/>
        <v>5.1 Assess-and-Address24Large</v>
      </c>
      <c r="G66" s="426" t="s">
        <v>148</v>
      </c>
      <c r="H66" s="588" t="s">
        <v>19</v>
      </c>
      <c r="I66" s="435" t="s">
        <v>978</v>
      </c>
      <c r="J66" s="408" t="str">
        <f t="shared" si="1"/>
        <v>Has the farm management listed any tasks, processes or other working conditions taking place on the farm that could be hazardous to young workers? no</v>
      </c>
      <c r="K66" s="437" t="s">
        <v>979</v>
      </c>
    </row>
    <row r="67" spans="1:11" ht="143" x14ac:dyDescent="0.35">
      <c r="A67" s="381">
        <v>25</v>
      </c>
      <c r="B67" s="438" t="s">
        <v>962</v>
      </c>
      <c r="C67" s="380" t="s">
        <v>16</v>
      </c>
      <c r="D67" s="381"/>
      <c r="E67" s="588" t="s">
        <v>153</v>
      </c>
      <c r="F67" s="421" t="str">
        <f>_xlfn.CONCAT(B67,A67,C67)</f>
        <v>5.1 Assess-and-Address25Group Certification</v>
      </c>
      <c r="G67" s="426" t="s">
        <v>154</v>
      </c>
      <c r="H67" s="581" t="s">
        <v>33</v>
      </c>
      <c r="I67" s="391" t="s">
        <v>23</v>
      </c>
      <c r="J67" s="408" t="str">
        <f t="shared" si="1"/>
        <v>Is there a risk that school-going aged children of group staff, or group members, or children of workers, do not attend school within a safe walking / traveling distance? (Use the map of the group area to assess this)yes</v>
      </c>
      <c r="K67" s="437" t="s">
        <v>980</v>
      </c>
    </row>
    <row r="68" spans="1:11" ht="143" x14ac:dyDescent="0.35">
      <c r="A68" s="381">
        <v>25</v>
      </c>
      <c r="B68" s="438" t="s">
        <v>962</v>
      </c>
      <c r="C68" s="216" t="s">
        <v>16</v>
      </c>
      <c r="D68" s="207"/>
      <c r="E68" s="180" t="s">
        <v>153</v>
      </c>
      <c r="F68" s="421" t="str">
        <f t="shared" ref="F68:F132" si="4">_xlfn.CONCAT(B68,A68,C68)</f>
        <v>5.1 Assess-and-Address25Group Certification</v>
      </c>
      <c r="G68" s="426" t="s">
        <v>154</v>
      </c>
      <c r="H68" s="588" t="s">
        <v>39</v>
      </c>
      <c r="I68" s="314" t="s">
        <v>981</v>
      </c>
      <c r="J68" s="408" t="str">
        <f t="shared" ref="J68:J132" si="5">_xlfn.CONCAT(G68,H68)</f>
        <v>Is there a risk that school-going aged children of group staff, or group members, or children of workers, do not attend school within a safe walking / traveling distance? (Use the map of the group area to assess this)No</v>
      </c>
      <c r="K68" s="397" t="s">
        <v>982</v>
      </c>
    </row>
    <row r="69" spans="1:11" ht="174.75" customHeight="1" x14ac:dyDescent="0.35">
      <c r="A69" s="381">
        <v>25</v>
      </c>
      <c r="B69" s="438" t="s">
        <v>962</v>
      </c>
      <c r="C69" s="216" t="s">
        <v>26</v>
      </c>
      <c r="D69" s="207" t="s">
        <v>983</v>
      </c>
      <c r="E69" s="180" t="s">
        <v>153</v>
      </c>
      <c r="F69" s="421" t="str">
        <f t="shared" si="4"/>
        <v>5.1 Assess-and-Address25Large</v>
      </c>
      <c r="G69" s="426" t="s">
        <v>160</v>
      </c>
      <c r="H69" s="308" t="s">
        <v>39</v>
      </c>
      <c r="I69" s="314" t="s">
        <v>981</v>
      </c>
      <c r="J69" s="408" t="str">
        <f t="shared" si="5"/>
        <v>Are children living on-site and of school-going age going to school within safe walking distance or at reasonable traveling distance using safe transport? No</v>
      </c>
      <c r="K69" s="336" t="s">
        <v>984</v>
      </c>
    </row>
    <row r="70" spans="1:11" ht="113.25" customHeight="1" x14ac:dyDescent="0.35">
      <c r="A70" s="381">
        <v>25</v>
      </c>
      <c r="B70" s="438" t="s">
        <v>962</v>
      </c>
      <c r="C70" s="564" t="s">
        <v>26</v>
      </c>
      <c r="D70" s="429" t="s">
        <v>983</v>
      </c>
      <c r="E70" s="588" t="s">
        <v>153</v>
      </c>
      <c r="F70" s="421" t="str">
        <f t="shared" si="4"/>
        <v>5.1 Assess-and-Address25Large</v>
      </c>
      <c r="G70" s="426" t="s">
        <v>160</v>
      </c>
      <c r="H70" s="310" t="s">
        <v>33</v>
      </c>
      <c r="I70" s="314" t="s">
        <v>981</v>
      </c>
      <c r="J70" s="408" t="str">
        <f t="shared" si="5"/>
        <v>Are children living on-site and of school-going age going to school within safe walking distance or at reasonable traveling distance using safe transport? yes</v>
      </c>
      <c r="K70" s="438" t="s">
        <v>985</v>
      </c>
    </row>
    <row r="71" spans="1:11" ht="279" customHeight="1" x14ac:dyDescent="0.35">
      <c r="A71" s="395">
        <v>26</v>
      </c>
      <c r="B71" s="438" t="s">
        <v>962</v>
      </c>
      <c r="C71" s="380" t="s">
        <v>26</v>
      </c>
      <c r="D71" s="381"/>
      <c r="E71" s="588" t="s">
        <v>165</v>
      </c>
      <c r="F71" s="421" t="str">
        <f t="shared" si="4"/>
        <v>5.1 Assess-and-Address26Large</v>
      </c>
      <c r="G71" s="588" t="s">
        <v>986</v>
      </c>
      <c r="H71" s="308" t="s">
        <v>33</v>
      </c>
      <c r="I71" s="419" t="s">
        <v>987</v>
      </c>
      <c r="J71" s="408" t="str">
        <f t="shared" si="5"/>
        <v>Is there a risk that under-18s perform work on the farm?yes</v>
      </c>
      <c r="K71" s="347" t="s">
        <v>988</v>
      </c>
    </row>
    <row r="72" spans="1:11" ht="39" x14ac:dyDescent="0.35">
      <c r="A72" s="381">
        <v>26</v>
      </c>
      <c r="B72" s="438" t="s">
        <v>962</v>
      </c>
      <c r="C72" s="216" t="s">
        <v>26</v>
      </c>
      <c r="D72" s="207"/>
      <c r="E72" s="180" t="s">
        <v>165</v>
      </c>
      <c r="F72" s="421" t="str">
        <f t="shared" si="4"/>
        <v>5.1 Assess-and-Address26Large</v>
      </c>
      <c r="G72" s="588" t="s">
        <v>986</v>
      </c>
      <c r="H72" s="310" t="s">
        <v>19</v>
      </c>
      <c r="I72" s="314" t="s">
        <v>137</v>
      </c>
      <c r="J72" s="408" t="str">
        <f t="shared" si="5"/>
        <v>Is there a risk that under-18s perform work on the farm?no</v>
      </c>
      <c r="K72" s="348" t="s">
        <v>170</v>
      </c>
    </row>
    <row r="73" spans="1:11" ht="225" customHeight="1" x14ac:dyDescent="0.35">
      <c r="A73" s="395">
        <v>26</v>
      </c>
      <c r="B73" s="438" t="s">
        <v>962</v>
      </c>
      <c r="C73" s="380" t="s">
        <v>16</v>
      </c>
      <c r="D73" s="429"/>
      <c r="E73" s="588" t="s">
        <v>165</v>
      </c>
      <c r="F73" s="421" t="str">
        <f t="shared" si="4"/>
        <v>5.1 Assess-and-Address26Group Certification</v>
      </c>
      <c r="G73" s="421" t="s">
        <v>171</v>
      </c>
      <c r="H73" s="426" t="s">
        <v>33</v>
      </c>
      <c r="I73" s="419" t="s">
        <v>989</v>
      </c>
      <c r="J73" s="408" t="str">
        <f t="shared" si="5"/>
        <v>Is there a risk that under-18s perform work on any of the farms within the group?yes</v>
      </c>
      <c r="K73" s="349" t="s">
        <v>990</v>
      </c>
    </row>
    <row r="74" spans="1:11" ht="123" customHeight="1" x14ac:dyDescent="0.35">
      <c r="A74" s="381">
        <v>26</v>
      </c>
      <c r="B74" s="438" t="s">
        <v>962</v>
      </c>
      <c r="C74" s="564" t="s">
        <v>16</v>
      </c>
      <c r="D74" s="429"/>
      <c r="E74" s="588" t="s">
        <v>165</v>
      </c>
      <c r="F74" s="421" t="str">
        <f t="shared" si="4"/>
        <v>5.1 Assess-and-Address26Group Certification</v>
      </c>
      <c r="G74" s="421" t="s">
        <v>171</v>
      </c>
      <c r="H74" s="426" t="s">
        <v>39</v>
      </c>
      <c r="I74" s="419" t="s">
        <v>991</v>
      </c>
      <c r="J74" s="408" t="str">
        <f t="shared" si="5"/>
        <v>Is there a risk that under-18s perform work on any of the farms within the group?No</v>
      </c>
      <c r="K74" s="364" t="s">
        <v>992</v>
      </c>
    </row>
    <row r="75" spans="1:11" ht="70.5" customHeight="1" x14ac:dyDescent="0.35">
      <c r="A75" s="381">
        <v>27</v>
      </c>
      <c r="B75" s="438" t="s">
        <v>962</v>
      </c>
      <c r="C75" s="306" t="s">
        <v>16</v>
      </c>
      <c r="D75" s="315"/>
      <c r="E75" s="308" t="s">
        <v>174</v>
      </c>
      <c r="F75" s="421" t="str">
        <f>_xlfn.CONCAT(B75,A75,C75)</f>
        <v>5.1 Assess-and-Address27Group Certification</v>
      </c>
      <c r="G75" s="421" t="s">
        <v>175</v>
      </c>
      <c r="H75" s="426" t="s">
        <v>19</v>
      </c>
      <c r="I75" s="316" t="s">
        <v>23</v>
      </c>
      <c r="J75" s="408" t="str">
        <f t="shared" si="5"/>
        <v>Is it likely that group members use labour providers to recruit workers?no</v>
      </c>
      <c r="K75" s="350" t="s">
        <v>21</v>
      </c>
    </row>
    <row r="76" spans="1:11" ht="369" customHeight="1" x14ac:dyDescent="0.35">
      <c r="A76" s="381">
        <v>27</v>
      </c>
      <c r="B76" s="438" t="s">
        <v>962</v>
      </c>
      <c r="C76" s="440" t="s">
        <v>16</v>
      </c>
      <c r="D76" s="433"/>
      <c r="E76" s="421" t="s">
        <v>174</v>
      </c>
      <c r="F76" s="421" t="str">
        <f>_xlfn.CONCAT(B76,A76,C76)</f>
        <v>5.1 Assess-and-Address27Group Certification</v>
      </c>
      <c r="G76" s="421" t="s">
        <v>175</v>
      </c>
      <c r="H76" s="437" t="s">
        <v>33</v>
      </c>
      <c r="I76" s="426" t="s">
        <v>989</v>
      </c>
      <c r="J76" s="408" t="str">
        <f t="shared" si="5"/>
        <v>Is it likely that group members use labour providers to recruit workers?yes</v>
      </c>
      <c r="K76" s="343" t="s">
        <v>993</v>
      </c>
    </row>
    <row r="77" spans="1:11" ht="52" x14ac:dyDescent="0.35">
      <c r="A77" s="382">
        <v>28</v>
      </c>
      <c r="B77" s="438" t="s">
        <v>962</v>
      </c>
      <c r="C77" s="306" t="s">
        <v>23</v>
      </c>
      <c r="D77" s="315"/>
      <c r="E77" s="308" t="s">
        <v>174</v>
      </c>
      <c r="F77" s="421" t="str">
        <f t="shared" si="4"/>
        <v>5.1 Assess-and-Address28All</v>
      </c>
      <c r="G77" s="421" t="s">
        <v>179</v>
      </c>
      <c r="H77" s="426" t="s">
        <v>19</v>
      </c>
      <c r="I77" s="316" t="s">
        <v>23</v>
      </c>
      <c r="J77" s="408" t="str">
        <f t="shared" si="5"/>
        <v>Does the farm/group management  use labour providers to recruit any workers?no</v>
      </c>
      <c r="K77" s="335" t="s">
        <v>21</v>
      </c>
    </row>
    <row r="78" spans="1:11" ht="323.25" customHeight="1" x14ac:dyDescent="0.35">
      <c r="A78" s="382">
        <v>28</v>
      </c>
      <c r="B78" s="438" t="s">
        <v>962</v>
      </c>
      <c r="C78" s="306" t="s">
        <v>23</v>
      </c>
      <c r="D78" s="315"/>
      <c r="E78" s="308" t="s">
        <v>174</v>
      </c>
      <c r="F78" s="421" t="str">
        <f t="shared" si="4"/>
        <v>5.1 Assess-and-Address28All</v>
      </c>
      <c r="G78" s="421" t="s">
        <v>179</v>
      </c>
      <c r="H78" s="310" t="s">
        <v>33</v>
      </c>
      <c r="I78" s="426" t="s">
        <v>989</v>
      </c>
      <c r="J78" s="408" t="str">
        <f t="shared" si="5"/>
        <v>Does the farm/group management  use labour providers to recruit any workers?yes</v>
      </c>
      <c r="K78" s="336" t="s">
        <v>994</v>
      </c>
    </row>
    <row r="79" spans="1:11" ht="52" x14ac:dyDescent="0.35">
      <c r="A79" s="381">
        <v>29</v>
      </c>
      <c r="B79" s="438" t="s">
        <v>962</v>
      </c>
      <c r="C79" s="306" t="s">
        <v>16</v>
      </c>
      <c r="D79" s="315"/>
      <c r="E79" s="308" t="s">
        <v>183</v>
      </c>
      <c r="F79" s="421" t="str">
        <f t="shared" si="4"/>
        <v>5.1 Assess-and-Address29Group Certification</v>
      </c>
      <c r="G79" s="394" t="s">
        <v>184</v>
      </c>
      <c r="H79" s="310" t="s">
        <v>19</v>
      </c>
      <c r="I79" s="309" t="s">
        <v>23</v>
      </c>
      <c r="J79" s="408" t="str">
        <f t="shared" si="5"/>
        <v>Is it likely that group members pay their workers by volume/piece rate?no</v>
      </c>
      <c r="K79" s="335" t="s">
        <v>21</v>
      </c>
    </row>
    <row r="80" spans="1:11" ht="52" x14ac:dyDescent="0.35">
      <c r="A80" s="381">
        <v>29</v>
      </c>
      <c r="B80" s="438" t="s">
        <v>962</v>
      </c>
      <c r="C80" s="306" t="s">
        <v>16</v>
      </c>
      <c r="D80" s="315"/>
      <c r="E80" s="308" t="s">
        <v>183</v>
      </c>
      <c r="F80" s="421" t="str">
        <f t="shared" si="4"/>
        <v>5.1 Assess-and-Address29Group Certification</v>
      </c>
      <c r="G80" s="394" t="s">
        <v>184</v>
      </c>
      <c r="H80" s="426" t="s">
        <v>33</v>
      </c>
      <c r="I80" s="309" t="s">
        <v>23</v>
      </c>
      <c r="J80" s="408" t="str">
        <f t="shared" si="5"/>
        <v>Is it likely that group members pay their workers by volume/piece rate?yes</v>
      </c>
      <c r="K80" s="336" t="s">
        <v>185</v>
      </c>
    </row>
    <row r="81" spans="1:11" ht="155.25" customHeight="1" x14ac:dyDescent="0.35">
      <c r="A81" s="381">
        <v>29</v>
      </c>
      <c r="B81" s="438" t="s">
        <v>962</v>
      </c>
      <c r="C81" s="440" t="s">
        <v>23</v>
      </c>
      <c r="D81" s="433"/>
      <c r="E81" s="421" t="s">
        <v>183</v>
      </c>
      <c r="F81" s="421" t="str">
        <f t="shared" si="4"/>
        <v>5.1 Assess-and-Address29All</v>
      </c>
      <c r="G81" s="421" t="s">
        <v>186</v>
      </c>
      <c r="H81" s="426" t="s">
        <v>33</v>
      </c>
      <c r="I81" s="421" t="s">
        <v>23</v>
      </c>
      <c r="J81" s="408" t="str">
        <f t="shared" si="5"/>
        <v>Are workers paid by volume/piece rate?yes</v>
      </c>
      <c r="K81" s="351" t="s">
        <v>995</v>
      </c>
    </row>
    <row r="82" spans="1:11" ht="26" x14ac:dyDescent="0.35">
      <c r="A82" s="381">
        <v>29</v>
      </c>
      <c r="B82" s="438" t="s">
        <v>962</v>
      </c>
      <c r="C82" s="306" t="s">
        <v>23</v>
      </c>
      <c r="D82" s="315"/>
      <c r="E82" s="308" t="s">
        <v>183</v>
      </c>
      <c r="F82" s="421" t="str">
        <f t="shared" si="4"/>
        <v>5.1 Assess-and-Address29All</v>
      </c>
      <c r="G82" s="421" t="s">
        <v>186</v>
      </c>
      <c r="H82" s="310" t="s">
        <v>39</v>
      </c>
      <c r="I82" s="309" t="s">
        <v>23</v>
      </c>
      <c r="J82" s="408" t="str">
        <f t="shared" si="5"/>
        <v>Are workers paid by volume/piece rate?No</v>
      </c>
      <c r="K82" s="352" t="s">
        <v>21</v>
      </c>
    </row>
    <row r="83" spans="1:11" ht="26" x14ac:dyDescent="0.35">
      <c r="A83" s="381">
        <v>30</v>
      </c>
      <c r="B83" s="438" t="s">
        <v>962</v>
      </c>
      <c r="C83" s="306" t="s">
        <v>26</v>
      </c>
      <c r="D83" s="315"/>
      <c r="E83" s="421" t="s">
        <v>188</v>
      </c>
      <c r="F83" s="421" t="str">
        <f t="shared" si="4"/>
        <v>5.1 Assess-and-Address30Large</v>
      </c>
      <c r="G83" s="426" t="s">
        <v>189</v>
      </c>
      <c r="H83" s="426" t="s">
        <v>19</v>
      </c>
      <c r="I83" s="309" t="s">
        <v>23</v>
      </c>
      <c r="J83" s="408" t="str">
        <f t="shared" si="5"/>
        <v>Are there security guards on the farm?no</v>
      </c>
      <c r="K83" s="335" t="s">
        <v>21</v>
      </c>
    </row>
    <row r="84" spans="1:11" ht="137.25" customHeight="1" x14ac:dyDescent="0.35">
      <c r="A84" s="381">
        <v>30</v>
      </c>
      <c r="B84" s="438" t="s">
        <v>962</v>
      </c>
      <c r="C84" s="432" t="s">
        <v>26</v>
      </c>
      <c r="D84" s="433"/>
      <c r="E84" s="422"/>
      <c r="F84" s="421" t="str">
        <f t="shared" si="4"/>
        <v>5.1 Assess-and-Address30Large</v>
      </c>
      <c r="G84" s="426" t="s">
        <v>189</v>
      </c>
      <c r="H84" s="310" t="s">
        <v>33</v>
      </c>
      <c r="I84" s="555" t="s">
        <v>23</v>
      </c>
      <c r="J84" s="408" t="str">
        <f t="shared" si="5"/>
        <v>Are there security guards on the farm?yes</v>
      </c>
      <c r="K84" s="342" t="s">
        <v>996</v>
      </c>
    </row>
    <row r="85" spans="1:11" ht="72.75" customHeight="1" x14ac:dyDescent="0.35">
      <c r="A85" s="381">
        <v>31</v>
      </c>
      <c r="B85" s="438" t="s">
        <v>962</v>
      </c>
      <c r="C85" s="306" t="s">
        <v>23</v>
      </c>
      <c r="D85" s="315"/>
      <c r="E85" s="421" t="s">
        <v>192</v>
      </c>
      <c r="F85" s="421" t="str">
        <f t="shared" si="4"/>
        <v>5.1 Assess-and-Address31All</v>
      </c>
      <c r="G85" s="426" t="s">
        <v>193</v>
      </c>
      <c r="H85" s="581" t="s">
        <v>19</v>
      </c>
      <c r="I85" s="309" t="s">
        <v>23</v>
      </c>
      <c r="J85" s="408" t="str">
        <f t="shared" si="5"/>
        <v>Are any workers recruited/provided to the farm/group by military or prison officials?no</v>
      </c>
      <c r="K85" s="335" t="s">
        <v>21</v>
      </c>
    </row>
    <row r="86" spans="1:11" ht="99.75" customHeight="1" x14ac:dyDescent="0.35">
      <c r="A86" s="381">
        <v>31</v>
      </c>
      <c r="B86" s="438" t="s">
        <v>962</v>
      </c>
      <c r="C86" s="432" t="s">
        <v>23</v>
      </c>
      <c r="D86" s="433"/>
      <c r="E86" s="421" t="s">
        <v>192</v>
      </c>
      <c r="F86" s="421" t="str">
        <f t="shared" si="4"/>
        <v>5.1 Assess-and-Address31All</v>
      </c>
      <c r="G86" s="426" t="s">
        <v>193</v>
      </c>
      <c r="H86" s="588" t="s">
        <v>33</v>
      </c>
      <c r="I86" s="555" t="s">
        <v>23</v>
      </c>
      <c r="J86" s="408" t="str">
        <f t="shared" si="5"/>
        <v>Are any workers recruited/provided to the farm/group by military or prison officials?yes</v>
      </c>
      <c r="K86" s="342" t="s">
        <v>997</v>
      </c>
    </row>
    <row r="87" spans="1:11" ht="91" x14ac:dyDescent="0.35">
      <c r="A87" s="381">
        <v>32</v>
      </c>
      <c r="B87" s="438" t="s">
        <v>962</v>
      </c>
      <c r="C87" s="306" t="s">
        <v>26</v>
      </c>
      <c r="D87" s="315"/>
      <c r="E87" s="421" t="s">
        <v>195</v>
      </c>
      <c r="F87" s="421" t="str">
        <f t="shared" si="4"/>
        <v>5.1 Assess-and-Address32Large</v>
      </c>
      <c r="G87" s="421" t="s">
        <v>196</v>
      </c>
      <c r="H87" s="581" t="s">
        <v>19</v>
      </c>
      <c r="I87" s="309" t="s">
        <v>23</v>
      </c>
      <c r="J87" s="408" t="str">
        <f t="shared" si="5"/>
        <v>Do workers give any money (such as deposits) or documents (such as passports) to farm management or labor providers?no</v>
      </c>
      <c r="K87" s="335" t="s">
        <v>21</v>
      </c>
    </row>
    <row r="88" spans="1:11" ht="91" x14ac:dyDescent="0.35">
      <c r="A88" s="381">
        <v>32</v>
      </c>
      <c r="B88" s="438" t="s">
        <v>962</v>
      </c>
      <c r="C88" s="432" t="s">
        <v>26</v>
      </c>
      <c r="D88" s="433"/>
      <c r="E88" s="422"/>
      <c r="F88" s="421" t="str">
        <f t="shared" si="4"/>
        <v>5.1 Assess-and-Address32Large</v>
      </c>
      <c r="G88" s="421" t="s">
        <v>196</v>
      </c>
      <c r="H88" s="588" t="s">
        <v>33</v>
      </c>
      <c r="I88" s="555" t="s">
        <v>23</v>
      </c>
      <c r="J88" s="408" t="str">
        <f t="shared" si="5"/>
        <v>Do workers give any money (such as deposits) or documents (such as passports) to farm management or labor providers?yes</v>
      </c>
      <c r="K88" s="342" t="s">
        <v>998</v>
      </c>
    </row>
    <row r="89" spans="1:11" ht="91" x14ac:dyDescent="0.35">
      <c r="A89" s="381">
        <v>33</v>
      </c>
      <c r="B89" s="438" t="s">
        <v>999</v>
      </c>
      <c r="C89" s="216" t="s">
        <v>23</v>
      </c>
      <c r="D89" s="207"/>
      <c r="E89" s="847" t="s">
        <v>199</v>
      </c>
      <c r="F89" s="421" t="str">
        <f t="shared" si="4"/>
        <v>1.6 Gender equality33All</v>
      </c>
      <c r="G89" s="421" t="s">
        <v>200</v>
      </c>
      <c r="H89" s="581" t="s">
        <v>33</v>
      </c>
      <c r="I89" s="578" t="s">
        <v>23</v>
      </c>
      <c r="J89" s="408" t="str">
        <f t="shared" si="5"/>
        <v>Has the group/farm management already been taking actions to address gender and/or women empowerment for at least more than a year?yes</v>
      </c>
      <c r="K89" s="335" t="s">
        <v>201</v>
      </c>
    </row>
    <row r="90" spans="1:11" ht="91" x14ac:dyDescent="0.35">
      <c r="A90" s="381">
        <v>33</v>
      </c>
      <c r="B90" s="438" t="s">
        <v>999</v>
      </c>
      <c r="C90" s="564" t="s">
        <v>23</v>
      </c>
      <c r="D90" s="429"/>
      <c r="E90" s="848"/>
      <c r="F90" s="421" t="str">
        <f t="shared" si="4"/>
        <v>1.6 Gender equality33All</v>
      </c>
      <c r="G90" s="421" t="s">
        <v>200</v>
      </c>
      <c r="H90" s="588" t="s">
        <v>19</v>
      </c>
      <c r="I90" s="556" t="s">
        <v>23</v>
      </c>
      <c r="J90" s="408" t="str">
        <f t="shared" si="5"/>
        <v>Has the group/farm management already been taking actions to address gender and/or women empowerment for at least more than a year?no</v>
      </c>
      <c r="K90" s="438" t="s">
        <v>1000</v>
      </c>
    </row>
    <row r="91" spans="1:11" ht="32.15" customHeight="1" x14ac:dyDescent="0.35">
      <c r="A91" s="381">
        <v>34</v>
      </c>
      <c r="B91" s="438" t="s">
        <v>999</v>
      </c>
      <c r="C91" s="216" t="s">
        <v>16</v>
      </c>
      <c r="D91" s="207"/>
      <c r="E91" s="847" t="s">
        <v>203</v>
      </c>
      <c r="F91" s="421" t="str">
        <f t="shared" si="4"/>
        <v>1.6 Gender equality34Group Certification</v>
      </c>
      <c r="G91" s="588" t="s">
        <v>204</v>
      </c>
      <c r="H91" s="308" t="s">
        <v>33</v>
      </c>
      <c r="I91" s="578" t="s">
        <v>23</v>
      </c>
      <c r="J91" s="408" t="str">
        <f t="shared" si="5"/>
        <v>Are female members representing at least 25%  of the total number of group members? yes</v>
      </c>
      <c r="K91" s="345" t="s">
        <v>21</v>
      </c>
    </row>
    <row r="92" spans="1:11" ht="65" x14ac:dyDescent="0.35">
      <c r="A92" s="381">
        <v>34</v>
      </c>
      <c r="B92" s="438" t="s">
        <v>999</v>
      </c>
      <c r="C92" s="564" t="s">
        <v>16</v>
      </c>
      <c r="D92" s="429"/>
      <c r="E92" s="848"/>
      <c r="F92" s="421" t="str">
        <f t="shared" si="4"/>
        <v>1.6 Gender equality34Group Certification</v>
      </c>
      <c r="G92" s="588" t="s">
        <v>204</v>
      </c>
      <c r="H92" s="310" t="s">
        <v>19</v>
      </c>
      <c r="I92" s="556" t="s">
        <v>23</v>
      </c>
      <c r="J92" s="408" t="str">
        <f t="shared" si="5"/>
        <v>Are female members representing at least 25%  of the total number of group members? no</v>
      </c>
      <c r="K92" s="353" t="s">
        <v>1001</v>
      </c>
    </row>
    <row r="93" spans="1:11" ht="156" x14ac:dyDescent="0.35">
      <c r="A93" s="381">
        <v>35</v>
      </c>
      <c r="B93" s="438" t="s">
        <v>999</v>
      </c>
      <c r="C93" s="216" t="s">
        <v>23</v>
      </c>
      <c r="D93" s="207"/>
      <c r="E93" s="588" t="s">
        <v>207</v>
      </c>
      <c r="F93" s="421" t="str">
        <f t="shared" si="4"/>
        <v>1.6 Gender equality35All</v>
      </c>
      <c r="G93" s="588" t="s">
        <v>208</v>
      </c>
      <c r="H93" s="308" t="s">
        <v>33</v>
      </c>
      <c r="I93" s="578" t="s">
        <v>23</v>
      </c>
      <c r="J93" s="408" t="str">
        <f t="shared" si="5"/>
        <v>Are women currently equally represented (in relation to the total % of female members or workers) amongst trainers, supervisors, management staff and/or other high level functions within the group or farm management?yes</v>
      </c>
      <c r="K93" s="345" t="s">
        <v>21</v>
      </c>
    </row>
    <row r="94" spans="1:11" ht="196.5" customHeight="1" x14ac:dyDescent="0.35">
      <c r="A94" s="381">
        <v>35</v>
      </c>
      <c r="B94" s="438" t="s">
        <v>999</v>
      </c>
      <c r="C94" s="564" t="s">
        <v>23</v>
      </c>
      <c r="D94" s="429"/>
      <c r="E94" s="589"/>
      <c r="F94" s="421" t="str">
        <f t="shared" si="4"/>
        <v>1.6 Gender equality35All</v>
      </c>
      <c r="G94" s="588" t="s">
        <v>208</v>
      </c>
      <c r="H94" s="413" t="s">
        <v>64</v>
      </c>
      <c r="I94" s="556" t="s">
        <v>23</v>
      </c>
      <c r="J94" s="408" t="str">
        <f t="shared" si="5"/>
        <v>Are women currently equally represented (in relation to the total % of female members or workers) amongst trainers, supervisors, management staff and/or other high level functions within the group or farm management?No/Don't know</v>
      </c>
      <c r="K94" s="438" t="s">
        <v>1002</v>
      </c>
    </row>
    <row r="95" spans="1:11" ht="104" x14ac:dyDescent="0.35">
      <c r="A95" s="381">
        <v>36</v>
      </c>
      <c r="B95" s="438" t="s">
        <v>999</v>
      </c>
      <c r="C95" s="216" t="s">
        <v>23</v>
      </c>
      <c r="D95" s="207"/>
      <c r="E95" s="180" t="s">
        <v>211</v>
      </c>
      <c r="F95" s="421" t="str">
        <f t="shared" si="4"/>
        <v>1.6 Gender equality36All</v>
      </c>
      <c r="G95" s="588" t="s">
        <v>212</v>
      </c>
      <c r="H95" s="426" t="s">
        <v>33</v>
      </c>
      <c r="I95" s="578" t="s">
        <v>54</v>
      </c>
      <c r="J95" s="408" t="str">
        <f t="shared" si="5"/>
        <v>Are female workers/group members currently equally participating (compared to the total % of female members or workers)  in trainings?yes</v>
      </c>
      <c r="K95" s="345" t="s">
        <v>213</v>
      </c>
    </row>
    <row r="96" spans="1:11" ht="108" customHeight="1" x14ac:dyDescent="0.35">
      <c r="A96" s="381">
        <v>36</v>
      </c>
      <c r="B96" s="438" t="s">
        <v>999</v>
      </c>
      <c r="C96" s="564" t="s">
        <v>23</v>
      </c>
      <c r="D96" s="429"/>
      <c r="E96" s="588" t="s">
        <v>214</v>
      </c>
      <c r="F96" s="421" t="str">
        <f>_xlfn.CONCAT(B96,A96,C96)</f>
        <v>1.6 Gender equality36All</v>
      </c>
      <c r="G96" s="588" t="s">
        <v>212</v>
      </c>
      <c r="H96" s="426" t="s">
        <v>39</v>
      </c>
      <c r="I96" s="556" t="s">
        <v>54</v>
      </c>
      <c r="J96" s="408" t="str">
        <f t="shared" si="5"/>
        <v>Are female workers/group members currently equally participating (compared to the total % of female members or workers)  in trainings?No</v>
      </c>
      <c r="K96" s="340" t="s">
        <v>1003</v>
      </c>
    </row>
    <row r="97" spans="1:12" ht="78" x14ac:dyDescent="0.35">
      <c r="A97" s="381">
        <v>37</v>
      </c>
      <c r="B97" s="438" t="s">
        <v>999</v>
      </c>
      <c r="C97" s="564" t="s">
        <v>16</v>
      </c>
      <c r="D97" s="429"/>
      <c r="E97" s="588" t="s">
        <v>214</v>
      </c>
      <c r="F97" s="421" t="str">
        <f>_xlfn.CONCAT(B97,A97,C97)</f>
        <v>1.6 Gender equality37Group Certification</v>
      </c>
      <c r="G97" s="588" t="s">
        <v>1004</v>
      </c>
      <c r="H97" s="426" t="s">
        <v>33</v>
      </c>
      <c r="I97" s="556" t="s">
        <v>54</v>
      </c>
      <c r="J97" s="408" t="str">
        <f t="shared" si="5"/>
        <v>Is it common that wives of male members or other female family workers participate in training activities?yes</v>
      </c>
      <c r="K97" s="341" t="s">
        <v>1005</v>
      </c>
    </row>
    <row r="98" spans="1:12" ht="78" x14ac:dyDescent="0.35">
      <c r="A98" s="381">
        <v>37</v>
      </c>
      <c r="B98" s="438" t="s">
        <v>999</v>
      </c>
      <c r="C98" s="564" t="s">
        <v>16</v>
      </c>
      <c r="D98" s="429"/>
      <c r="E98" s="588" t="s">
        <v>214</v>
      </c>
      <c r="F98" s="421" t="str">
        <f>_xlfn.CONCAT(B98,A98,C98)</f>
        <v>1.6 Gender equality37Group Certification</v>
      </c>
      <c r="G98" s="588" t="s">
        <v>1004</v>
      </c>
      <c r="H98" s="426" t="s">
        <v>19</v>
      </c>
      <c r="I98" s="556" t="s">
        <v>54</v>
      </c>
      <c r="J98" s="408" t="str">
        <f t="shared" si="5"/>
        <v>Is it common that wives of male members or other female family workers participate in training activities?no</v>
      </c>
      <c r="K98" s="341" t="s">
        <v>1006</v>
      </c>
    </row>
    <row r="99" spans="1:12" ht="130" x14ac:dyDescent="0.35">
      <c r="A99" s="381">
        <v>38</v>
      </c>
      <c r="B99" s="398" t="s">
        <v>1007</v>
      </c>
      <c r="C99" s="564" t="s">
        <v>26</v>
      </c>
      <c r="D99" s="429" t="s">
        <v>983</v>
      </c>
      <c r="E99" s="588"/>
      <c r="F99" s="421" t="str">
        <f t="shared" si="4"/>
        <v>5.7 Housing and living conditions38Large</v>
      </c>
      <c r="G99" s="588" t="s">
        <v>223</v>
      </c>
      <c r="H99" s="426" t="s">
        <v>33</v>
      </c>
      <c r="I99" s="556" t="s">
        <v>54</v>
      </c>
      <c r="J99" s="408" t="str">
        <f t="shared" si="5"/>
        <v>Are there any variations in the climate regime or high labor intensive periods that would require you to take adaptive measures in the housing conditions provided to the workers?yes</v>
      </c>
      <c r="K99" s="354" t="s">
        <v>1008</v>
      </c>
    </row>
    <row r="100" spans="1:12" ht="130" x14ac:dyDescent="0.35">
      <c r="A100" s="381">
        <v>38</v>
      </c>
      <c r="B100" s="398" t="s">
        <v>1007</v>
      </c>
      <c r="C100" s="216" t="s">
        <v>26</v>
      </c>
      <c r="D100" s="207" t="s">
        <v>983</v>
      </c>
      <c r="E100" s="180"/>
      <c r="F100" s="421" t="str">
        <f t="shared" si="4"/>
        <v>5.7 Housing and living conditions38Large</v>
      </c>
      <c r="G100" s="588" t="s">
        <v>223</v>
      </c>
      <c r="H100" s="437" t="s">
        <v>39</v>
      </c>
      <c r="I100" s="578" t="s">
        <v>54</v>
      </c>
      <c r="J100" s="408" t="str">
        <f t="shared" si="5"/>
        <v>Are there any variations in the climate regime or high labor intensive periods that would require you to take adaptive measures in the housing conditions provided to the workers?No</v>
      </c>
      <c r="K100" s="335" t="s">
        <v>21</v>
      </c>
    </row>
    <row r="101" spans="1:12" ht="15.5" x14ac:dyDescent="0.35">
      <c r="A101" s="388"/>
      <c r="B101" s="302" t="s">
        <v>225</v>
      </c>
      <c r="C101" s="303"/>
      <c r="D101" s="304"/>
      <c r="E101" s="301"/>
      <c r="F101" s="421" t="str">
        <f t="shared" si="4"/>
        <v>Environment</v>
      </c>
      <c r="G101" s="305"/>
      <c r="H101" s="426" t="s">
        <v>33</v>
      </c>
      <c r="I101" s="305"/>
      <c r="J101" s="408" t="str">
        <f t="shared" si="5"/>
        <v>yes</v>
      </c>
      <c r="K101" s="334"/>
    </row>
    <row r="102" spans="1:12" ht="52" x14ac:dyDescent="0.35">
      <c r="A102" s="433">
        <v>39</v>
      </c>
      <c r="B102" s="342" t="s">
        <v>1009</v>
      </c>
      <c r="C102" s="318" t="s">
        <v>23</v>
      </c>
      <c r="D102" s="307"/>
      <c r="E102" s="308" t="s">
        <v>227</v>
      </c>
      <c r="F102" s="421" t="str">
        <f t="shared" si="4"/>
        <v>6.1.3 / 6.1.4 HCV assessment39All</v>
      </c>
      <c r="G102" s="426" t="s">
        <v>228</v>
      </c>
      <c r="H102" s="310" t="s">
        <v>33</v>
      </c>
      <c r="I102" s="316" t="s">
        <v>23</v>
      </c>
      <c r="J102" s="408" t="str">
        <f t="shared" si="5"/>
        <v>Is the farm located closer than 5 km to an Intact Forest Landscape?yes</v>
      </c>
      <c r="K102" s="336" t="s">
        <v>229</v>
      </c>
    </row>
    <row r="103" spans="1:12" ht="52" x14ac:dyDescent="0.35">
      <c r="A103" s="433">
        <v>39</v>
      </c>
      <c r="B103" s="342" t="s">
        <v>1009</v>
      </c>
      <c r="C103" s="318" t="s">
        <v>23</v>
      </c>
      <c r="D103" s="307"/>
      <c r="E103" s="308" t="s">
        <v>227</v>
      </c>
      <c r="F103" s="421" t="str">
        <f t="shared" si="4"/>
        <v>6.1.3 / 6.1.4 HCV assessment39All</v>
      </c>
      <c r="G103" s="426" t="s">
        <v>228</v>
      </c>
      <c r="H103" s="310" t="s">
        <v>19</v>
      </c>
      <c r="I103" s="316" t="s">
        <v>23</v>
      </c>
      <c r="J103" s="408" t="str">
        <f t="shared" si="5"/>
        <v>Is the farm located closer than 5 km to an Intact Forest Landscape?no</v>
      </c>
      <c r="K103" s="335" t="s">
        <v>21</v>
      </c>
    </row>
    <row r="104" spans="1:12" ht="25.5" customHeight="1" x14ac:dyDescent="0.35">
      <c r="A104" s="433">
        <v>40</v>
      </c>
      <c r="B104" s="342" t="s">
        <v>1009</v>
      </c>
      <c r="C104" s="318" t="s">
        <v>23</v>
      </c>
      <c r="D104" s="307"/>
      <c r="E104" s="308" t="s">
        <v>227</v>
      </c>
      <c r="F104" s="421" t="str">
        <f t="shared" si="4"/>
        <v>6.1.3 / 6.1.4 HCV assessment40All</v>
      </c>
      <c r="G104" s="426" t="s">
        <v>232</v>
      </c>
      <c r="H104" s="426" t="s">
        <v>33</v>
      </c>
      <c r="I104" s="316" t="s">
        <v>23</v>
      </c>
      <c r="J104" s="408" t="str">
        <f t="shared" si="5"/>
        <v>Is the farm  located in or closer than 2 km to a designated Protected Area (PA), a Key Biodiversity Area (KBA), a Ramsar site or a UNESCO World Heritage siteyes</v>
      </c>
      <c r="K104" s="336" t="s">
        <v>233</v>
      </c>
    </row>
    <row r="105" spans="1:12" ht="44.15" customHeight="1" x14ac:dyDescent="0.35">
      <c r="A105" s="433">
        <v>40</v>
      </c>
      <c r="B105" s="342" t="s">
        <v>1009</v>
      </c>
      <c r="C105" s="318" t="s">
        <v>23</v>
      </c>
      <c r="D105" s="307"/>
      <c r="E105" s="308" t="s">
        <v>227</v>
      </c>
      <c r="F105" s="421" t="str">
        <f t="shared" si="4"/>
        <v>6.1.3 / 6.1.4 HCV assessment40All</v>
      </c>
      <c r="G105" s="426" t="s">
        <v>232</v>
      </c>
      <c r="H105" s="426" t="s">
        <v>19</v>
      </c>
      <c r="I105" s="316" t="s">
        <v>23</v>
      </c>
      <c r="J105" s="408" t="str">
        <f t="shared" si="5"/>
        <v>Is the farm  located in or closer than 2 km to a designated Protected Area (PA), a Key Biodiversity Area (KBA), a Ramsar site or a UNESCO World Heritage siteno</v>
      </c>
      <c r="K105" s="355" t="s">
        <v>21</v>
      </c>
    </row>
    <row r="106" spans="1:12" ht="52" x14ac:dyDescent="0.35">
      <c r="A106" s="384">
        <v>41</v>
      </c>
      <c r="B106" s="342" t="s">
        <v>1009</v>
      </c>
      <c r="C106" s="318" t="s">
        <v>23</v>
      </c>
      <c r="D106" s="307"/>
      <c r="E106" s="308" t="s">
        <v>227</v>
      </c>
      <c r="F106" s="421" t="str">
        <f t="shared" si="4"/>
        <v>6.1.3 / 6.1.4 HCV assessment41All</v>
      </c>
      <c r="G106" s="421" t="s">
        <v>235</v>
      </c>
      <c r="H106" s="310" t="s">
        <v>39</v>
      </c>
      <c r="I106" s="316" t="s">
        <v>20</v>
      </c>
      <c r="J106" s="408" t="str">
        <f t="shared" si="5"/>
        <v>Do local communities have any legal or customary rights on the farm? No</v>
      </c>
      <c r="K106" s="335" t="s">
        <v>21</v>
      </c>
    </row>
    <row r="107" spans="1:12" ht="104" x14ac:dyDescent="0.35">
      <c r="A107" s="384">
        <v>41</v>
      </c>
      <c r="B107" s="342" t="s">
        <v>1009</v>
      </c>
      <c r="C107" s="431" t="s">
        <v>23</v>
      </c>
      <c r="D107" s="420"/>
      <c r="E107" s="421" t="s">
        <v>227</v>
      </c>
      <c r="F107" s="421" t="str">
        <f t="shared" si="4"/>
        <v>6.1.3 / 6.1.4 HCV assessment41All</v>
      </c>
      <c r="G107" s="421" t="s">
        <v>235</v>
      </c>
      <c r="H107" s="426" t="s">
        <v>33</v>
      </c>
      <c r="I107" s="415" t="s">
        <v>23</v>
      </c>
      <c r="J107" s="408" t="str">
        <f t="shared" si="5"/>
        <v>Do local communities have any legal or customary rights on the farm? yes</v>
      </c>
      <c r="K107" s="342" t="s">
        <v>1010</v>
      </c>
    </row>
    <row r="108" spans="1:12" ht="91" x14ac:dyDescent="0.35">
      <c r="A108" s="384">
        <v>42</v>
      </c>
      <c r="B108" s="342" t="s">
        <v>1009</v>
      </c>
      <c r="C108" s="431" t="s">
        <v>23</v>
      </c>
      <c r="D108" s="420"/>
      <c r="E108" s="421" t="s">
        <v>227</v>
      </c>
      <c r="F108" s="421" t="str">
        <f t="shared" si="4"/>
        <v>6.1.3 / 6.1.4 HCV assessment42All</v>
      </c>
      <c r="G108" s="421" t="s">
        <v>237</v>
      </c>
      <c r="H108" s="310" t="s">
        <v>33</v>
      </c>
      <c r="I108" s="415" t="s">
        <v>23</v>
      </c>
      <c r="J108" s="408" t="str">
        <f t="shared" si="5"/>
        <v>Do you use communal lands for purposes related to production or processing of the certified crop, e.g. timber collection?yes</v>
      </c>
      <c r="K108" s="342" t="s">
        <v>1011</v>
      </c>
    </row>
    <row r="109" spans="1:12" ht="78" x14ac:dyDescent="0.35">
      <c r="A109" s="384">
        <v>42</v>
      </c>
      <c r="B109" s="342" t="s">
        <v>1009</v>
      </c>
      <c r="C109" s="318" t="s">
        <v>23</v>
      </c>
      <c r="D109" s="307"/>
      <c r="E109" s="308" t="s">
        <v>227</v>
      </c>
      <c r="F109" s="421" t="str">
        <f t="shared" si="4"/>
        <v>6.1.3 / 6.1.4 HCV assessment42All</v>
      </c>
      <c r="G109" s="421" t="s">
        <v>237</v>
      </c>
      <c r="H109" s="581" t="s">
        <v>19</v>
      </c>
      <c r="I109" s="299" t="s">
        <v>20</v>
      </c>
      <c r="J109" s="408" t="str">
        <f t="shared" si="5"/>
        <v>Do you use communal lands for purposes related to production or processing of the certified crop, e.g. timber collection?no</v>
      </c>
      <c r="K109" s="335" t="s">
        <v>21</v>
      </c>
    </row>
    <row r="110" spans="1:12" ht="169" x14ac:dyDescent="0.35">
      <c r="A110" s="433">
        <v>43</v>
      </c>
      <c r="B110" s="342" t="s">
        <v>1009</v>
      </c>
      <c r="C110" s="431" t="s">
        <v>26</v>
      </c>
      <c r="D110" s="420" t="s">
        <v>239</v>
      </c>
      <c r="E110" s="421" t="s">
        <v>227</v>
      </c>
      <c r="F110" s="421" t="str">
        <f t="shared" si="4"/>
        <v>6.1.3 / 6.1.4 HCV assessment43Large</v>
      </c>
      <c r="G110" s="426" t="s">
        <v>240</v>
      </c>
      <c r="H110" s="588" t="s">
        <v>33</v>
      </c>
      <c r="I110" s="399" t="s">
        <v>23</v>
      </c>
      <c r="J110" s="408" t="str">
        <f t="shared" si="5"/>
        <v>Have you answered yes to questions on Intact Forst Landscapes (IFL), Key Biodiversity Areas (KBAs) (etc.) or customary rights of communities?yes</v>
      </c>
      <c r="K110" s="437" t="s">
        <v>1012</v>
      </c>
    </row>
    <row r="111" spans="1:12" ht="104" x14ac:dyDescent="0.35">
      <c r="A111" s="433">
        <v>43</v>
      </c>
      <c r="B111" s="342" t="s">
        <v>1009</v>
      </c>
      <c r="C111" s="318" t="s">
        <v>26</v>
      </c>
      <c r="D111" s="307" t="s">
        <v>239</v>
      </c>
      <c r="E111" s="308" t="s">
        <v>227</v>
      </c>
      <c r="F111" s="421" t="str">
        <f t="shared" si="4"/>
        <v>6.1.3 / 6.1.4 HCV assessment43Large</v>
      </c>
      <c r="G111" s="426" t="s">
        <v>240</v>
      </c>
      <c r="H111" s="581" t="s">
        <v>19</v>
      </c>
      <c r="I111" s="362" t="s">
        <v>23</v>
      </c>
      <c r="J111" s="408" t="str">
        <f t="shared" si="5"/>
        <v>Have you answered yes to questions on Intact Forst Landscapes (IFL), Key Biodiversity Areas (KBAs) (etc.) or customary rights of communities?no</v>
      </c>
      <c r="K111" s="363" t="s">
        <v>21</v>
      </c>
    </row>
    <row r="112" spans="1:12" ht="78" x14ac:dyDescent="0.35">
      <c r="A112" s="401">
        <v>44</v>
      </c>
      <c r="B112" s="400" t="s">
        <v>1013</v>
      </c>
      <c r="C112" s="322" t="s">
        <v>23</v>
      </c>
      <c r="D112" s="323"/>
      <c r="E112" s="324" t="s">
        <v>246</v>
      </c>
      <c r="F112" s="421" t="str">
        <f t="shared" si="4"/>
        <v>6.2 Conservation and enhancement of natural ecosystems and vegetation 44All</v>
      </c>
      <c r="G112" s="426" t="s">
        <v>247</v>
      </c>
      <c r="H112" s="588" t="s">
        <v>33</v>
      </c>
      <c r="I112" s="316" t="s">
        <v>23</v>
      </c>
      <c r="J112" s="408" t="str">
        <f t="shared" si="5"/>
        <v>Are the areas of natural ecosystem and natural vegetation cover connected by landscape corridors? yes</v>
      </c>
      <c r="K112" s="335" t="s">
        <v>21</v>
      </c>
      <c r="L112" s="11" t="s">
        <v>1014</v>
      </c>
    </row>
    <row r="113" spans="1:12" ht="78" x14ac:dyDescent="0.35">
      <c r="A113" s="401">
        <v>44</v>
      </c>
      <c r="B113" s="400" t="s">
        <v>1015</v>
      </c>
      <c r="C113" s="424" t="s">
        <v>23</v>
      </c>
      <c r="D113" s="425"/>
      <c r="E113" s="418" t="s">
        <v>246</v>
      </c>
      <c r="F113" s="421" t="str">
        <f t="shared" si="4"/>
        <v>6.2 Conservation and enhancement of natural ecosystems and vegetation  44All</v>
      </c>
      <c r="G113" s="426" t="s">
        <v>247</v>
      </c>
      <c r="H113" s="581" t="s">
        <v>64</v>
      </c>
      <c r="I113" s="419" t="s">
        <v>23</v>
      </c>
      <c r="J113" s="408" t="str">
        <f t="shared" si="5"/>
        <v>Are the areas of natural ecosystem and natural vegetation cover connected by landscape corridors? No/Don't know</v>
      </c>
      <c r="K113" s="356" t="s">
        <v>1016</v>
      </c>
    </row>
    <row r="114" spans="1:12" ht="130" x14ac:dyDescent="0.35">
      <c r="A114" s="401">
        <v>45</v>
      </c>
      <c r="B114" s="400" t="s">
        <v>1013</v>
      </c>
      <c r="C114" s="325" t="s">
        <v>23</v>
      </c>
      <c r="D114" s="323"/>
      <c r="E114" s="324" t="s">
        <v>250</v>
      </c>
      <c r="F114" s="421" t="str">
        <f t="shared" si="4"/>
        <v>6.2 Conservation and enhancement of natural ecosystems and vegetation 45All</v>
      </c>
      <c r="G114" s="426" t="s">
        <v>1017</v>
      </c>
      <c r="H114" s="588" t="s">
        <v>33</v>
      </c>
      <c r="I114" s="316" t="s">
        <v>23</v>
      </c>
      <c r="J114" s="408" t="str">
        <f t="shared" si="5"/>
        <v>Do you expect all on-farm natural ecosystems, including hedges, tree lines, riparian buffers, and forest, to have a diversity of species and contain in its majority locally adapted speciesyes</v>
      </c>
      <c r="K114" s="357" t="s">
        <v>1018</v>
      </c>
    </row>
    <row r="115" spans="1:12" ht="143" x14ac:dyDescent="0.35">
      <c r="A115" s="401">
        <v>45</v>
      </c>
      <c r="B115" s="400" t="s">
        <v>1013</v>
      </c>
      <c r="C115" s="325" t="s">
        <v>23</v>
      </c>
      <c r="D115" s="323"/>
      <c r="E115" s="324" t="s">
        <v>250</v>
      </c>
      <c r="F115" s="421" t="str">
        <f t="shared" si="4"/>
        <v>6.2 Conservation and enhancement of natural ecosystems and vegetation 45All</v>
      </c>
      <c r="G115" s="426" t="s">
        <v>1017</v>
      </c>
      <c r="H115" s="308" t="s">
        <v>64</v>
      </c>
      <c r="I115" s="316" t="s">
        <v>23</v>
      </c>
      <c r="J115" s="408" t="str">
        <f t="shared" si="5"/>
        <v>Do you expect all on-farm natural ecosystems, including hedges, tree lines, riparian buffers, and forest, to have a diversity of species and contain in its majority locally adapted speciesNo/Don't know</v>
      </c>
      <c r="K115" s="357" t="s">
        <v>255</v>
      </c>
    </row>
    <row r="116" spans="1:12" ht="130" x14ac:dyDescent="0.35">
      <c r="A116" s="401">
        <v>45</v>
      </c>
      <c r="B116" s="400" t="s">
        <v>1013</v>
      </c>
      <c r="C116" s="325" t="s">
        <v>23</v>
      </c>
      <c r="D116" s="323"/>
      <c r="E116" s="324" t="s">
        <v>256</v>
      </c>
      <c r="F116" s="421" t="str">
        <f t="shared" si="4"/>
        <v>6.2 Conservation and enhancement of natural ecosystems and vegetation 45All</v>
      </c>
      <c r="G116" s="426" t="s">
        <v>1017</v>
      </c>
      <c r="H116" s="310" t="s">
        <v>19</v>
      </c>
      <c r="I116" s="316" t="s">
        <v>23</v>
      </c>
      <c r="J116" s="408" t="str">
        <f t="shared" si="5"/>
        <v>Do you expect all on-farm natural ecosystems, including hedges, tree lines, riparian buffers, and forest, to have a diversity of species and contain in its majority locally adapted speciesno</v>
      </c>
      <c r="K116" s="357" t="s">
        <v>257</v>
      </c>
    </row>
    <row r="117" spans="1:12" ht="156" x14ac:dyDescent="0.35">
      <c r="A117" s="403">
        <v>46</v>
      </c>
      <c r="B117" s="400" t="s">
        <v>1013</v>
      </c>
      <c r="C117" s="322" t="s">
        <v>23</v>
      </c>
      <c r="D117" s="323" t="s">
        <v>263</v>
      </c>
      <c r="E117" s="326" t="s">
        <v>264</v>
      </c>
      <c r="F117" s="421" t="str">
        <f t="shared" si="4"/>
        <v>6.2 Conservation and enhancement of natural ecosystems and vegetation 46All</v>
      </c>
      <c r="G117" s="421" t="s">
        <v>1019</v>
      </c>
      <c r="H117" s="308" t="s">
        <v>33</v>
      </c>
      <c r="I117" s="309" t="s">
        <v>23</v>
      </c>
      <c r="J117" s="408" t="str">
        <f t="shared" si="5"/>
        <v>Does the forest resemble natural forest in terms of canopy cover, forest strata, and the presence of vines or lianas? See document titled Guidance on Implementing 6.1-6.3 for more information on measuring forest quality.yes</v>
      </c>
      <c r="K117" s="370" t="s">
        <v>21</v>
      </c>
    </row>
    <row r="118" spans="1:12" ht="95.15" customHeight="1" x14ac:dyDescent="0.35">
      <c r="A118" s="403">
        <v>46</v>
      </c>
      <c r="B118" s="400" t="s">
        <v>1013</v>
      </c>
      <c r="C118" s="322" t="s">
        <v>23</v>
      </c>
      <c r="D118" s="323" t="s">
        <v>263</v>
      </c>
      <c r="E118" s="326" t="s">
        <v>264</v>
      </c>
      <c r="F118" s="421" t="str">
        <f t="shared" si="4"/>
        <v>6.2 Conservation and enhancement of natural ecosystems and vegetation 46All</v>
      </c>
      <c r="G118" s="421" t="s">
        <v>1019</v>
      </c>
      <c r="H118" s="310" t="s">
        <v>19</v>
      </c>
      <c r="I118" s="309" t="s">
        <v>23</v>
      </c>
      <c r="J118" s="408" t="str">
        <f t="shared" si="5"/>
        <v>Does the forest resemble natural forest in terms of canopy cover, forest strata, and the presence of vines or lianas? See document titled Guidance on Implementing 6.1-6.3 for more information on measuring forest quality.no</v>
      </c>
      <c r="K118" s="358" t="s">
        <v>1020</v>
      </c>
    </row>
    <row r="119" spans="1:12" ht="104" x14ac:dyDescent="0.35">
      <c r="A119" s="404">
        <v>47</v>
      </c>
      <c r="B119" s="400" t="s">
        <v>1013</v>
      </c>
      <c r="C119" s="322" t="s">
        <v>23</v>
      </c>
      <c r="D119" s="323" t="s">
        <v>269</v>
      </c>
      <c r="E119" s="326" t="s">
        <v>270</v>
      </c>
      <c r="F119" s="421" t="str">
        <f t="shared" si="4"/>
        <v>6.2 Conservation and enhancement of natural ecosystems and vegetation 47All</v>
      </c>
      <c r="G119" s="421" t="s">
        <v>1021</v>
      </c>
      <c r="H119" s="426" t="s">
        <v>33</v>
      </c>
      <c r="I119" s="309" t="s">
        <v>23</v>
      </c>
      <c r="J119" s="408" t="str">
        <f t="shared" si="5"/>
        <v>Only answer if you have weltlands whitin the farm/ group --
Do wetlands store or convey flood waters at any time of the year?yes</v>
      </c>
      <c r="K119" s="358" t="s">
        <v>272</v>
      </c>
    </row>
    <row r="120" spans="1:12" ht="104" x14ac:dyDescent="0.35">
      <c r="A120" s="404">
        <v>47</v>
      </c>
      <c r="B120" s="400" t="s">
        <v>1013</v>
      </c>
      <c r="C120" s="322" t="s">
        <v>23</v>
      </c>
      <c r="D120" s="323" t="s">
        <v>273</v>
      </c>
      <c r="E120" s="326" t="s">
        <v>270</v>
      </c>
      <c r="F120" s="421" t="str">
        <f t="shared" si="4"/>
        <v>6.2 Conservation and enhancement of natural ecosystems and vegetation 47All</v>
      </c>
      <c r="G120" s="421" t="s">
        <v>1021</v>
      </c>
      <c r="H120" s="426" t="s">
        <v>39</v>
      </c>
      <c r="I120" s="309" t="s">
        <v>23</v>
      </c>
      <c r="J120" s="408" t="str">
        <f t="shared" si="5"/>
        <v>Only answer if you have weltlands whitin the farm/ group --
Do wetlands store or convey flood waters at any time of the year?No</v>
      </c>
      <c r="K120" s="335" t="s">
        <v>21</v>
      </c>
    </row>
    <row r="121" spans="1:12" ht="182" x14ac:dyDescent="0.35">
      <c r="A121" s="404">
        <v>48</v>
      </c>
      <c r="B121" s="400" t="s">
        <v>1013</v>
      </c>
      <c r="C121" s="322" t="s">
        <v>23</v>
      </c>
      <c r="D121" s="323" t="s">
        <v>275</v>
      </c>
      <c r="E121" s="326" t="s">
        <v>276</v>
      </c>
      <c r="F121" s="421" t="str">
        <f t="shared" si="4"/>
        <v>6.2 Conservation and enhancement of natural ecosystems and vegetation 48All</v>
      </c>
      <c r="G121" s="421" t="s">
        <v>1022</v>
      </c>
      <c r="H121" s="426" t="s">
        <v>33</v>
      </c>
      <c r="I121" s="309" t="s">
        <v>23</v>
      </c>
      <c r="J121" s="408" t="str">
        <f t="shared" si="5"/>
        <v>Only answer if you have grassland/rangeland or non-natural desert whitin the farm/ group --
Do grassland/rangeland or non-natural desert areas contain large bare areas that are at risk of eroding into nearby waterways?yes</v>
      </c>
      <c r="K121" s="358" t="s">
        <v>278</v>
      </c>
    </row>
    <row r="122" spans="1:12" ht="182" x14ac:dyDescent="0.35">
      <c r="A122" s="404">
        <v>48</v>
      </c>
      <c r="B122" s="400" t="s">
        <v>1013</v>
      </c>
      <c r="C122" s="322" t="s">
        <v>23</v>
      </c>
      <c r="D122" s="323" t="s">
        <v>275</v>
      </c>
      <c r="E122" s="326" t="s">
        <v>276</v>
      </c>
      <c r="F122" s="421" t="str">
        <f t="shared" si="4"/>
        <v>6.2 Conservation and enhancement of natural ecosystems and vegetation 48All</v>
      </c>
      <c r="G122" s="421" t="s">
        <v>1022</v>
      </c>
      <c r="H122" s="437" t="s">
        <v>39</v>
      </c>
      <c r="I122" s="309" t="s">
        <v>23</v>
      </c>
      <c r="J122" s="408" t="str">
        <f t="shared" si="5"/>
        <v>Only answer if you have grassland/rangeland or non-natural desert whitin the farm/ group --
Do grassland/rangeland or non-natural desert areas contain large bare areas that are at risk of eroding into nearby waterways?No</v>
      </c>
      <c r="K122" s="358" t="s">
        <v>280</v>
      </c>
    </row>
    <row r="123" spans="1:12" ht="117" x14ac:dyDescent="0.35">
      <c r="A123" s="404">
        <v>49</v>
      </c>
      <c r="B123" s="400" t="s">
        <v>1013</v>
      </c>
      <c r="C123" s="322" t="s">
        <v>23</v>
      </c>
      <c r="D123" s="323" t="s">
        <v>281</v>
      </c>
      <c r="E123" s="326" t="s">
        <v>282</v>
      </c>
      <c r="F123" s="421" t="str">
        <f t="shared" si="4"/>
        <v>6.2 Conservation and enhancement of natural ecosystems and vegetation 49All</v>
      </c>
      <c r="G123" s="421" t="s">
        <v>1023</v>
      </c>
      <c r="H123" s="426" t="s">
        <v>33</v>
      </c>
      <c r="I123" s="309" t="s">
        <v>23</v>
      </c>
      <c r="J123" s="408" t="str">
        <f t="shared" si="5"/>
        <v>Only answer if you have fallow land whitin the farm/ group --
Are trees regenerating naturally on permanently fallow land?yes</v>
      </c>
      <c r="K123" s="359" t="s">
        <v>21</v>
      </c>
    </row>
    <row r="124" spans="1:12" ht="117" x14ac:dyDescent="0.35">
      <c r="A124" s="404">
        <v>49</v>
      </c>
      <c r="B124" s="400" t="s">
        <v>1013</v>
      </c>
      <c r="C124" s="424" t="s">
        <v>23</v>
      </c>
      <c r="D124" s="368" t="s">
        <v>285</v>
      </c>
      <c r="E124" s="378" t="s">
        <v>282</v>
      </c>
      <c r="F124" s="421" t="str">
        <f t="shared" si="4"/>
        <v>6.2 Conservation and enhancement of natural ecosystems and vegetation 49All</v>
      </c>
      <c r="G124" s="421" t="s">
        <v>1023</v>
      </c>
      <c r="H124" s="310" t="s">
        <v>39</v>
      </c>
      <c r="I124" s="555" t="s">
        <v>23</v>
      </c>
      <c r="J124" s="408" t="str">
        <f t="shared" si="5"/>
        <v>Only answer if you have fallow land whitin the farm/ group --
Are trees regenerating naturally on permanently fallow land?No</v>
      </c>
      <c r="K124" s="369" t="s">
        <v>286</v>
      </c>
    </row>
    <row r="125" spans="1:12" ht="117" x14ac:dyDescent="0.35">
      <c r="A125" s="405">
        <v>50</v>
      </c>
      <c r="B125" s="402" t="s">
        <v>287</v>
      </c>
      <c r="C125" s="373" t="s">
        <v>23</v>
      </c>
      <c r="D125" s="374"/>
      <c r="E125" s="375" t="s">
        <v>288</v>
      </c>
      <c r="F125" s="421" t="str">
        <f t="shared" si="4"/>
        <v>Climate Change 50All</v>
      </c>
      <c r="G125" s="402" t="s">
        <v>289</v>
      </c>
      <c r="H125" s="310" t="s">
        <v>19</v>
      </c>
      <c r="I125" s="376" t="s">
        <v>23</v>
      </c>
      <c r="J125" s="408" t="str">
        <f t="shared" si="5"/>
        <v>Are management, supervisors, and/or technical staff trained in assessing the risks and impacts that climate change poses to livelihoods and production systems?no</v>
      </c>
      <c r="K125" s="377" t="s">
        <v>290</v>
      </c>
    </row>
    <row r="126" spans="1:12" ht="117" x14ac:dyDescent="0.35">
      <c r="A126" s="405">
        <v>50</v>
      </c>
      <c r="B126" s="402" t="s">
        <v>287</v>
      </c>
      <c r="C126" s="229" t="s">
        <v>23</v>
      </c>
      <c r="D126" s="327"/>
      <c r="E126" s="326" t="s">
        <v>288</v>
      </c>
      <c r="F126" s="421" t="str">
        <f t="shared" si="4"/>
        <v>Climate Change 50All</v>
      </c>
      <c r="G126" s="402" t="s">
        <v>289</v>
      </c>
      <c r="H126" s="426" t="s">
        <v>33</v>
      </c>
      <c r="I126" s="299" t="s">
        <v>23</v>
      </c>
      <c r="J126" s="408" t="str">
        <f t="shared" si="5"/>
        <v>Are management, supervisors, and/or technical staff trained in assessing the risks and impacts that climate change poses to livelihoods and production systems?yes</v>
      </c>
      <c r="K126" s="335" t="s">
        <v>21</v>
      </c>
    </row>
    <row r="127" spans="1:12" ht="51" customHeight="1" x14ac:dyDescent="0.35">
      <c r="A127" s="406">
        <v>51</v>
      </c>
      <c r="B127" s="402" t="s">
        <v>287</v>
      </c>
      <c r="C127" s="416" t="s">
        <v>23</v>
      </c>
      <c r="D127" s="851"/>
      <c r="E127" s="417" t="s">
        <v>288</v>
      </c>
      <c r="F127" s="421" t="str">
        <f t="shared" si="4"/>
        <v>Climate Change 51All</v>
      </c>
      <c r="G127" s="421" t="s">
        <v>291</v>
      </c>
      <c r="H127" s="426" t="s">
        <v>19</v>
      </c>
      <c r="I127" s="415" t="s">
        <v>23</v>
      </c>
      <c r="J127" s="408" t="str">
        <f t="shared" si="5"/>
        <v>Have management, supervisors, and/or technical staff identified the most significant climate change threats/risks/impacts (current and projected) on livelihood resources and farming systems?no</v>
      </c>
      <c r="K127" s="414" t="s">
        <v>1024</v>
      </c>
      <c r="L127" s="11"/>
    </row>
    <row r="128" spans="1:12" ht="156" x14ac:dyDescent="0.35">
      <c r="A128" s="406">
        <v>51</v>
      </c>
      <c r="B128" s="402" t="s">
        <v>287</v>
      </c>
      <c r="C128" s="373" t="s">
        <v>23</v>
      </c>
      <c r="D128" s="852"/>
      <c r="E128" s="379" t="s">
        <v>288</v>
      </c>
      <c r="F128" s="421" t="str">
        <f t="shared" si="4"/>
        <v>Climate Change 51All</v>
      </c>
      <c r="G128" s="421" t="s">
        <v>291</v>
      </c>
      <c r="H128" s="310" t="s">
        <v>33</v>
      </c>
      <c r="I128" s="299" t="s">
        <v>23</v>
      </c>
      <c r="J128" s="408" t="str">
        <f t="shared" si="5"/>
        <v>Have management, supervisors, and/or technical staff identified the most significant climate change threats/risks/impacts (current and projected) on livelihood resources and farming systems?yes</v>
      </c>
      <c r="K128" s="335" t="s">
        <v>21</v>
      </c>
    </row>
    <row r="129" spans="1:11" ht="130" x14ac:dyDescent="0.35">
      <c r="A129" s="406">
        <v>52</v>
      </c>
      <c r="B129" s="402" t="s">
        <v>287</v>
      </c>
      <c r="C129" s="373" t="s">
        <v>23</v>
      </c>
      <c r="D129" s="849"/>
      <c r="E129" s="379" t="s">
        <v>288</v>
      </c>
      <c r="F129" s="421" t="str">
        <f t="shared" si="4"/>
        <v>Climate Change 52All</v>
      </c>
      <c r="G129" s="421" t="s">
        <v>295</v>
      </c>
      <c r="H129" s="426" t="s">
        <v>19</v>
      </c>
      <c r="I129" s="299" t="s">
        <v>23</v>
      </c>
      <c r="J129" s="408" t="str">
        <f t="shared" si="5"/>
        <v>Do management, supervisors, and /or technical staff have access to relevant climate change information, skills and services to develop and employ adaptation strategies?  no</v>
      </c>
      <c r="K129" s="338" t="s">
        <v>296</v>
      </c>
    </row>
    <row r="130" spans="1:11" ht="130" x14ac:dyDescent="0.35">
      <c r="A130" s="406">
        <v>52</v>
      </c>
      <c r="B130" s="402" t="s">
        <v>287</v>
      </c>
      <c r="C130" s="373" t="s">
        <v>23</v>
      </c>
      <c r="D130" s="850"/>
      <c r="E130" s="379" t="s">
        <v>288</v>
      </c>
      <c r="F130" s="421" t="str">
        <f t="shared" si="4"/>
        <v>Climate Change 52All</v>
      </c>
      <c r="G130" s="421" t="s">
        <v>295</v>
      </c>
      <c r="H130" s="310" t="s">
        <v>33</v>
      </c>
      <c r="I130" s="299" t="s">
        <v>23</v>
      </c>
      <c r="J130" s="408" t="str">
        <f t="shared" si="5"/>
        <v>Do management, supervisors, and /or technical staff have access to relevant climate change information, skills and services to develop and employ adaptation strategies?  yes</v>
      </c>
      <c r="K130" s="335" t="s">
        <v>21</v>
      </c>
    </row>
    <row r="131" spans="1:11" ht="104" x14ac:dyDescent="0.35">
      <c r="A131" s="406">
        <v>53</v>
      </c>
      <c r="B131" s="402" t="s">
        <v>287</v>
      </c>
      <c r="C131" s="373" t="s">
        <v>23</v>
      </c>
      <c r="D131" s="849"/>
      <c r="E131" s="590" t="s">
        <v>288</v>
      </c>
      <c r="F131" s="421" t="str">
        <f t="shared" si="4"/>
        <v>Climate Change 53All</v>
      </c>
      <c r="G131" s="421" t="s">
        <v>297</v>
      </c>
      <c r="H131" s="581" t="s">
        <v>19</v>
      </c>
      <c r="I131" s="299" t="s">
        <v>23</v>
      </c>
      <c r="J131" s="408" t="str">
        <f t="shared" si="5"/>
        <v>Are emergency measures to deal with extreme weather events and their potential impacts (i.e. evacuation plan) developed and in place?no</v>
      </c>
      <c r="K131" s="338" t="s">
        <v>298</v>
      </c>
    </row>
    <row r="132" spans="1:11" ht="104" x14ac:dyDescent="0.35">
      <c r="A132" s="406">
        <v>53</v>
      </c>
      <c r="B132" s="402" t="s">
        <v>287</v>
      </c>
      <c r="C132" s="373" t="s">
        <v>23</v>
      </c>
      <c r="D132" s="850"/>
      <c r="E132" s="360" t="s">
        <v>288</v>
      </c>
      <c r="F132" s="421" t="str">
        <f t="shared" si="4"/>
        <v>Climate Change 53All</v>
      </c>
      <c r="G132" s="421" t="s">
        <v>297</v>
      </c>
      <c r="H132" s="588" t="s">
        <v>33</v>
      </c>
      <c r="I132" s="361" t="s">
        <v>23</v>
      </c>
      <c r="J132" s="408" t="str">
        <f t="shared" si="5"/>
        <v>Are emergency measures to deal with extreme weather events and their potential impacts (i.e. evacuation plan) developed and in place?yes</v>
      </c>
      <c r="K132" s="359" t="s">
        <v>21</v>
      </c>
    </row>
  </sheetData>
  <sheetProtection algorithmName="SHA-512" hashValue="V5yOoIwbltIkTahjKvl4UDYUYHU9YrYG4NaB8SehNJ1ObRDr8RkhCTEVl2Rnc6qTYHL3igRnBgfA/mN2snVN1g==" saltValue="rSh+FJXyPobEK5geXc/gLg==" spinCount="100000" sheet="1" objects="1" scenarios="1"/>
  <autoFilter ref="A1:K132" xr:uid="{00000000-0009-0000-0000-00000A000000}"/>
  <customSheetViews>
    <customSheetView guid="{59B363CD-3DDC-B04B-9DA2-AD720BF8C467}" scale="80" showAutoFilter="1" state="hidden">
      <pane ySplit="1.0277777777777777" topLeftCell="A20" activePane="bottomLeft" state="frozenSplit"/>
      <selection pane="bottomLeft" activeCell="C22" sqref="C22"/>
      <pageMargins left="0" right="0" top="0" bottom="0" header="0" footer="0"/>
      <pageSetup orientation="portrait" horizontalDpi="4294967293" verticalDpi="4294967293"/>
      <autoFilter ref="A1:K132" xr:uid="{00000000-0000-0000-0000-000000000000}"/>
    </customSheetView>
    <customSheetView guid="{C2C56F38-527D-46F3-8E7F-3C5092082195}" scale="80" showAutoFilter="1" state="hidden">
      <pane ySplit="1" topLeftCell="A20" activePane="bottomLeft" state="frozenSplit"/>
      <selection pane="bottomLeft" activeCell="C22" sqref="C22"/>
      <pageMargins left="0" right="0" top="0" bottom="0" header="0" footer="0"/>
      <pageSetup orientation="portrait" horizontalDpi="4294967293" verticalDpi="4294967293"/>
      <autoFilter ref="A1:K132" xr:uid="{00000000-0000-0000-0000-000000000000}"/>
    </customSheetView>
  </customSheetViews>
  <mergeCells count="6">
    <mergeCell ref="A40:A41"/>
    <mergeCell ref="E91:E92"/>
    <mergeCell ref="E89:E90"/>
    <mergeCell ref="D131:D132"/>
    <mergeCell ref="D129:D130"/>
    <mergeCell ref="D127:D128"/>
  </mergeCells>
  <pageMargins left="0.75" right="0.75" top="1" bottom="1" header="0.5" footer="0.5"/>
  <pageSetup orientation="portrait" horizontalDpi="4294967293" verticalDpi="429496729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B19"/>
  <sheetViews>
    <sheetView workbookViewId="0">
      <selection activeCell="B17" sqref="B17"/>
    </sheetView>
  </sheetViews>
  <sheetFormatPr defaultColWidth="8.81640625" defaultRowHeight="14.5" x14ac:dyDescent="0.35"/>
  <sheetData>
    <row r="3" spans="2:2" x14ac:dyDescent="0.35">
      <c r="B3" t="s">
        <v>16</v>
      </c>
    </row>
    <row r="4" spans="2:2" x14ac:dyDescent="0.35">
      <c r="B4" t="s">
        <v>26</v>
      </c>
    </row>
    <row r="5" spans="2:2" x14ac:dyDescent="0.35">
      <c r="B5" t="s">
        <v>23</v>
      </c>
    </row>
    <row r="7" spans="2:2" x14ac:dyDescent="0.35">
      <c r="B7" t="s">
        <v>1025</v>
      </c>
    </row>
    <row r="8" spans="2:2" x14ac:dyDescent="0.35">
      <c r="B8" t="s">
        <v>61</v>
      </c>
    </row>
    <row r="9" spans="2:2" x14ac:dyDescent="0.35">
      <c r="B9" t="s">
        <v>19</v>
      </c>
    </row>
    <row r="12" spans="2:2" x14ac:dyDescent="0.35">
      <c r="B12" t="s">
        <v>33</v>
      </c>
    </row>
    <row r="13" spans="2:2" x14ac:dyDescent="0.35">
      <c r="B13" t="s">
        <v>64</v>
      </c>
    </row>
    <row r="17" spans="2:2" x14ac:dyDescent="0.35">
      <c r="B17" t="s">
        <v>33</v>
      </c>
    </row>
    <row r="18" spans="2:2" x14ac:dyDescent="0.35">
      <c r="B18" t="s">
        <v>39</v>
      </c>
    </row>
    <row r="19" spans="2:2" x14ac:dyDescent="0.35">
      <c r="B19" t="s">
        <v>64</v>
      </c>
    </row>
  </sheetData>
  <sheetProtection algorithmName="SHA-512" hashValue="lbhdXXWn2IOMdHbjqDn5jZ4m5qeErDl0hoBI5FZ4yDJTL4l4obyrhRf5FYn50wOwzW+gmux9rKet/zFPWtudyA==" saltValue="kxlYh/M30yI1gu6PmHZMUw==" spinCount="100000" sheet="1" objects="1" scenarios="1"/>
  <customSheetViews>
    <customSheetView guid="{59B363CD-3DDC-B04B-9DA2-AD720BF8C467}" state="hidden">
      <selection activeCell="B17" sqref="B17"/>
      <pageMargins left="0" right="0" top="0" bottom="0" header="0" footer="0"/>
    </customSheetView>
    <customSheetView guid="{C2C56F38-527D-46F3-8E7F-3C5092082195}" state="hidden">
      <selection activeCell="B17" sqref="B17"/>
      <pageMargins left="0" right="0" top="0" bottom="0" header="0" footer="0"/>
    </customSheetView>
  </customSheetViews>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765bac3-0fca-4b4e-935f-16f2a024ce24">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35FC0B73862942B5D735B921808A61" ma:contentTypeVersion="11" ma:contentTypeDescription="Create a new document." ma:contentTypeScope="" ma:versionID="cdab4e8c383a8c06cd0c3e5237d8bef6">
  <xsd:schema xmlns:xsd="http://www.w3.org/2001/XMLSchema" xmlns:xs="http://www.w3.org/2001/XMLSchema" xmlns:p="http://schemas.microsoft.com/office/2006/metadata/properties" xmlns:ns2="f85326c8-53d7-4073-8fb0-737c737bb331" xmlns:ns3="5765bac3-0fca-4b4e-935f-16f2a024ce24" targetNamespace="http://schemas.microsoft.com/office/2006/metadata/properties" ma:root="true" ma:fieldsID="d55ae3c6dd6176e6d4116ffe75fa7df8" ns2:_="" ns3:_="">
    <xsd:import namespace="f85326c8-53d7-4073-8fb0-737c737bb331"/>
    <xsd:import namespace="5765bac3-0fca-4b4e-935f-16f2a024ce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5326c8-53d7-4073-8fb0-737c737bb3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65bac3-0fca-4b4e-935f-16f2a024ce2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46363A-31CB-4B9D-82F4-AB498D35579D}">
  <ds:schemaRefs>
    <ds:schemaRef ds:uri="f85326c8-53d7-4073-8fb0-737c737bb331"/>
    <ds:schemaRef ds:uri="http://schemas.microsoft.com/office/infopath/2007/PartnerControls"/>
    <ds:schemaRef ds:uri="http://www.w3.org/XML/1998/namespace"/>
    <ds:schemaRef ds:uri="http://purl.org/dc/dcmitype/"/>
    <ds:schemaRef ds:uri="http://purl.org/dc/terms/"/>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5765bac3-0fca-4b4e-935f-16f2a024ce24"/>
  </ds:schemaRefs>
</ds:datastoreItem>
</file>

<file path=customXml/itemProps2.xml><?xml version="1.0" encoding="utf-8"?>
<ds:datastoreItem xmlns:ds="http://schemas.openxmlformats.org/officeDocument/2006/customXml" ds:itemID="{A9D5625A-F0A0-4C2D-BA82-E67A6E750F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5326c8-53d7-4073-8fb0-737c737bb331"/>
    <ds:schemaRef ds:uri="5765bac3-0fca-4b4e-935f-16f2a024ce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5F8A09-7D03-41F1-B065-BF36E9A7FD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summary</vt:lpstr>
      <vt:lpstr>NEW integrated RA (S + L)</vt:lpstr>
      <vt:lpstr>Page de couverture</vt:lpstr>
      <vt:lpstr>Overview and guidance</vt:lpstr>
      <vt:lpstr>Indiv. cert. Risk Assessment</vt:lpstr>
      <vt:lpstr>Risk assessment l1</vt:lpstr>
      <vt:lpstr>Sheet2</vt:lpstr>
      <vt:lpstr>Group risk assessment L0</vt:lpstr>
      <vt:lpstr>Document d’orientation</vt:lpstr>
      <vt:lpstr>Exemple</vt:lpstr>
      <vt:lpstr>Modèle</vt:lpstr>
      <vt:lpstr>Modèle (à imprimer)</vt:lpstr>
      <vt:lpstr>Basic Risk Assessment DATASHEET</vt:lpstr>
      <vt:lpstr>Dropdown lists</vt:lpstr>
      <vt:lpstr>'Modèle (à imprimer)'!Print_Area</vt:lpstr>
      <vt:lpstr>'Page de couverture'!Print_Area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AgroLingua</dc:creator>
  <cp:keywords/>
  <dc:description/>
  <cp:lastModifiedBy>Larissa Diakanua</cp:lastModifiedBy>
  <cp:revision/>
  <dcterms:created xsi:type="dcterms:W3CDTF">2018-12-05T13:53:38Z</dcterms:created>
  <dcterms:modified xsi:type="dcterms:W3CDTF">2021-05-12T15:04:17Z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0x010100D035FC0B73862942B5D735B921808A61</vt:lpwstr>
  </property>
  <property fmtid="{D5CDD505-2E9C-101B-9397-08002B2CF9AE}" pid="3" name="Order">
    <vt:r8>29883100</vt:r8>
  </property>
  <property fmtid="{D5CDD505-2E9C-101B-9397-08002B2CF9AE}" pid="4" name="ComplianceAssetId">
    <vt:lpwstr/>
  </property>
</Properties>
</file>